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vi\Downloads\"/>
    </mc:Choice>
  </mc:AlternateContent>
  <xr:revisionPtr revIDLastSave="0" documentId="13_ncr:1_{198E1EDC-2B82-4BE1-9781-EFC37DE1A434}" xr6:coauthVersionLast="47" xr6:coauthVersionMax="47" xr10:uidLastSave="{00000000-0000-0000-0000-000000000000}"/>
  <bookViews>
    <workbookView xWindow="-98" yWindow="-98" windowWidth="21795" windowHeight="13875" xr2:uid="{94EBCA6A-FB59-9843-A469-C5416492B5E0}"/>
  </bookViews>
  <sheets>
    <sheet name="RenovaFund" sheetId="1" r:id="rId1"/>
  </sheets>
  <externalReferences>
    <externalReference r:id="rId2"/>
  </externalReferences>
  <definedNames>
    <definedName name="ActualNumberOfPayments" localSheetId="0">IFERROR(IF(RenovaFund!LoanIsGood,IF(RenovaFund!PaymentsPerYear=1,1,MATCH(0.01,RenovaFund!End_Bal,-1)+1)),"")</definedName>
    <definedName name="ActualNumberOfPayments">IFERROR(IF(LoanIsGood,IF(PaymentsPerYear=1,1,MATCH(0.01,End_Bal,-1)+1)),"")</definedName>
    <definedName name="apr" localSheetId="0">#REF!</definedName>
    <definedName name="apr">#REF!</definedName>
    <definedName name="array" localSheetId="0">#REF!</definedName>
    <definedName name="array">#REF!</definedName>
    <definedName name="ColumnTitle1" localSheetId="0">#REF!</definedName>
    <definedName name="ColumnTitle1">#REF!</definedName>
    <definedName name="dates" localSheetId="0">#REF!</definedName>
    <definedName name="dates">#REF!</definedName>
    <definedName name="End_Bal" localSheetId="0">#REF!</definedName>
    <definedName name="End_Bal">#REF!</definedName>
    <definedName name="ExtraPayments" localSheetId="0">#REF!</definedName>
    <definedName name="ExtraPayments">#REF!</definedName>
    <definedName name="first_payment_date" localSheetId="0">#REF!</definedName>
    <definedName name="first_payment_date">#REF!</definedName>
    <definedName name="interest_compounded" localSheetId="0">#REF!</definedName>
    <definedName name="interest_compounded">#REF!</definedName>
    <definedName name="interest_paid" localSheetId="0">#REF!</definedName>
    <definedName name="interest_paid">#REF!</definedName>
    <definedName name="InterestRate" localSheetId="0">#REF!</definedName>
    <definedName name="InterestRate">#REF!</definedName>
    <definedName name="LastCol" localSheetId="0">MATCH(REPT("z",255),#REF!)</definedName>
    <definedName name="LastCol">MATCH(REPT("z",255),#REF!)</definedName>
    <definedName name="LastRow" localSheetId="0">MATCH(9.99E+307,#REF!)</definedName>
    <definedName name="LastRow">MATCH(9.99E+307,#REF!)</definedName>
    <definedName name="LenderName">#REF!</definedName>
    <definedName name="loan" localSheetId="0">#REF!</definedName>
    <definedName name="loan">#REF!</definedName>
    <definedName name="LoanAmount" localSheetId="0">#REF!</definedName>
    <definedName name="LoanAmount">#REF!</definedName>
    <definedName name="LoanIsGood" localSheetId="0">(#REF!*#REF!*#REF!*#REF!)&gt;0</definedName>
    <definedName name="LoanIsGood">(#REF!*#REF!*#REF!*#REF!)&gt;0</definedName>
    <definedName name="LoanPeriod" localSheetId="0">#REF!</definedName>
    <definedName name="LoanPeriod">#REF!</definedName>
    <definedName name="LoanStartDate" localSheetId="0">#REF!</definedName>
    <definedName name="LoanStartDate">#REF!</definedName>
    <definedName name="nper" localSheetId="0">#REF!</definedName>
    <definedName name="nper">#REF!</definedName>
    <definedName name="payment" localSheetId="0">#REF!</definedName>
    <definedName name="payment">#REF!</definedName>
    <definedName name="payment_due" localSheetId="0">#REF!</definedName>
    <definedName name="payment_due">#REF!</definedName>
    <definedName name="payment_frequency" localSheetId="0">#REF!</definedName>
    <definedName name="payment_frequency">#REF!</definedName>
    <definedName name="payment_type" localSheetId="0">#REF!</definedName>
    <definedName name="payment_type">#REF!</definedName>
    <definedName name="payment_types" localSheetId="0">#REF!</definedName>
    <definedName name="payment_types">'[1]Named Ranges'!$G$1:$G$2</definedName>
    <definedName name="PaymentsPerYear" localSheetId="0">#REF!</definedName>
    <definedName name="PaymentsPerYear">#REF!</definedName>
    <definedName name="periodic_table" localSheetId="0">#REF!</definedName>
    <definedName name="periodic_table">'[1]Named Ranges'!$A$1:$E$9</definedName>
    <definedName name="principal_paid" localSheetId="0">#REF!</definedName>
    <definedName name="principal_paid">#REF!</definedName>
    <definedName name="PrintArea_SET" localSheetId="0">OFFSET(#REF!,,,RenovaFund!LastRow,RenovaFund!LastCol)</definedName>
    <definedName name="PrintArea_SET">OFFSET(#REF!,,,LastRow,LastCol)</definedName>
    <definedName name="rate" localSheetId="0">#REF!</definedName>
    <definedName name="rate">#REF!</definedName>
    <definedName name="recurring_payment_frequency" localSheetId="0">#REF!</definedName>
    <definedName name="recurring_payment_frequency">#REF!</definedName>
    <definedName name="RowTitleRegion1..E9" localSheetId="0">#REF!</definedName>
    <definedName name="RowTitleRegion1..E9">#REF!</definedName>
    <definedName name="RowTitleRegion2..I7" localSheetId="0">#REF!</definedName>
    <definedName name="RowTitleRegion2..I7">#REF!</definedName>
    <definedName name="RowTitleRegion3..E9" localSheetId="0">#REF!</definedName>
    <definedName name="RowTitleRegion3..E9">#REF!</definedName>
    <definedName name="RowTitleRegion4..H9" localSheetId="0">#REF!</definedName>
    <definedName name="RowTitleRegion4..H9">#REF!</definedName>
    <definedName name="ScheduledNumberOfPayments" localSheetId="0">#REF!</definedName>
    <definedName name="ScheduledNumberOfPayments">#REF!</definedName>
    <definedName name="ScheduledPayment" localSheetId="0">#REF!</definedName>
    <definedName name="ScheduledPayment">#REF!</definedName>
    <definedName name="term" localSheetId="0">#REF!</definedName>
    <definedName name="term">#REF!</definedName>
    <definedName name="TotalEarlyPayments" localSheetId="0">SUM(#REF!)</definedName>
    <definedName name="TotalEarlyPayments">SUM(#REF!)</definedName>
    <definedName name="TotalInterest" localSheetId="0">SUM(#REF!)</definedName>
    <definedName name="TotalInterest">SUM(#REF!)</definedName>
    <definedName name="valuevx">42.314159</definedName>
    <definedName name="vertex42_copyright" hidden="1">"© 2008-2019 Vertex42 LLC"</definedName>
    <definedName name="vertex42_id" hidden="1">"loan-amortization-schedule.xlsx"</definedName>
    <definedName name="vertex42_title" hidden="1">"Loan Amortization Schedule"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1" i="1" l="1"/>
  <c r="D31" i="1"/>
  <c r="L31" i="1" a="1"/>
  <c r="L31" i="1"/>
  <c r="L32" i="1" a="1"/>
  <c r="L32" i="1"/>
  <c r="L33" i="1" a="1"/>
  <c r="L33" i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/>
  <c r="L40" i="1" a="1"/>
  <c r="L40" i="1"/>
  <c r="L41" i="1" a="1"/>
  <c r="L41" i="1"/>
  <c r="L42" i="1" a="1"/>
  <c r="L42" i="1"/>
  <c r="L43" i="1" a="1"/>
  <c r="L43" i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/>
  <c r="L52" i="1" a="1"/>
  <c r="L52" i="1" s="1"/>
  <c r="AA36" i="1"/>
  <c r="AA35" i="1"/>
  <c r="AA34" i="1"/>
  <c r="AA33" i="1"/>
  <c r="AA32" i="1"/>
  <c r="Q32" i="1"/>
  <c r="Z31" i="1" l="1"/>
  <c r="AA31" i="1" s="1"/>
  <c r="G33" i="1"/>
  <c r="AL33" i="1" s="1"/>
  <c r="G34" i="1"/>
  <c r="AL34" i="1" s="1"/>
  <c r="G35" i="1"/>
  <c r="AL35" i="1" s="1"/>
  <c r="G36" i="1"/>
  <c r="AL36" i="1" s="1"/>
  <c r="G37" i="1"/>
  <c r="AL37" i="1" s="1"/>
  <c r="G38" i="1"/>
  <c r="AL38" i="1" s="1"/>
  <c r="G39" i="1"/>
  <c r="AL39" i="1" s="1"/>
  <c r="G40" i="1"/>
  <c r="AL40" i="1" s="1"/>
  <c r="G41" i="1"/>
  <c r="AL41" i="1" s="1"/>
  <c r="G42" i="1"/>
  <c r="AL42" i="1" s="1"/>
  <c r="G43" i="1"/>
  <c r="AL43" i="1" s="1"/>
  <c r="G44" i="1"/>
  <c r="AL44" i="1" s="1"/>
  <c r="G45" i="1"/>
  <c r="AL45" i="1" s="1"/>
  <c r="G46" i="1"/>
  <c r="AL46" i="1" s="1"/>
  <c r="G47" i="1"/>
  <c r="AL47" i="1" s="1"/>
  <c r="G48" i="1"/>
  <c r="AL48" i="1" s="1"/>
  <c r="G49" i="1"/>
  <c r="AL49" i="1" s="1"/>
  <c r="G50" i="1"/>
  <c r="AL50" i="1" s="1"/>
  <c r="G51" i="1"/>
  <c r="AL51" i="1" s="1"/>
  <c r="G52" i="1"/>
  <c r="AL52" i="1" s="1"/>
  <c r="G32" i="1"/>
  <c r="AL32" i="1" s="1"/>
  <c r="K45" i="1" l="1"/>
  <c r="K46" i="1"/>
  <c r="K47" i="1"/>
  <c r="K48" i="1"/>
  <c r="K49" i="1"/>
  <c r="K50" i="1"/>
  <c r="K51" i="1"/>
  <c r="K52" i="1"/>
  <c r="K44" i="1"/>
  <c r="K43" i="1"/>
  <c r="K42" i="1"/>
  <c r="K41" i="1"/>
  <c r="K40" i="1"/>
  <c r="K39" i="1"/>
  <c r="K38" i="1"/>
  <c r="K35" i="1"/>
  <c r="K34" i="1"/>
  <c r="K33" i="1"/>
  <c r="K32" i="1"/>
  <c r="K36" i="1"/>
  <c r="K37" i="1"/>
  <c r="G53" i="1"/>
  <c r="I14" i="1" l="1"/>
  <c r="I15" i="1" s="1"/>
  <c r="I16" i="1" s="1"/>
  <c r="I17" i="1" s="1"/>
  <c r="J18" i="1"/>
  <c r="E32" i="1"/>
  <c r="D7" i="1"/>
  <c r="K17" i="1" s="1"/>
  <c r="AB32" i="1" l="1"/>
  <c r="K15" i="1"/>
  <c r="K16" i="1"/>
  <c r="K8" i="1"/>
  <c r="AH34" i="1"/>
  <c r="AH35" i="1" s="1"/>
  <c r="AH36" i="1" s="1"/>
  <c r="AH37" i="1" s="1"/>
  <c r="AH38" i="1" s="1"/>
  <c r="AH39" i="1" s="1"/>
  <c r="AH40" i="1" s="1"/>
  <c r="AH41" i="1" s="1"/>
  <c r="AH42" i="1" s="1"/>
  <c r="AH43" i="1" s="1"/>
  <c r="C31" i="1"/>
  <c r="AF33" i="1" l="1"/>
  <c r="Q33" i="1" s="1"/>
  <c r="E33" i="1"/>
  <c r="E34" i="1" l="1"/>
  <c r="AF34" i="1"/>
  <c r="Q34" i="1" s="1"/>
  <c r="E35" i="1" l="1"/>
  <c r="AF35" i="1"/>
  <c r="Q35" i="1" s="1"/>
  <c r="E36" i="1" l="1"/>
  <c r="AF36" i="1"/>
  <c r="Q36" i="1" s="1"/>
  <c r="E37" i="1" l="1"/>
  <c r="AF37" i="1"/>
  <c r="Q37" i="1" s="1"/>
  <c r="E38" i="1" l="1"/>
  <c r="AF38" i="1"/>
  <c r="Q38" i="1" s="1"/>
  <c r="E39" i="1" l="1"/>
  <c r="AF39" i="1"/>
  <c r="Q39" i="1" s="1"/>
  <c r="E40" i="1" l="1"/>
  <c r="AF40" i="1"/>
  <c r="Q40" i="1" s="1"/>
  <c r="E41" i="1" l="1"/>
  <c r="AB40" i="1"/>
  <c r="AF41" i="1"/>
  <c r="Q41" i="1" s="1"/>
  <c r="E42" i="1" l="1"/>
  <c r="AB41" i="1"/>
  <c r="AF42" i="1"/>
  <c r="Q42" i="1" s="1"/>
  <c r="E43" i="1" l="1"/>
  <c r="AB42" i="1"/>
  <c r="AC42" i="1" s="1"/>
  <c r="V42" i="1"/>
  <c r="AF43" i="1"/>
  <c r="Q43" i="1" s="1"/>
  <c r="E44" i="1" l="1"/>
  <c r="AB43" i="1"/>
  <c r="AC43" i="1" s="1"/>
  <c r="R42" i="1"/>
  <c r="AF44" i="1"/>
  <c r="Q44" i="1" s="1"/>
  <c r="E45" i="1" l="1"/>
  <c r="AB44" i="1"/>
  <c r="AC44" i="1" s="1"/>
  <c r="R43" i="1"/>
  <c r="AF45" i="1"/>
  <c r="Q45" i="1" s="1"/>
  <c r="E46" i="1" l="1"/>
  <c r="AB45" i="1"/>
  <c r="AC45" i="1" s="1"/>
  <c r="R44" i="1"/>
  <c r="AF46" i="1"/>
  <c r="Q46" i="1" s="1"/>
  <c r="E47" i="1" l="1"/>
  <c r="AB46" i="1"/>
  <c r="AC46" i="1" s="1"/>
  <c r="R45" i="1"/>
  <c r="AF47" i="1"/>
  <c r="Q47" i="1" s="1"/>
  <c r="E48" i="1" l="1"/>
  <c r="AB47" i="1"/>
  <c r="AC47" i="1" s="1"/>
  <c r="R46" i="1"/>
  <c r="AF48" i="1"/>
  <c r="Q48" i="1" s="1"/>
  <c r="E49" i="1" l="1"/>
  <c r="AB48" i="1"/>
  <c r="AC48" i="1" s="1"/>
  <c r="R47" i="1"/>
  <c r="AF49" i="1"/>
  <c r="Q49" i="1" s="1"/>
  <c r="E50" i="1" l="1"/>
  <c r="AB49" i="1"/>
  <c r="AC49" i="1" s="1"/>
  <c r="AF50" i="1"/>
  <c r="Q50" i="1" s="1"/>
  <c r="R48" i="1"/>
  <c r="E51" i="1" l="1"/>
  <c r="AB50" i="1"/>
  <c r="AC50" i="1" s="1"/>
  <c r="R49" i="1"/>
  <c r="AF51" i="1"/>
  <c r="Q51" i="1" s="1"/>
  <c r="E52" i="1" l="1"/>
  <c r="AB51" i="1"/>
  <c r="AC51" i="1" s="1"/>
  <c r="AF52" i="1"/>
  <c r="Q52" i="1" s="1"/>
  <c r="R50" i="1"/>
  <c r="R51" i="1" l="1"/>
  <c r="AB52" i="1" l="1"/>
  <c r="AC52" i="1" s="1"/>
  <c r="V32" i="1"/>
  <c r="F32" i="1" s="1"/>
  <c r="AB33" i="1"/>
  <c r="AB34" i="1"/>
  <c r="AB35" i="1"/>
  <c r="AB36" i="1"/>
  <c r="AB37" i="1"/>
  <c r="AC37" i="1" s="1"/>
  <c r="AB38" i="1"/>
  <c r="AC38" i="1" s="1"/>
  <c r="AB39" i="1"/>
  <c r="AC39" i="1" s="1"/>
  <c r="AC40" i="1"/>
  <c r="AC41" i="1"/>
  <c r="AB31" i="1"/>
  <c r="H53" i="1"/>
  <c r="F42" i="1" l="1"/>
  <c r="AC34" i="1"/>
  <c r="AC32" i="1"/>
  <c r="AC36" i="1"/>
  <c r="AC33" i="1"/>
  <c r="AB53" i="1"/>
  <c r="Z53" i="1"/>
  <c r="AC35" i="1"/>
  <c r="AC31" i="1"/>
  <c r="V35" i="1"/>
  <c r="F35" i="1" s="1"/>
  <c r="V40" i="1"/>
  <c r="F40" i="1" s="1"/>
  <c r="V39" i="1"/>
  <c r="F39" i="1" s="1"/>
  <c r="V38" i="1"/>
  <c r="F38" i="1" s="1"/>
  <c r="V34" i="1"/>
  <c r="F34" i="1" s="1"/>
  <c r="V36" i="1"/>
  <c r="F36" i="1" s="1"/>
  <c r="V41" i="1"/>
  <c r="F41" i="1" s="1"/>
  <c r="V37" i="1"/>
  <c r="F37" i="1" s="1"/>
  <c r="V33" i="1"/>
  <c r="F33" i="1" s="1"/>
  <c r="AH44" i="1" l="1"/>
  <c r="V43" i="1"/>
  <c r="F43" i="1" s="1"/>
  <c r="AA53" i="1"/>
  <c r="AC53" i="1"/>
  <c r="S31" i="1"/>
  <c r="AH45" i="1" l="1"/>
  <c r="V44" i="1"/>
  <c r="F44" i="1" s="1"/>
  <c r="R34" i="1"/>
  <c r="AH46" i="1" l="1"/>
  <c r="V45" i="1"/>
  <c r="F45" i="1" s="1"/>
  <c r="T31" i="1"/>
  <c r="C8" i="1"/>
  <c r="D8" i="1" l="1"/>
  <c r="AH47" i="1"/>
  <c r="V46" i="1"/>
  <c r="R40" i="1"/>
  <c r="R32" i="1"/>
  <c r="T32" i="1" s="1"/>
  <c r="R33" i="1"/>
  <c r="R39" i="1"/>
  <c r="R35" i="1"/>
  <c r="S32" i="1"/>
  <c r="S33" i="1" s="1"/>
  <c r="I32" i="1" l="1"/>
  <c r="F46" i="1"/>
  <c r="AH48" i="1"/>
  <c r="V47" i="1"/>
  <c r="F47" i="1" s="1"/>
  <c r="I31" i="1"/>
  <c r="K13" i="1"/>
  <c r="K14" i="1"/>
  <c r="K7" i="1"/>
  <c r="R37" i="1"/>
  <c r="R36" i="1"/>
  <c r="R41" i="1"/>
  <c r="R38" i="1"/>
  <c r="T33" i="1"/>
  <c r="S34" i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M32" i="1" l="1"/>
  <c r="M31" i="1"/>
  <c r="K31" i="1"/>
  <c r="K18" i="1"/>
  <c r="AD31" i="1"/>
  <c r="R52" i="1"/>
  <c r="AH49" i="1"/>
  <c r="V48" i="1"/>
  <c r="F48" i="1" s="1"/>
  <c r="T34" i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C53" i="1"/>
  <c r="T52" i="1" l="1"/>
  <c r="I33" i="1"/>
  <c r="AH50" i="1"/>
  <c r="V49" i="1"/>
  <c r="I34" i="1"/>
  <c r="AD32" i="1"/>
  <c r="D53" i="1"/>
  <c r="M33" i="1" l="1"/>
  <c r="M34" i="1"/>
  <c r="AD33" i="1"/>
  <c r="F49" i="1"/>
  <c r="AH51" i="1"/>
  <c r="AH52" i="1" s="1"/>
  <c r="V50" i="1"/>
  <c r="F50" i="1" s="1"/>
  <c r="AD34" i="1"/>
  <c r="I35" i="1"/>
  <c r="M35" i="1" l="1"/>
  <c r="V51" i="1"/>
  <c r="F51" i="1" s="1"/>
  <c r="AD35" i="1"/>
  <c r="I36" i="1"/>
  <c r="E53" i="1"/>
  <c r="M36" i="1" l="1"/>
  <c r="I37" i="1"/>
  <c r="M37" i="1" s="1"/>
  <c r="AD36" i="1" l="1"/>
  <c r="AD37" i="1"/>
  <c r="I38" i="1" l="1"/>
  <c r="I39" i="1"/>
  <c r="M39" i="1" l="1"/>
  <c r="M38" i="1"/>
  <c r="I40" i="1"/>
  <c r="AD38" i="1"/>
  <c r="AD39" i="1"/>
  <c r="M40" i="1" l="1"/>
  <c r="I41" i="1"/>
  <c r="M41" i="1" s="1"/>
  <c r="AD40" i="1"/>
  <c r="I42" i="1" l="1"/>
  <c r="M42" i="1" s="1"/>
  <c r="AD41" i="1"/>
  <c r="I43" i="1" l="1"/>
  <c r="M43" i="1" s="1"/>
  <c r="AD42" i="1"/>
  <c r="V52" i="1"/>
  <c r="F52" i="1" s="1"/>
  <c r="AD43" i="1" l="1"/>
  <c r="I44" i="1"/>
  <c r="M44" i="1" s="1"/>
  <c r="V53" i="1"/>
  <c r="F53" i="1"/>
  <c r="AD44" i="1" l="1"/>
  <c r="I45" i="1"/>
  <c r="M45" i="1" s="1"/>
  <c r="AD45" i="1" l="1"/>
  <c r="I46" i="1"/>
  <c r="M46" i="1" s="1"/>
  <c r="AD46" i="1" l="1"/>
  <c r="I48" i="1" l="1"/>
  <c r="I47" i="1"/>
  <c r="M47" i="1" s="1"/>
  <c r="M48" i="1" l="1"/>
  <c r="AD47" i="1"/>
  <c r="AD48" i="1"/>
  <c r="I49" i="1" l="1"/>
  <c r="M49" i="1" s="1"/>
  <c r="I50" i="1"/>
  <c r="M50" i="1" l="1"/>
  <c r="I51" i="1"/>
  <c r="M51" i="1" s="1"/>
  <c r="AD50" i="1"/>
  <c r="AD49" i="1"/>
  <c r="AD51" i="1" l="1"/>
  <c r="I52" i="1"/>
  <c r="M52" i="1" s="1"/>
  <c r="I53" i="1" l="1"/>
  <c r="AD52" i="1"/>
  <c r="AD5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<sst xmlns="http://schemas.openxmlformats.org/spreadsheetml/2006/main" count="84" uniqueCount="73">
  <si>
    <t>VARIABLES DE SENSIBILIDAD</t>
  </si>
  <si>
    <t>RESUMEN DE INVERSIÓN</t>
  </si>
  <si>
    <t>TÉRMINOS DE FINANCIAMIENTO</t>
  </si>
  <si>
    <t>VARIABLES SUSTENTABILIDAD</t>
  </si>
  <si>
    <t>Capacidad total</t>
  </si>
  <si>
    <t>kW</t>
  </si>
  <si>
    <t>Inversión diferida</t>
  </si>
  <si>
    <t>Renewable Energy Certificates</t>
  </si>
  <si>
    <t>Monto total inversión</t>
  </si>
  <si>
    <t>MXN</t>
  </si>
  <si>
    <t>Moneda</t>
  </si>
  <si>
    <t>Precio REC</t>
  </si>
  <si>
    <t>MXN/REC</t>
  </si>
  <si>
    <t>Inversión inicial</t>
  </si>
  <si>
    <t>Monto diferido</t>
  </si>
  <si>
    <t>Incremento Anual</t>
  </si>
  <si>
    <t>%</t>
  </si>
  <si>
    <t>Inversión Diferida</t>
  </si>
  <si>
    <t># pagos anuales</t>
  </si>
  <si>
    <t>VPN</t>
  </si>
  <si>
    <t>Tasa de VPN</t>
  </si>
  <si>
    <t>TÉRMINOS DEL PROYECTO</t>
  </si>
  <si>
    <t>CALENDARIO DE PAGOS (Inversión inicial)</t>
  </si>
  <si>
    <t>Arrendamiento</t>
  </si>
  <si>
    <t>Pago Arrendamiento</t>
  </si>
  <si>
    <t>MXN/año X+1</t>
  </si>
  <si>
    <t>Arrendamiento año 1</t>
  </si>
  <si>
    <t>Plazo</t>
  </si>
  <si>
    <t>años</t>
  </si>
  <si>
    <t>Gracia</t>
  </si>
  <si>
    <t>RESULTADOS AMBIENTALES Y SOCIALES</t>
  </si>
  <si>
    <t>Año</t>
  </si>
  <si>
    <t>Pago de anticipo</t>
  </si>
  <si>
    <t>Impacto fiscal depreciación</t>
  </si>
  <si>
    <t>Pago diferido</t>
  </si>
  <si>
    <t>Energía generada en MWh (1 REC)</t>
  </si>
  <si>
    <t>Toneladas CO2 anuales</t>
  </si>
  <si>
    <t>RECs acumulados</t>
  </si>
  <si>
    <t>tCO2 acumuladas</t>
  </si>
  <si>
    <t>Ahorros/ Ingresos por RECs</t>
  </si>
  <si>
    <t>Eficiencia panel solar</t>
  </si>
  <si>
    <t>Incremento Valor REC</t>
  </si>
  <si>
    <t>El art. 34 de la LISR permite la depreaciación acelerada al 100% en un año de inversiones en energía renovable.</t>
  </si>
  <si>
    <t>Al momento de la importación, la empresa deberá pagar el IVA sobre el monto total de inversión.</t>
  </si>
  <si>
    <t xml:space="preserve">La energía generada será acreedora a Renewable Energy Certificates. Se proyecta el ahorro por dejar de comprar estos certificados, a bien, los ingresos que puede obtener la empresa por la comercialización de los mismos. </t>
  </si>
  <si>
    <t>Incluir</t>
  </si>
  <si>
    <t>INFORMACIÓN GENERAL DE LA INVERSIÓN</t>
  </si>
  <si>
    <t>Consideraciones de IVA</t>
  </si>
  <si>
    <t xml:space="preserve">Tiempo compensación </t>
  </si>
  <si>
    <t>Pago de IVA importación</t>
  </si>
  <si>
    <t>IVA recuperado por operación normal</t>
  </si>
  <si>
    <t>IVA arrendamientos</t>
  </si>
  <si>
    <t>IVA del Proyecto</t>
  </si>
  <si>
    <t>Flujo Neto con IVA</t>
  </si>
  <si>
    <t>IMPACTO EN IVA</t>
  </si>
  <si>
    <t>Tasa de VPN Costo</t>
  </si>
  <si>
    <t>Si</t>
  </si>
  <si>
    <t>Incremento anual proyectado en el costo de los RECs, se prevé un incremento de 7.5%.</t>
  </si>
  <si>
    <t>VPN Costo del proyecto</t>
  </si>
  <si>
    <t>VPN Flujos del proyecto</t>
  </si>
  <si>
    <t>*Este ingreso forma parte del pago de arrendamiento, pero se muestra de manera separada para mayor claridad, ya que su origen es distinto y algunas empresas prefieren conservar los IRECs en lugar de venderlos a Finsolar para cumplir con sus propias metas ESG. Una vez concluida la construcción del proyecto, Finsolar adquiere a la empresa inversionista los IRECs correspondientes.</t>
  </si>
  <si>
    <t>*Ahorro IRECS</t>
  </si>
  <si>
    <t>Ingresos por operación de los activos (PM ONSTREET)</t>
  </si>
  <si>
    <t>Ahorros energéticos
en sitio PPA (LBG)</t>
  </si>
  <si>
    <t>Beneficio económico global</t>
  </si>
  <si>
    <t>Ahorros PPA</t>
  </si>
  <si>
    <t xml:space="preserve">Ahorros energéticos en sitios </t>
  </si>
  <si>
    <t>Ahorros</t>
  </si>
  <si>
    <t>FLUJOS COMPLETOS DEL PROYECTO - GRUPO FÓRMULA/FINSOLAR</t>
  </si>
  <si>
    <t>Fechas preliminares</t>
  </si>
  <si>
    <t>TIR</t>
  </si>
  <si>
    <t>Variables financieras</t>
  </si>
  <si>
    <t>Flujos 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</si>
</sst>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  <numFmt numFmtId="167" formatCode="0.0%"/>
  </numFmts>
  <fonts count="5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NimbusSanLCon"/>
    </font>
    <font>
      <i/>
      <sz val="12"/>
      <color theme="1"/>
      <name val="NimbusSanLCon"/>
    </font>
    <font>
      <sz val="11"/>
      <color theme="1"/>
      <name val="NimbusSanLCon"/>
    </font>
    <font>
      <b/>
      <sz val="20"/>
      <color theme="1"/>
      <name val="Montserrat Regular"/>
    </font>
    <font>
      <b/>
      <sz val="14"/>
      <color rgb="FF380073"/>
      <name val="Montserrat"/>
    </font>
    <font>
      <b/>
      <sz val="12"/>
      <color theme="0"/>
      <name val="NimbusSanLCon"/>
    </font>
    <font>
      <sz val="11"/>
      <name val="Calibri"/>
      <family val="2"/>
    </font>
    <font>
      <sz val="11"/>
      <color theme="1"/>
      <name val="Montserrat Regular"/>
    </font>
    <font>
      <sz val="11"/>
      <color theme="1"/>
      <name val="Roboto Light"/>
    </font>
    <font>
      <sz val="9"/>
      <color rgb="FF7F4CAA"/>
      <name val="NimbusSanLCon"/>
    </font>
    <font>
      <sz val="9"/>
      <color theme="1"/>
      <name val="NimbusSanLCon"/>
    </font>
    <font>
      <sz val="11"/>
      <color rgb="FFF69A01"/>
      <name val="Roboto Light"/>
    </font>
    <font>
      <sz val="14"/>
      <color rgb="FF380073"/>
      <name val="Raleway"/>
    </font>
    <font>
      <sz val="12"/>
      <color theme="1"/>
      <name val="Raleway"/>
    </font>
    <font>
      <sz val="11"/>
      <color theme="1"/>
      <name val="Raleway"/>
    </font>
    <font>
      <sz val="15"/>
      <color theme="0"/>
      <name val="Raleway"/>
    </font>
    <font>
      <b/>
      <sz val="12"/>
      <color theme="1"/>
      <name val="Raleway"/>
    </font>
    <font>
      <sz val="12"/>
      <name val="Raleway"/>
    </font>
    <font>
      <b/>
      <sz val="20"/>
      <color theme="1"/>
      <name val="Raleway"/>
    </font>
    <font>
      <i/>
      <sz val="12"/>
      <color theme="1"/>
      <name val="Raleway"/>
    </font>
    <font>
      <b/>
      <sz val="11"/>
      <color theme="0"/>
      <name val="Raleway"/>
    </font>
    <font>
      <sz val="14"/>
      <color theme="0"/>
      <name val="Raleway"/>
    </font>
    <font>
      <b/>
      <sz val="14"/>
      <color rgb="FF380073"/>
      <name val="Raleway"/>
    </font>
    <font>
      <sz val="11"/>
      <name val="Raleway"/>
    </font>
    <font>
      <b/>
      <sz val="12"/>
      <color theme="0"/>
      <name val="Raleway"/>
    </font>
    <font>
      <sz val="14"/>
      <color theme="1"/>
      <name val="Raleway"/>
    </font>
    <font>
      <b/>
      <sz val="14"/>
      <color theme="0"/>
      <name val="Raleway"/>
    </font>
    <font>
      <sz val="11"/>
      <color rgb="FF8C58A3"/>
      <name val="Raleway"/>
    </font>
    <font>
      <sz val="15"/>
      <color theme="1"/>
      <name val="Raleway"/>
    </font>
    <font>
      <b/>
      <sz val="15"/>
      <color theme="0"/>
      <name val="Raleway"/>
    </font>
    <font>
      <sz val="12"/>
      <color rgb="FFC2569D"/>
      <name val="Raleway"/>
    </font>
    <font>
      <b/>
      <sz val="18"/>
      <color theme="0"/>
      <name val="Raleway"/>
    </font>
    <font>
      <b/>
      <sz val="18"/>
      <color theme="1"/>
      <name val="Raleway"/>
    </font>
    <font>
      <sz val="12"/>
      <color rgb="FF380073"/>
      <name val="Raleway"/>
    </font>
    <font>
      <sz val="12"/>
      <color theme="0"/>
      <name val="Raleway"/>
    </font>
    <font>
      <b/>
      <sz val="15"/>
      <color theme="1"/>
      <name val="Raleway"/>
    </font>
    <font>
      <sz val="15"/>
      <color rgb="FFFF0000"/>
      <name val="Raleway"/>
    </font>
    <font>
      <b/>
      <sz val="18"/>
      <color rgb="FFFF0000"/>
      <name val="Raleway"/>
    </font>
    <font>
      <sz val="11"/>
      <color rgb="FFFF0000"/>
      <name val="Raleway"/>
    </font>
    <font>
      <sz val="11"/>
      <color rgb="FFED708B"/>
      <name val="Roboto Light"/>
    </font>
    <font>
      <b/>
      <sz val="11"/>
      <color theme="1"/>
      <name val="Raleway"/>
    </font>
    <font>
      <b/>
      <sz val="14"/>
      <color theme="1"/>
      <name val="Raleway"/>
    </font>
    <font>
      <b/>
      <sz val="9"/>
      <color rgb="FF7F4CAA"/>
      <name val="Raleway"/>
    </font>
    <font>
      <b/>
      <sz val="11"/>
      <name val="Raleway"/>
    </font>
    <font>
      <sz val="15"/>
      <color theme="0" tint="-4.9989318521683403E-2"/>
      <name val="Raleway"/>
    </font>
    <font>
      <sz val="15"/>
      <color theme="1"/>
      <name val="NimbusSanLCon"/>
    </font>
    <font>
      <sz val="14"/>
      <color theme="1"/>
      <name val="Montserrat"/>
    </font>
    <font>
      <b/>
      <sz val="14"/>
      <color theme="0"/>
      <name val="Montserrat"/>
    </font>
    <font>
      <sz val="14"/>
      <color theme="1"/>
      <name val="NimbusSanLCon"/>
    </font>
    <font>
      <sz val="9"/>
      <color theme="1"/>
      <name val="Raleway"/>
    </font>
    <font>
      <sz val="15"/>
      <color rgb="FFF3F3F3"/>
      <name val="Raleway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F8A00"/>
      </patternFill>
    </fill>
    <fill>
      <patternFill patternType="solid">
        <fgColor theme="0"/>
        <bgColor rgb="FFF3F3F3"/>
      </patternFill>
    </fill>
    <fill>
      <patternFill patternType="solid">
        <fgColor rgb="FFE94C6E"/>
        <bgColor rgb="FFFF8A00"/>
      </patternFill>
    </fill>
    <fill>
      <patternFill patternType="solid">
        <fgColor rgb="FFED708B"/>
        <bgColor rgb="FFFF8A00"/>
      </patternFill>
    </fill>
    <fill>
      <patternFill patternType="solid">
        <fgColor rgb="FFE94C6E"/>
        <bgColor indexed="64"/>
      </patternFill>
    </fill>
    <fill>
      <patternFill patternType="solid">
        <fgColor rgb="FFED708B"/>
        <bgColor indexed="64"/>
      </patternFill>
    </fill>
    <fill>
      <patternFill patternType="solid">
        <fgColor theme="1"/>
        <bgColor rgb="FFF3F3F3"/>
      </patternFill>
    </fill>
    <fill>
      <patternFill patternType="solid">
        <fgColor rgb="FFF6B7C5"/>
        <bgColor rgb="FFFF8A00"/>
      </patternFill>
    </fill>
    <fill>
      <patternFill patternType="solid">
        <fgColor rgb="FFED708B"/>
        <bgColor rgb="FF475620"/>
      </patternFill>
    </fill>
    <fill>
      <patternFill patternType="solid">
        <fgColor rgb="FFE94C6E"/>
        <bgColor rgb="FF475620"/>
      </patternFill>
    </fill>
  </fills>
  <borders count="20">
    <border>
      <left/>
      <right/>
      <top/>
      <bottom/>
      <diagonal/>
    </border>
    <border>
      <left/>
      <right style="dotted">
        <color theme="0" tint="-0.24994659260841701"/>
      </right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92">
    <xf numFmtId="0" fontId="0" fillId="0" borderId="0" xfId="0"/>
    <xf numFmtId="0" fontId="3" fillId="2" borderId="0" xfId="0" applyFont="1" applyFill="1"/>
    <xf numFmtId="0" fontId="4" fillId="2" borderId="0" xfId="0" applyFont="1" applyFill="1"/>
    <xf numFmtId="165" fontId="3" fillId="2" borderId="0" xfId="0" applyNumberFormat="1" applyFont="1" applyFill="1"/>
    <xf numFmtId="0" fontId="5" fillId="0" borderId="0" xfId="0" applyFont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167" fontId="13" fillId="2" borderId="0" xfId="0" applyNumberFormat="1" applyFont="1" applyFill="1" applyAlignment="1">
      <alignment horizontal="center" vertical="center"/>
    </xf>
    <xf numFmtId="44" fontId="13" fillId="2" borderId="0" xfId="2" applyFont="1" applyFill="1" applyAlignment="1">
      <alignment horizontal="center" vertical="center"/>
    </xf>
    <xf numFmtId="0" fontId="14" fillId="3" borderId="0" xfId="0" quotePrefix="1" applyFont="1" applyFill="1" applyAlignment="1">
      <alignment horizontal="right" vertical="center"/>
    </xf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6" fillId="2" borderId="0" xfId="0" quotePrefix="1" applyFont="1" applyFill="1" applyAlignment="1">
      <alignment horizontal="left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/>
    <xf numFmtId="0" fontId="17" fillId="0" borderId="0" xfId="0" applyFont="1"/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6" fillId="3" borderId="5" xfId="5" applyFont="1" applyFill="1" applyBorder="1" applyAlignment="1">
      <alignment horizontal="left" vertical="center"/>
    </xf>
    <xf numFmtId="166" fontId="16" fillId="3" borderId="0" xfId="2" applyNumberFormat="1" applyFont="1" applyFill="1" applyBorder="1" applyAlignment="1">
      <alignment horizontal="center" vertical="center"/>
    </xf>
    <xf numFmtId="0" fontId="16" fillId="3" borderId="7" xfId="5" applyFont="1" applyFill="1" applyBorder="1" applyAlignment="1">
      <alignment horizontal="left" vertical="center"/>
    </xf>
    <xf numFmtId="166" fontId="16" fillId="3" borderId="8" xfId="2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5" xfId="6" applyFont="1" applyFill="1" applyBorder="1" applyAlignment="1">
      <alignment horizontal="left" vertical="center"/>
    </xf>
    <xf numFmtId="9" fontId="16" fillId="3" borderId="6" xfId="3" applyFont="1" applyFill="1" applyBorder="1" applyAlignment="1">
      <alignment horizontal="center" vertical="center"/>
    </xf>
    <xf numFmtId="9" fontId="16" fillId="3" borderId="0" xfId="0" applyNumberFormat="1" applyFont="1" applyFill="1" applyAlignment="1">
      <alignment horizontal="center" vertical="center"/>
    </xf>
    <xf numFmtId="166" fontId="19" fillId="3" borderId="6" xfId="2" applyNumberFormat="1" applyFont="1" applyFill="1" applyBorder="1" applyAlignment="1">
      <alignment horizontal="center" vertical="center"/>
    </xf>
    <xf numFmtId="166" fontId="16" fillId="3" borderId="6" xfId="2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5" applyFont="1" applyFill="1" applyBorder="1" applyAlignment="1">
      <alignment horizontal="left" vertical="center"/>
    </xf>
    <xf numFmtId="9" fontId="16" fillId="3" borderId="11" xfId="0" applyNumberFormat="1" applyFont="1" applyFill="1" applyBorder="1" applyAlignment="1">
      <alignment horizontal="center" vertical="center"/>
    </xf>
    <xf numFmtId="166" fontId="16" fillId="3" borderId="12" xfId="2" applyNumberFormat="1" applyFont="1" applyFill="1" applyBorder="1" applyAlignment="1">
      <alignment horizontal="center" vertical="center"/>
    </xf>
    <xf numFmtId="1" fontId="20" fillId="3" borderId="6" xfId="3" applyNumberFormat="1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0" xfId="5" applyFont="1" applyFill="1" applyAlignment="1">
      <alignment horizontal="left" vertical="center"/>
    </xf>
    <xf numFmtId="10" fontId="20" fillId="3" borderId="12" xfId="3" applyNumberFormat="1" applyFont="1" applyFill="1" applyBorder="1" applyAlignment="1">
      <alignment horizontal="center" vertical="center"/>
    </xf>
    <xf numFmtId="2" fontId="16" fillId="3" borderId="0" xfId="0" applyNumberFormat="1" applyFont="1" applyFill="1" applyAlignment="1">
      <alignment horizontal="center" vertical="center"/>
    </xf>
    <xf numFmtId="15" fontId="16" fillId="3" borderId="5" xfId="6" applyNumberFormat="1" applyFont="1" applyFill="1" applyBorder="1" applyAlignment="1">
      <alignment horizontal="left" vertical="center"/>
    </xf>
    <xf numFmtId="0" fontId="16" fillId="3" borderId="10" xfId="5" quotePrefix="1" applyFont="1" applyFill="1" applyBorder="1" applyAlignment="1">
      <alignment horizontal="left" vertical="center"/>
    </xf>
    <xf numFmtId="167" fontId="20" fillId="3" borderId="0" xfId="3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vertical="center"/>
    </xf>
    <xf numFmtId="0" fontId="21" fillId="2" borderId="0" xfId="0" applyFont="1" applyFill="1"/>
    <xf numFmtId="10" fontId="16" fillId="3" borderId="6" xfId="3" applyNumberFormat="1" applyFont="1" applyFill="1" applyBorder="1" applyAlignment="1">
      <alignment horizontal="center" vertical="center"/>
    </xf>
    <xf numFmtId="15" fontId="16" fillId="3" borderId="10" xfId="6" applyNumberFormat="1" applyFont="1" applyFill="1" applyBorder="1" applyAlignment="1">
      <alignment horizontal="left" vertical="center"/>
    </xf>
    <xf numFmtId="0" fontId="22" fillId="2" borderId="0" xfId="0" applyFont="1" applyFill="1"/>
    <xf numFmtId="2" fontId="23" fillId="3" borderId="0" xfId="4" applyNumberFormat="1" applyFont="1" applyFill="1" applyAlignment="1">
      <alignment vertical="center" wrapText="1"/>
    </xf>
    <xf numFmtId="9" fontId="19" fillId="3" borderId="11" xfId="3" applyFont="1" applyFill="1" applyBorder="1" applyAlignment="1">
      <alignment horizontal="center" vertical="center"/>
    </xf>
    <xf numFmtId="2" fontId="24" fillId="3" borderId="0" xfId="4" applyNumberFormat="1" applyFont="1" applyFill="1" applyAlignment="1">
      <alignment vertical="center" wrapText="1"/>
    </xf>
    <xf numFmtId="0" fontId="25" fillId="2" borderId="0" xfId="0" applyFont="1" applyFill="1" applyAlignment="1">
      <alignment vertical="center"/>
    </xf>
    <xf numFmtId="0" fontId="15" fillId="2" borderId="1" xfId="0" applyFont="1" applyFill="1" applyBorder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6" fillId="3" borderId="1" xfId="0" applyFont="1" applyFill="1" applyBorder="1"/>
    <xf numFmtId="0" fontId="28" fillId="2" borderId="0" xfId="0" applyFont="1" applyFill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166" fontId="31" fillId="5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6" fontId="31" fillId="7" borderId="1" xfId="0" applyNumberFormat="1" applyFont="1" applyFill="1" applyBorder="1" applyAlignment="1">
      <alignment horizontal="center" vertical="center"/>
    </xf>
    <xf numFmtId="38" fontId="31" fillId="5" borderId="14" xfId="0" applyNumberFormat="1" applyFont="1" applyFill="1" applyBorder="1" applyAlignment="1">
      <alignment horizontal="center" vertical="center"/>
    </xf>
    <xf numFmtId="166" fontId="16" fillId="3" borderId="0" xfId="0" applyNumberFormat="1" applyFont="1" applyFill="1" applyAlignment="1">
      <alignment horizontal="center" vertical="center"/>
    </xf>
    <xf numFmtId="164" fontId="31" fillId="2" borderId="0" xfId="0" applyNumberFormat="1" applyFont="1" applyFill="1" applyAlignment="1">
      <alignment horizontal="center" vertical="center"/>
    </xf>
    <xf numFmtId="9" fontId="16" fillId="3" borderId="0" xfId="3" applyFont="1" applyFill="1" applyAlignment="1">
      <alignment horizontal="center" vertical="center"/>
    </xf>
    <xf numFmtId="166" fontId="16" fillId="3" borderId="0" xfId="3" applyNumberFormat="1" applyFont="1" applyFill="1" applyAlignment="1">
      <alignment horizontal="center" vertical="center"/>
    </xf>
    <xf numFmtId="164" fontId="28" fillId="2" borderId="0" xfId="0" applyNumberFormat="1" applyFont="1" applyFill="1" applyAlignment="1">
      <alignment horizontal="center" vertical="center"/>
    </xf>
    <xf numFmtId="164" fontId="33" fillId="2" borderId="0" xfId="0" applyNumberFormat="1" applyFont="1" applyFill="1" applyAlignment="1">
      <alignment horizontal="center"/>
    </xf>
    <xf numFmtId="0" fontId="34" fillId="2" borderId="0" xfId="0" applyFont="1" applyFill="1" applyAlignment="1">
      <alignment vertical="center"/>
    </xf>
    <xf numFmtId="166" fontId="35" fillId="7" borderId="1" xfId="0" applyNumberFormat="1" applyFont="1" applyFill="1" applyBorder="1" applyAlignment="1">
      <alignment horizontal="center" vertical="center"/>
    </xf>
    <xf numFmtId="9" fontId="16" fillId="2" borderId="0" xfId="0" applyNumberFormat="1" applyFont="1" applyFill="1"/>
    <xf numFmtId="164" fontId="16" fillId="2" borderId="0" xfId="0" applyNumberFormat="1" applyFont="1" applyFill="1"/>
    <xf numFmtId="0" fontId="16" fillId="2" borderId="1" xfId="0" applyFont="1" applyFill="1" applyBorder="1"/>
    <xf numFmtId="0" fontId="17" fillId="2" borderId="0" xfId="0" applyFont="1" applyFill="1"/>
    <xf numFmtId="0" fontId="16" fillId="0" borderId="0" xfId="0" quotePrefix="1" applyFont="1" applyAlignment="1">
      <alignment horizontal="left"/>
    </xf>
    <xf numFmtId="0" fontId="16" fillId="0" borderId="0" xfId="0" applyFont="1"/>
    <xf numFmtId="0" fontId="16" fillId="3" borderId="0" xfId="0" applyFont="1" applyFill="1"/>
    <xf numFmtId="9" fontId="37" fillId="11" borderId="6" xfId="3" applyFont="1" applyFill="1" applyBorder="1" applyAlignment="1">
      <alignment horizontal="center" vertical="center"/>
    </xf>
    <xf numFmtId="10" fontId="37" fillId="11" borderId="12" xfId="3" applyNumberFormat="1" applyFont="1" applyFill="1" applyBorder="1" applyAlignment="1">
      <alignment horizontal="center" vertical="center"/>
    </xf>
    <xf numFmtId="3" fontId="32" fillId="9" borderId="13" xfId="0" applyNumberFormat="1" applyFont="1" applyFill="1" applyBorder="1" applyAlignment="1">
      <alignment horizontal="center" vertical="center"/>
    </xf>
    <xf numFmtId="3" fontId="32" fillId="9" borderId="14" xfId="0" applyNumberFormat="1" applyFont="1" applyFill="1" applyBorder="1" applyAlignment="1">
      <alignment horizontal="center" vertical="center"/>
    </xf>
    <xf numFmtId="164" fontId="32" fillId="8" borderId="14" xfId="0" applyNumberFormat="1" applyFont="1" applyFill="1" applyBorder="1" applyAlignment="1">
      <alignment horizontal="center" vertical="center"/>
    </xf>
    <xf numFmtId="164" fontId="38" fillId="13" borderId="14" xfId="0" applyNumberFormat="1" applyFont="1" applyFill="1" applyBorder="1" applyAlignment="1">
      <alignment horizontal="center" vertical="center"/>
    </xf>
    <xf numFmtId="0" fontId="42" fillId="3" borderId="0" xfId="0" quotePrefix="1" applyFont="1" applyFill="1" applyAlignment="1">
      <alignment horizontal="right" vertical="center"/>
    </xf>
    <xf numFmtId="0" fontId="24" fillId="12" borderId="16" xfId="0" applyFont="1" applyFill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/>
    </xf>
    <xf numFmtId="166" fontId="18" fillId="8" borderId="19" xfId="0" applyNumberFormat="1" applyFont="1" applyFill="1" applyBorder="1" applyAlignment="1">
      <alignment horizontal="center" vertical="center"/>
    </xf>
    <xf numFmtId="166" fontId="31" fillId="5" borderId="16" xfId="0" applyNumberFormat="1" applyFont="1" applyFill="1" applyBorder="1" applyAlignment="1">
      <alignment horizontal="center" vertical="center"/>
    </xf>
    <xf numFmtId="0" fontId="45" fillId="2" borderId="0" xfId="0" applyFont="1" applyFill="1" applyAlignment="1">
      <alignment vertical="center" wrapText="1"/>
    </xf>
    <xf numFmtId="0" fontId="43" fillId="0" borderId="0" xfId="0" applyFont="1"/>
    <xf numFmtId="0" fontId="16" fillId="2" borderId="0" xfId="0" quotePrefix="1" applyFont="1" applyFill="1" applyAlignment="1">
      <alignment horizontal="left"/>
    </xf>
    <xf numFmtId="0" fontId="12" fillId="2" borderId="0" xfId="0" applyFont="1" applyFill="1" applyAlignment="1">
      <alignment horizontal="center" vertical="center" wrapText="1"/>
    </xf>
    <xf numFmtId="9" fontId="22" fillId="3" borderId="0" xfId="3" applyFont="1" applyFill="1" applyAlignment="1">
      <alignment horizontal="center" vertical="center" wrapText="1"/>
    </xf>
    <xf numFmtId="166" fontId="47" fillId="5" borderId="17" xfId="0" applyNumberFormat="1" applyFont="1" applyFill="1" applyBorder="1" applyAlignment="1">
      <alignment horizontal="center" vertical="center"/>
    </xf>
    <xf numFmtId="166" fontId="47" fillId="5" borderId="18" xfId="0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3" fontId="16" fillId="3" borderId="6" xfId="1" applyNumberFormat="1" applyFont="1" applyFill="1" applyBorder="1" applyAlignment="1">
      <alignment horizontal="center" vertical="center"/>
    </xf>
    <xf numFmtId="166" fontId="16" fillId="3" borderId="9" xfId="2" applyNumberFormat="1" applyFont="1" applyFill="1" applyBorder="1" applyAlignment="1">
      <alignment horizontal="center" vertical="center"/>
    </xf>
    <xf numFmtId="2" fontId="43" fillId="4" borderId="5" xfId="4" applyNumberFormat="1" applyFont="1" applyFill="1" applyBorder="1" applyAlignment="1">
      <alignment horizontal="center" vertical="center" wrapText="1"/>
    </xf>
    <xf numFmtId="2" fontId="43" fillId="4" borderId="0" xfId="4" applyNumberFormat="1" applyFont="1" applyFill="1" applyAlignment="1">
      <alignment horizontal="center" vertical="center" wrapText="1"/>
    </xf>
    <xf numFmtId="2" fontId="43" fillId="4" borderId="6" xfId="4" applyNumberFormat="1" applyFont="1" applyFill="1" applyBorder="1" applyAlignment="1">
      <alignment horizontal="center" vertical="center" wrapText="1"/>
    </xf>
    <xf numFmtId="9" fontId="19" fillId="3" borderId="0" xfId="3" applyFont="1" applyFill="1" applyBorder="1" applyAlignment="1">
      <alignment horizontal="center" vertical="center"/>
    </xf>
    <xf numFmtId="166" fontId="48" fillId="5" borderId="14" xfId="0" applyNumberFormat="1" applyFont="1" applyFill="1" applyBorder="1" applyAlignment="1">
      <alignment horizontal="center" vertical="center"/>
    </xf>
    <xf numFmtId="166" fontId="39" fillId="5" borderId="14" xfId="0" applyNumberFormat="1" applyFont="1" applyFill="1" applyBorder="1" applyAlignment="1">
      <alignment horizontal="center" vertical="center"/>
    </xf>
    <xf numFmtId="1" fontId="37" fillId="11" borderId="12" xfId="3" applyNumberFormat="1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 wrapText="1"/>
    </xf>
    <xf numFmtId="0" fontId="50" fillId="2" borderId="14" xfId="0" applyFont="1" applyFill="1" applyBorder="1" applyAlignment="1">
      <alignment horizontal="center" vertical="center" wrapText="1"/>
    </xf>
    <xf numFmtId="0" fontId="51" fillId="5" borderId="0" xfId="0" applyFont="1" applyFill="1" applyAlignment="1">
      <alignment horizontal="center" vertical="center"/>
    </xf>
    <xf numFmtId="166" fontId="48" fillId="2" borderId="14" xfId="0" applyNumberFormat="1" applyFont="1" applyFill="1" applyBorder="1" applyAlignment="1">
      <alignment horizontal="center" vertical="center"/>
    </xf>
    <xf numFmtId="166" fontId="3" fillId="3" borderId="0" xfId="3" applyNumberFormat="1" applyFont="1" applyFill="1" applyAlignment="1">
      <alignment horizontal="center" vertical="center"/>
    </xf>
    <xf numFmtId="9" fontId="16" fillId="2" borderId="0" xfId="3" applyFont="1" applyFill="1"/>
    <xf numFmtId="166" fontId="32" fillId="8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wrapText="1"/>
    </xf>
    <xf numFmtId="0" fontId="16" fillId="0" borderId="0" xfId="0" quotePrefix="1" applyFont="1"/>
    <xf numFmtId="166" fontId="16" fillId="2" borderId="0" xfId="0" applyNumberFormat="1" applyFont="1" applyFill="1"/>
    <xf numFmtId="38" fontId="18" fillId="7" borderId="14" xfId="0" applyNumberFormat="1" applyFont="1" applyFill="1" applyBorder="1" applyAlignment="1">
      <alignment horizontal="center" vertical="center"/>
    </xf>
    <xf numFmtId="166" fontId="19" fillId="3" borderId="0" xfId="2" applyNumberFormat="1" applyFont="1" applyFill="1" applyBorder="1" applyAlignment="1">
      <alignment horizontal="center" vertical="center"/>
    </xf>
    <xf numFmtId="166" fontId="52" fillId="2" borderId="0" xfId="0" applyNumberFormat="1" applyFont="1" applyFill="1" applyAlignment="1">
      <alignment vertical="center" wrapText="1"/>
    </xf>
    <xf numFmtId="166" fontId="16" fillId="2" borderId="0" xfId="3" applyNumberFormat="1" applyFont="1" applyFill="1"/>
    <xf numFmtId="166" fontId="31" fillId="5" borderId="17" xfId="0" applyNumberFormat="1" applyFont="1" applyFill="1" applyBorder="1" applyAlignment="1">
      <alignment horizontal="center" vertical="center"/>
    </xf>
    <xf numFmtId="9" fontId="31" fillId="5" borderId="14" xfId="3" applyFont="1" applyFill="1" applyBorder="1" applyAlignment="1">
      <alignment horizontal="center" vertical="center"/>
    </xf>
    <xf numFmtId="9" fontId="53" fillId="5" borderId="14" xfId="3" applyFont="1" applyFill="1" applyBorder="1" applyAlignment="1">
      <alignment horizontal="center" vertical="center"/>
    </xf>
    <xf numFmtId="2" fontId="43" fillId="3" borderId="5" xfId="4" applyNumberFormat="1" applyFont="1" applyFill="1" applyBorder="1" applyAlignment="1">
      <alignment vertical="center" wrapText="1"/>
    </xf>
    <xf numFmtId="2" fontId="43" fillId="3" borderId="6" xfId="4" applyNumberFormat="1" applyFont="1" applyFill="1" applyBorder="1" applyAlignment="1">
      <alignment vertical="center" wrapText="1"/>
    </xf>
    <xf numFmtId="2" fontId="43" fillId="3" borderId="0" xfId="4" applyNumberFormat="1" applyFont="1" applyFill="1" applyAlignment="1">
      <alignment vertical="center" wrapText="1"/>
    </xf>
    <xf numFmtId="2" fontId="43" fillId="3" borderId="10" xfId="4" applyNumberFormat="1" applyFont="1" applyFill="1" applyBorder="1" applyAlignment="1">
      <alignment vertical="center" wrapText="1"/>
    </xf>
    <xf numFmtId="2" fontId="43" fillId="3" borderId="11" xfId="4" applyNumberFormat="1" applyFont="1" applyFill="1" applyBorder="1" applyAlignment="1">
      <alignment vertical="center" wrapText="1"/>
    </xf>
    <xf numFmtId="2" fontId="43" fillId="3" borderId="12" xfId="4" applyNumberFormat="1" applyFont="1" applyFill="1" applyBorder="1" applyAlignment="1">
      <alignment vertical="center" wrapText="1"/>
    </xf>
    <xf numFmtId="0" fontId="16" fillId="2" borderId="0" xfId="0" quotePrefix="1" applyFont="1" applyFill="1" applyAlignment="1">
      <alignment horizontal="left" wrapText="1"/>
    </xf>
    <xf numFmtId="0" fontId="16" fillId="2" borderId="0" xfId="0" applyFont="1" applyFill="1" applyAlignment="1">
      <alignment horizontal="left" wrapText="1"/>
    </xf>
    <xf numFmtId="0" fontId="16" fillId="2" borderId="0" xfId="0" quotePrefix="1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166" fontId="40" fillId="5" borderId="13" xfId="0" applyNumberFormat="1" applyFont="1" applyFill="1" applyBorder="1" applyAlignment="1">
      <alignment horizontal="center" vertical="center"/>
    </xf>
    <xf numFmtId="166" fontId="40" fillId="5" borderId="15" xfId="0" applyNumberFormat="1" applyFont="1" applyFill="1" applyBorder="1" applyAlignment="1">
      <alignment horizontal="center" vertical="center"/>
    </xf>
    <xf numFmtId="2" fontId="36" fillId="0" borderId="0" xfId="0" applyNumberFormat="1" applyFont="1" applyAlignment="1">
      <alignment horizontal="center" vertical="center" wrapText="1"/>
    </xf>
    <xf numFmtId="164" fontId="34" fillId="14" borderId="13" xfId="0" applyNumberFormat="1" applyFont="1" applyFill="1" applyBorder="1" applyAlignment="1">
      <alignment horizontal="center" vertical="center"/>
    </xf>
    <xf numFmtId="0" fontId="26" fillId="11" borderId="15" xfId="0" applyFont="1" applyFill="1" applyBorder="1"/>
    <xf numFmtId="38" fontId="34" fillId="2" borderId="13" xfId="0" applyNumberFormat="1" applyFont="1" applyFill="1" applyBorder="1" applyAlignment="1">
      <alignment horizontal="center" vertical="center"/>
    </xf>
    <xf numFmtId="38" fontId="34" fillId="2" borderId="15" xfId="0" applyNumberFormat="1" applyFont="1" applyFill="1" applyBorder="1" applyAlignment="1">
      <alignment horizontal="center" vertical="center"/>
    </xf>
    <xf numFmtId="0" fontId="41" fillId="0" borderId="15" xfId="0" applyFont="1" applyBorder="1"/>
    <xf numFmtId="164" fontId="35" fillId="5" borderId="13" xfId="0" applyNumberFormat="1" applyFont="1" applyFill="1" applyBorder="1" applyAlignment="1">
      <alignment horizontal="center" vertical="center"/>
    </xf>
    <xf numFmtId="0" fontId="26" fillId="0" borderId="15" xfId="0" applyFont="1" applyBorder="1"/>
    <xf numFmtId="166" fontId="32" fillId="8" borderId="2" xfId="0" applyNumberFormat="1" applyFont="1" applyFill="1" applyBorder="1" applyAlignment="1">
      <alignment horizontal="center" vertical="center"/>
    </xf>
    <xf numFmtId="166" fontId="32" fillId="8" borderId="3" xfId="0" applyNumberFormat="1" applyFont="1" applyFill="1" applyBorder="1" applyAlignment="1">
      <alignment horizontal="center" vertical="center"/>
    </xf>
    <xf numFmtId="166" fontId="32" fillId="8" borderId="4" xfId="0" applyNumberFormat="1" applyFont="1" applyFill="1" applyBorder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9" fillId="8" borderId="13" xfId="0" quotePrefix="1" applyFont="1" applyFill="1" applyBorder="1" applyAlignment="1">
      <alignment horizontal="center" vertical="center" wrapText="1"/>
    </xf>
    <xf numFmtId="0" fontId="46" fillId="10" borderId="14" xfId="0" applyFont="1" applyFill="1" applyBorder="1"/>
    <xf numFmtId="0" fontId="46" fillId="10" borderId="15" xfId="0" applyFont="1" applyFill="1" applyBorder="1"/>
    <xf numFmtId="2" fontId="43" fillId="4" borderId="5" xfId="4" applyNumberFormat="1" applyFont="1" applyFill="1" applyBorder="1" applyAlignment="1">
      <alignment horizontal="center" vertical="center" wrapText="1"/>
    </xf>
    <xf numFmtId="2" fontId="43" fillId="4" borderId="0" xfId="4" applyNumberFormat="1" applyFont="1" applyFill="1" applyAlignment="1">
      <alignment horizontal="center" vertical="center" wrapText="1"/>
    </xf>
    <xf numFmtId="2" fontId="43" fillId="4" borderId="6" xfId="4" applyNumberFormat="1" applyFont="1" applyFill="1" applyBorder="1" applyAlignment="1">
      <alignment horizontal="center" vertical="center" wrapText="1"/>
    </xf>
    <xf numFmtId="0" fontId="44" fillId="5" borderId="3" xfId="0" quotePrefix="1" applyFont="1" applyFill="1" applyBorder="1" applyAlignment="1">
      <alignment horizontal="center" vertical="center" wrapText="1"/>
    </xf>
    <xf numFmtId="0" fontId="46" fillId="0" borderId="0" xfId="0" applyFont="1"/>
    <xf numFmtId="0" fontId="46" fillId="0" borderId="11" xfId="0" applyFont="1" applyBorder="1"/>
    <xf numFmtId="0" fontId="12" fillId="2" borderId="0" xfId="0" applyFont="1" applyFill="1" applyAlignment="1">
      <alignment horizontal="center" vertical="center" wrapText="1"/>
    </xf>
    <xf numFmtId="0" fontId="9" fillId="0" borderId="0" xfId="0" applyFont="1"/>
    <xf numFmtId="0" fontId="44" fillId="5" borderId="2" xfId="0" applyFont="1" applyFill="1" applyBorder="1" applyAlignment="1">
      <alignment horizontal="center" vertical="center" wrapText="1"/>
    </xf>
    <xf numFmtId="0" fontId="46" fillId="0" borderId="5" xfId="0" applyFont="1" applyBorder="1"/>
    <xf numFmtId="0" fontId="46" fillId="0" borderId="10" xfId="0" applyFont="1" applyBorder="1"/>
    <xf numFmtId="0" fontId="44" fillId="5" borderId="3" xfId="0" applyFont="1" applyFill="1" applyBorder="1" applyAlignment="1">
      <alignment horizontal="center" vertical="center" wrapText="1"/>
    </xf>
    <xf numFmtId="9" fontId="22" fillId="3" borderId="0" xfId="3" applyFont="1" applyFill="1" applyAlignment="1">
      <alignment horizontal="center" vertical="center" wrapText="1"/>
    </xf>
    <xf numFmtId="0" fontId="29" fillId="8" borderId="14" xfId="0" applyFont="1" applyFill="1" applyBorder="1" applyAlignment="1">
      <alignment horizontal="center" vertical="center" wrapText="1"/>
    </xf>
    <xf numFmtId="0" fontId="29" fillId="8" borderId="13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center" vertical="center" wrapText="1"/>
    </xf>
    <xf numFmtId="0" fontId="44" fillId="5" borderId="0" xfId="0" applyFont="1" applyFill="1" applyAlignment="1">
      <alignment horizontal="center" vertical="center" wrapText="1"/>
    </xf>
    <xf numFmtId="0" fontId="44" fillId="5" borderId="11" xfId="0" applyFont="1" applyFill="1" applyBorder="1" applyAlignment="1">
      <alignment horizontal="center" vertical="center" wrapText="1"/>
    </xf>
    <xf numFmtId="166" fontId="35" fillId="5" borderId="13" xfId="0" applyNumberFormat="1" applyFont="1" applyFill="1" applyBorder="1" applyAlignment="1">
      <alignment horizontal="center" vertical="center"/>
    </xf>
    <xf numFmtId="166" fontId="26" fillId="0" borderId="15" xfId="0" applyNumberFormat="1" applyFont="1" applyBorder="1"/>
    <xf numFmtId="164" fontId="34" fillId="15" borderId="13" xfId="0" applyNumberFormat="1" applyFont="1" applyFill="1" applyBorder="1" applyAlignment="1">
      <alignment horizontal="center" vertical="center"/>
    </xf>
    <xf numFmtId="0" fontId="26" fillId="10" borderId="15" xfId="0" applyFont="1" applyFill="1" applyBorder="1"/>
    <xf numFmtId="0" fontId="29" fillId="8" borderId="14" xfId="0" quotePrefix="1" applyFont="1" applyFill="1" applyBorder="1" applyAlignment="1">
      <alignment horizontal="center" vertical="center" wrapText="1"/>
    </xf>
    <xf numFmtId="9" fontId="22" fillId="3" borderId="0" xfId="3" quotePrefix="1" applyFont="1" applyFill="1" applyAlignment="1">
      <alignment horizontal="center" vertical="center" wrapText="1"/>
    </xf>
    <xf numFmtId="2" fontId="43" fillId="3" borderId="0" xfId="4" applyNumberFormat="1" applyFont="1" applyFill="1" applyBorder="1" applyAlignment="1">
      <alignment vertical="center" wrapText="1"/>
    </xf>
    <xf numFmtId="9" fontId="52" fillId="2" borderId="0" xfId="3" applyFont="1" applyFill="1" applyAlignment="1">
      <alignment vertical="center" wrapText="1"/>
    </xf>
    <xf numFmtId="0" fontId="21" fillId="2" borderId="0" xfId="0" quotePrefix="1" applyFont="1" applyFill="1" applyAlignment="1">
      <alignment vertical="center"/>
    </xf>
    <xf numFmtId="0" fontId="21" fillId="2" borderId="0" xfId="0" applyFont="1" applyFill="1" applyAlignment="1">
      <alignment vertical="center"/>
    </xf>
    <xf numFmtId="2" fontId="10" fillId="4" borderId="2" xfId="4" applyNumberFormat="1" applyFont="1" applyFill="1" applyBorder="1" applyAlignment="1">
      <alignment horizontal="center" vertical="center" wrapText="1"/>
    </xf>
    <xf numFmtId="2" fontId="10" fillId="4" borderId="3" xfId="4" applyNumberFormat="1" applyFont="1" applyFill="1" applyBorder="1" applyAlignment="1">
      <alignment horizontal="center" vertical="center" wrapText="1"/>
    </xf>
    <xf numFmtId="2" fontId="10" fillId="4" borderId="4" xfId="4" applyNumberFormat="1" applyFont="1" applyFill="1" applyBorder="1" applyAlignment="1">
      <alignment horizontal="center" vertical="center" wrapText="1"/>
    </xf>
    <xf numFmtId="9" fontId="37" fillId="3" borderId="6" xfId="3" applyFont="1" applyFill="1" applyBorder="1" applyAlignment="1">
      <alignment horizontal="center" vertical="center"/>
    </xf>
    <xf numFmtId="166" fontId="0" fillId="0" borderId="0" xfId="0" applyNumberFormat="1"/>
  </cellXfs>
  <cellStyles count="7">
    <cellStyle name="Comma" xfId="1" builtinId="3"/>
    <cellStyle name="Currency" xfId="2" builtinId="4"/>
    <cellStyle name="Normal" xfId="0" builtinId="0"/>
    <cellStyle name="Normal 5" xfId="4" xr:uid="{7A5C81C0-8CC8-5444-A749-9DD7267174FB}"/>
    <cellStyle name="Normal 5 4" xfId="5" xr:uid="{B5D1625B-13BA-4443-B5A1-F83E4ECA05AD}"/>
    <cellStyle name="Normal 5 4 2" xfId="6" xr:uid="{55173ECB-03F9-9B43-B8DB-12217917D37E}"/>
    <cellStyle name="Percent" xfId="3" builtinId="5"/>
  </cellStyles>
  <dxfs count="0"/>
  <tableStyles count="0" defaultTableStyle="TableStyleMedium2" defaultPivotStyle="PivotStyleLight16"/>
  <colors>
    <mruColors>
      <color rgb="FFF3F3F3"/>
      <color rgb="FFED708B"/>
      <color rgb="FFE94C6E"/>
      <color rgb="FFF6B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son/Desktop/1.%20Finsolar/Machotes%20Sept%202023/Jan%2024%20Renova%20Fund/$20M/Sources/Finsolar%20Renova%20Fund%2020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Rang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CC8E-C124-8A49-BE75-06E94F7B92AD}">
  <sheetPr>
    <tabColor rgb="FF380073"/>
    <pageSetUpPr fitToPage="1"/>
  </sheetPr>
  <dimension ref="A1:AQ16399"/>
  <sheetViews>
    <sheetView showGridLines="0" tabSelected="1" zoomScale="68" zoomScaleNormal="85" workbookViewId="0">
      <selection activeCell="AE22" sqref="AE22"/>
    </sheetView>
  </sheetViews>
  <sheetFormatPr defaultColWidth="0" defaultRowHeight="0" customHeight="1" zeroHeight="1"/>
  <cols>
    <col min="1" max="1" width="10.6640625" customWidth="1"/>
    <col min="2" max="10" width="23.53125" customWidth="1"/>
    <col min="11" max="11" width="23.6640625" customWidth="1"/>
    <col min="12" max="14" width="27.33203125" customWidth="1"/>
    <col min="15" max="15" width="27.46484375" customWidth="1"/>
    <col min="16" max="16" width="10.33203125" customWidth="1"/>
    <col min="17" max="17" width="16.6640625" customWidth="1"/>
    <col min="18" max="18" width="25.33203125" style="16" customWidth="1"/>
    <col min="19" max="21" width="25.33203125" customWidth="1"/>
    <col min="22" max="22" width="20.46484375" customWidth="1"/>
    <col min="23" max="23" width="25.33203125" customWidth="1"/>
    <col min="24" max="24" width="28.46484375" customWidth="1"/>
    <col min="25" max="25" width="14.796875" customWidth="1"/>
    <col min="26" max="26" width="30.46484375" bestFit="1" customWidth="1"/>
    <col min="27" max="27" width="24.19921875" customWidth="1"/>
    <col min="28" max="29" width="27.33203125" style="4" customWidth="1"/>
    <col min="30" max="30" width="26.46484375" style="4" customWidth="1"/>
    <col min="31" max="31" width="22.796875" customWidth="1"/>
    <col min="32" max="32" width="22.19921875" hidden="1"/>
    <col min="33" max="37" width="17.1328125" hidden="1"/>
    <col min="38" max="40" width="14.46484375" hidden="1"/>
    <col min="41" max="41" width="16" hidden="1"/>
    <col min="42" max="42" width="15.33203125" hidden="1"/>
    <col min="43" max="43" width="15.796875" hidden="1"/>
    <col min="44" max="16384" width="14.46484375" hidden="1"/>
  </cols>
  <sheetData>
    <row r="1" spans="1:3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</row>
    <row r="2" spans="1:33" ht="25.15" hidden="1">
      <c r="A2" s="17"/>
      <c r="B2" s="17" t="s">
        <v>46</v>
      </c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5" t="s">
        <v>0</v>
      </c>
      <c r="P2" s="1"/>
      <c r="Q2" s="1"/>
      <c r="R2" s="1"/>
      <c r="S2" s="1"/>
      <c r="T2" s="1"/>
      <c r="U2" s="1"/>
      <c r="V2" s="1"/>
      <c r="W2" s="1"/>
      <c r="X2" s="1"/>
    </row>
    <row r="3" spans="1:33" ht="15" customHeight="1" thickBot="1">
      <c r="A3" s="6"/>
      <c r="B3" s="18"/>
      <c r="C3" s="19"/>
      <c r="D3" s="19"/>
      <c r="E3" s="20"/>
      <c r="F3" s="20"/>
      <c r="G3" s="20"/>
      <c r="H3" s="5"/>
      <c r="I3" s="20"/>
      <c r="J3" s="20"/>
      <c r="K3" s="20"/>
      <c r="L3" s="20"/>
      <c r="M3" s="20"/>
      <c r="N3" s="20"/>
      <c r="O3" s="19"/>
      <c r="P3" s="19"/>
      <c r="Q3" s="19"/>
      <c r="R3" s="20"/>
      <c r="S3" s="20"/>
      <c r="T3" s="20"/>
      <c r="U3" s="19"/>
      <c r="V3" s="19"/>
      <c r="W3" s="20"/>
      <c r="X3" s="20"/>
      <c r="Y3" s="21"/>
      <c r="Z3" s="21"/>
      <c r="AA3" s="21"/>
      <c r="AB3" s="22"/>
      <c r="AC3" s="22"/>
      <c r="AD3" s="22"/>
      <c r="AE3" s="21"/>
      <c r="AF3" s="21"/>
      <c r="AG3" s="21"/>
    </row>
    <row r="4" spans="1:33" s="8" customFormat="1" ht="24" customHeight="1" thickTop="1">
      <c r="B4" s="152" t="s">
        <v>1</v>
      </c>
      <c r="C4" s="153"/>
      <c r="D4" s="154"/>
      <c r="E4" s="20"/>
      <c r="F4" s="20"/>
      <c r="G4" s="20"/>
      <c r="H4" s="5"/>
      <c r="I4" s="152" t="s">
        <v>2</v>
      </c>
      <c r="J4" s="153"/>
      <c r="K4" s="154"/>
      <c r="L4" s="20"/>
      <c r="M4" s="20"/>
      <c r="N4" s="20"/>
      <c r="O4" s="152" t="s">
        <v>71</v>
      </c>
      <c r="P4" s="153"/>
      <c r="Q4" s="154"/>
      <c r="R4" s="20"/>
      <c r="S4" s="152" t="s">
        <v>3</v>
      </c>
      <c r="T4" s="153"/>
      <c r="U4" s="153"/>
      <c r="V4" s="23"/>
      <c r="W4" s="23"/>
      <c r="X4" s="23"/>
      <c r="Y4" s="23"/>
      <c r="Z4" s="23"/>
      <c r="AA4" s="23"/>
      <c r="AB4" s="24"/>
      <c r="AC4" s="24"/>
      <c r="AD4" s="24"/>
      <c r="AE4" s="23"/>
      <c r="AF4" s="23"/>
      <c r="AG4" s="23"/>
    </row>
    <row r="5" spans="1:33" s="8" customFormat="1" ht="20" customHeight="1">
      <c r="B5" s="25" t="s">
        <v>4</v>
      </c>
      <c r="C5" s="26" t="s">
        <v>5</v>
      </c>
      <c r="D5" s="106">
        <v>516.79999999999984</v>
      </c>
      <c r="E5" s="105"/>
      <c r="F5" s="105"/>
      <c r="G5" s="105"/>
      <c r="H5" s="5"/>
      <c r="I5" s="159" t="s">
        <v>6</v>
      </c>
      <c r="J5" s="160"/>
      <c r="K5" s="161"/>
      <c r="L5" s="20"/>
      <c r="M5" s="20"/>
      <c r="N5" s="20"/>
      <c r="O5" s="108" t="s">
        <v>19</v>
      </c>
      <c r="P5" s="109"/>
      <c r="Q5" s="110"/>
      <c r="R5" s="20"/>
      <c r="S5" s="159" t="s">
        <v>7</v>
      </c>
      <c r="T5" s="160"/>
      <c r="U5" s="160"/>
      <c r="V5" s="23"/>
      <c r="W5" s="23"/>
      <c r="X5" s="23"/>
      <c r="Y5" s="23"/>
      <c r="Z5" s="23"/>
      <c r="AA5" s="23"/>
      <c r="AB5" s="24"/>
      <c r="AC5" s="24"/>
      <c r="AD5" s="24"/>
      <c r="AE5" s="23"/>
      <c r="AF5" s="23"/>
      <c r="AG5" s="23"/>
    </row>
    <row r="6" spans="1:33" s="10" customFormat="1" ht="20" customHeight="1" thickBot="1">
      <c r="B6" s="27" t="s">
        <v>8</v>
      </c>
      <c r="C6" s="28" t="s">
        <v>9</v>
      </c>
      <c r="D6" s="107">
        <v>33333333.333334263</v>
      </c>
      <c r="E6" s="20"/>
      <c r="F6" s="20"/>
      <c r="G6" s="20"/>
      <c r="H6" s="5"/>
      <c r="I6" s="25" t="s">
        <v>10</v>
      </c>
      <c r="J6" s="29"/>
      <c r="K6" s="30" t="s">
        <v>9</v>
      </c>
      <c r="L6" s="20"/>
      <c r="M6" s="20"/>
      <c r="N6" s="20"/>
      <c r="O6" s="46" t="s">
        <v>20</v>
      </c>
      <c r="P6" s="41"/>
      <c r="Q6" s="88">
        <v>0.09</v>
      </c>
      <c r="R6" s="20"/>
      <c r="S6" s="25" t="s">
        <v>11</v>
      </c>
      <c r="T6" s="36" t="s">
        <v>12</v>
      </c>
      <c r="U6" s="35">
        <v>63.959254165982941</v>
      </c>
      <c r="V6" s="20"/>
      <c r="W6" s="23"/>
      <c r="X6" s="23"/>
      <c r="Y6" s="23"/>
      <c r="Z6" s="23"/>
      <c r="AA6" s="23"/>
      <c r="AB6" s="24"/>
      <c r="AC6" s="24"/>
      <c r="AD6" s="24"/>
      <c r="AE6" s="23"/>
      <c r="AF6" s="23"/>
      <c r="AG6" s="23"/>
    </row>
    <row r="7" spans="1:33" s="10" customFormat="1" ht="20" customHeight="1" thickTop="1" thickBot="1">
      <c r="B7" s="25" t="s">
        <v>13</v>
      </c>
      <c r="C7" s="33">
        <v>0.3</v>
      </c>
      <c r="D7" s="34">
        <f>C7*$D$6</f>
        <v>10000000.000000279</v>
      </c>
      <c r="E7" s="20"/>
      <c r="F7" s="20"/>
      <c r="G7" s="20"/>
      <c r="H7" s="5"/>
      <c r="I7" s="25" t="s">
        <v>14</v>
      </c>
      <c r="J7" s="33"/>
      <c r="K7" s="35">
        <f>D8</f>
        <v>23333333.333333984</v>
      </c>
      <c r="L7" s="20"/>
      <c r="M7" s="20"/>
      <c r="N7" s="20"/>
      <c r="O7" s="31" t="s">
        <v>55</v>
      </c>
      <c r="P7" s="33"/>
      <c r="Q7" s="88">
        <v>0.15</v>
      </c>
      <c r="R7" s="20"/>
      <c r="S7" s="37" t="s">
        <v>15</v>
      </c>
      <c r="T7" s="41" t="s">
        <v>16</v>
      </c>
      <c r="U7" s="88">
        <v>7.4999999999999997E-2</v>
      </c>
      <c r="V7" s="23"/>
      <c r="W7" s="23"/>
      <c r="X7" s="23"/>
      <c r="Y7" s="23"/>
      <c r="Z7" s="23"/>
      <c r="AA7" s="23"/>
      <c r="AB7" s="24"/>
      <c r="AC7" s="24"/>
      <c r="AD7" s="24"/>
      <c r="AE7" s="23"/>
      <c r="AF7" s="23"/>
      <c r="AG7" s="23"/>
    </row>
    <row r="8" spans="1:33" s="10" customFormat="1" ht="20" customHeight="1" thickTop="1" thickBot="1">
      <c r="B8" s="37" t="s">
        <v>17</v>
      </c>
      <c r="C8" s="38">
        <f>1-C7</f>
        <v>0.7</v>
      </c>
      <c r="D8" s="39">
        <f>C8*$D$6</f>
        <v>23333333.333333984</v>
      </c>
      <c r="E8" s="20"/>
      <c r="F8" s="20"/>
      <c r="G8" s="20"/>
      <c r="H8" s="5"/>
      <c r="I8" s="25" t="s">
        <v>18</v>
      </c>
      <c r="J8" s="36"/>
      <c r="K8" s="40">
        <f>D16-D17</f>
        <v>20</v>
      </c>
      <c r="L8" s="20"/>
      <c r="M8" s="20"/>
      <c r="N8" s="20"/>
      <c r="O8" s="132"/>
      <c r="P8" s="134"/>
      <c r="Q8" s="133"/>
      <c r="R8" s="20"/>
      <c r="S8" s="37" t="s">
        <v>45</v>
      </c>
      <c r="T8" s="41"/>
      <c r="U8" s="87" t="s">
        <v>56</v>
      </c>
      <c r="V8" s="20"/>
      <c r="W8" s="20"/>
      <c r="X8" s="23"/>
      <c r="Y8" s="23"/>
      <c r="Z8" s="23"/>
      <c r="AA8" s="23"/>
      <c r="AB8" s="24"/>
      <c r="AC8" s="24"/>
      <c r="AD8" s="24"/>
      <c r="AE8" s="23"/>
      <c r="AF8" s="23"/>
      <c r="AG8" s="23"/>
    </row>
    <row r="9" spans="1:33" s="10" customFormat="1" ht="20" customHeight="1" thickTop="1" thickBot="1">
      <c r="B9" s="42"/>
      <c r="C9" s="26"/>
      <c r="D9" s="26"/>
      <c r="E9" s="20"/>
      <c r="F9" s="20"/>
      <c r="G9" s="20"/>
      <c r="H9" s="37"/>
      <c r="I9" s="41"/>
      <c r="J9" s="41"/>
      <c r="K9" s="43"/>
      <c r="L9" s="20"/>
      <c r="M9" s="20"/>
      <c r="N9" s="20"/>
      <c r="O9" s="31"/>
      <c r="P9" s="134"/>
      <c r="Q9" s="190"/>
      <c r="R9" s="20"/>
      <c r="S9" s="20"/>
      <c r="T9" s="20"/>
      <c r="U9" s="23"/>
      <c r="V9" s="23"/>
      <c r="W9" s="23"/>
      <c r="X9" s="23"/>
      <c r="Y9" s="23"/>
      <c r="Z9" s="23"/>
      <c r="AA9" s="23"/>
      <c r="AB9" s="24"/>
      <c r="AC9" s="24"/>
      <c r="AD9" s="24"/>
      <c r="AE9" s="23"/>
      <c r="AF9" s="23"/>
      <c r="AG9" s="23"/>
    </row>
    <row r="10" spans="1:33" s="10" customFormat="1" ht="20" customHeight="1" thickTop="1" thickBot="1">
      <c r="B10" s="152" t="s">
        <v>21</v>
      </c>
      <c r="C10" s="153"/>
      <c r="D10" s="154"/>
      <c r="E10" s="20"/>
      <c r="F10" s="20"/>
      <c r="G10" s="20"/>
      <c r="H10" s="37"/>
      <c r="I10" s="20"/>
      <c r="J10" s="20"/>
      <c r="K10" s="20"/>
      <c r="L10" s="20"/>
      <c r="M10" s="20"/>
      <c r="N10" s="20"/>
      <c r="O10" s="135"/>
      <c r="P10" s="136"/>
      <c r="Q10" s="137"/>
      <c r="R10" s="20"/>
      <c r="S10" s="20"/>
      <c r="T10" s="20"/>
      <c r="U10" s="23"/>
      <c r="V10" s="23"/>
      <c r="W10" s="23"/>
      <c r="X10" s="23"/>
      <c r="Y10" s="23"/>
      <c r="Z10" s="23"/>
      <c r="AA10" s="23"/>
      <c r="AB10" s="24"/>
      <c r="AC10" s="24"/>
      <c r="AD10" s="24"/>
      <c r="AE10" s="23"/>
      <c r="AF10" s="23"/>
      <c r="AG10" s="23"/>
    </row>
    <row r="11" spans="1:33" s="10" customFormat="1" ht="20" customHeight="1" thickTop="1" thickBot="1">
      <c r="B11" s="108" t="s">
        <v>23</v>
      </c>
      <c r="C11" s="109"/>
      <c r="D11" s="110"/>
      <c r="E11" s="20"/>
      <c r="F11" s="20"/>
      <c r="G11" s="20"/>
      <c r="H11" s="37"/>
      <c r="I11" s="152" t="s">
        <v>22</v>
      </c>
      <c r="J11" s="153"/>
      <c r="K11" s="154"/>
      <c r="L11" s="20"/>
      <c r="M11" s="20"/>
      <c r="N11" s="20"/>
      <c r="O11" s="187" t="s">
        <v>47</v>
      </c>
      <c r="P11" s="188"/>
      <c r="Q11" s="189"/>
      <c r="R11" s="20"/>
      <c r="S11" s="20"/>
      <c r="T11" s="20"/>
      <c r="U11" s="23"/>
      <c r="V11" s="23"/>
      <c r="W11" s="23"/>
      <c r="X11" s="23"/>
      <c r="Y11" s="23"/>
      <c r="Z11" s="23"/>
      <c r="AA11" s="23"/>
      <c r="AB11" s="24"/>
      <c r="AC11" s="24"/>
      <c r="AD11" s="24"/>
      <c r="AE11" s="23"/>
      <c r="AF11" s="23"/>
      <c r="AG11" s="23"/>
    </row>
    <row r="12" spans="1:33" s="10" customFormat="1" ht="20" customHeight="1" thickTop="1" thickBot="1">
      <c r="B12" s="25" t="s">
        <v>24</v>
      </c>
      <c r="C12" s="44" t="s">
        <v>25</v>
      </c>
      <c r="D12" s="35">
        <v>1481666.666666708</v>
      </c>
      <c r="E12" s="20"/>
      <c r="F12" s="20"/>
      <c r="G12" s="20"/>
      <c r="H12" s="37"/>
      <c r="I12" s="159" t="s">
        <v>69</v>
      </c>
      <c r="J12" s="160"/>
      <c r="K12" s="161"/>
      <c r="L12" s="20"/>
      <c r="M12" s="20"/>
      <c r="N12" s="20"/>
      <c r="O12" s="46" t="s">
        <v>48</v>
      </c>
      <c r="P12" s="41" t="s">
        <v>28</v>
      </c>
      <c r="Q12" s="114">
        <v>0</v>
      </c>
      <c r="R12" s="20"/>
      <c r="S12" s="20"/>
      <c r="T12" s="20"/>
      <c r="U12" s="23"/>
      <c r="V12" s="23"/>
      <c r="W12" s="23"/>
      <c r="X12" s="23"/>
      <c r="Y12" s="23"/>
      <c r="Z12" s="23"/>
      <c r="AA12" s="23"/>
      <c r="AB12" s="24"/>
      <c r="AC12" s="24"/>
      <c r="AD12" s="24"/>
      <c r="AE12" s="23"/>
      <c r="AF12" s="23"/>
      <c r="AG12" s="23"/>
    </row>
    <row r="13" spans="1:33" s="10" customFormat="1" ht="20" customHeight="1" thickTop="1" thickBot="1">
      <c r="B13" s="25" t="s">
        <v>15</v>
      </c>
      <c r="C13" s="47">
        <v>3.5000000000000003E-2</v>
      </c>
      <c r="D13" s="48"/>
      <c r="E13" s="20"/>
      <c r="F13" s="20"/>
      <c r="G13" s="20"/>
      <c r="H13" s="37"/>
      <c r="I13" s="45">
        <v>45991</v>
      </c>
      <c r="J13" s="33">
        <v>0.4</v>
      </c>
      <c r="K13" s="35">
        <f>J13*$D$7</f>
        <v>4000000.0000001118</v>
      </c>
      <c r="L13" s="20"/>
      <c r="M13" s="20"/>
      <c r="N13" s="20"/>
      <c r="O13" s="132"/>
      <c r="P13" s="134"/>
      <c r="Q13" s="133"/>
      <c r="R13" s="20"/>
      <c r="S13" s="20"/>
      <c r="T13" s="20"/>
      <c r="U13" s="23"/>
      <c r="V13" s="23"/>
      <c r="W13" s="23"/>
      <c r="X13" s="23"/>
      <c r="Y13" s="23"/>
      <c r="Z13" s="23"/>
      <c r="AA13" s="23"/>
      <c r="AB13" s="24"/>
      <c r="AC13" s="24"/>
      <c r="AD13" s="24"/>
      <c r="AE13" s="23"/>
      <c r="AF13" s="23"/>
      <c r="AG13" s="23"/>
    </row>
    <row r="14" spans="1:33" s="10" customFormat="1" ht="20" customHeight="1" thickTop="1" thickBot="1">
      <c r="B14" s="25" t="s">
        <v>26</v>
      </c>
      <c r="C14" s="33" t="s">
        <v>16</v>
      </c>
      <c r="D14" s="50">
        <v>0.16</v>
      </c>
      <c r="E14" s="20"/>
      <c r="F14" s="20"/>
      <c r="G14" s="20"/>
      <c r="H14" s="37"/>
      <c r="I14" s="45">
        <f>I13+15</f>
        <v>46006</v>
      </c>
      <c r="J14" s="33">
        <v>0.15</v>
      </c>
      <c r="K14" s="35">
        <f t="shared" ref="K14" si="0">J14*$D$7</f>
        <v>1500000.0000000419</v>
      </c>
      <c r="L14" s="20"/>
      <c r="M14" s="20"/>
      <c r="N14" s="20"/>
      <c r="O14" s="183"/>
      <c r="P14" s="183"/>
      <c r="Q14" s="183"/>
      <c r="R14" s="49"/>
      <c r="S14" s="49"/>
      <c r="T14" s="23"/>
      <c r="U14" s="23"/>
      <c r="V14" s="23"/>
      <c r="W14" s="23"/>
      <c r="X14" s="23"/>
      <c r="Y14" s="23"/>
      <c r="Z14" s="23"/>
      <c r="AA14" s="23"/>
      <c r="AB14" s="24"/>
      <c r="AC14" s="24"/>
      <c r="AD14" s="24"/>
      <c r="AE14" s="23"/>
      <c r="AF14" s="23"/>
      <c r="AG14" s="23"/>
    </row>
    <row r="15" spans="1:33" s="10" customFormat="1" ht="20" customHeight="1" thickTop="1" thickBot="1">
      <c r="B15" s="108" t="s">
        <v>6</v>
      </c>
      <c r="C15" s="109"/>
      <c r="D15" s="110"/>
      <c r="E15" s="20"/>
      <c r="F15" s="20"/>
      <c r="G15" s="20"/>
      <c r="H15" s="37"/>
      <c r="I15" s="45">
        <f>I14+31</f>
        <v>46037</v>
      </c>
      <c r="J15" s="33">
        <v>0.15</v>
      </c>
      <c r="K15" s="35">
        <f t="shared" ref="K15:K16" si="1">J15*$D$7</f>
        <v>1500000.0000000419</v>
      </c>
      <c r="L15" s="20"/>
      <c r="M15" s="20"/>
      <c r="N15" s="20"/>
      <c r="O15" s="183"/>
      <c r="P15" s="183"/>
      <c r="Q15" s="183"/>
      <c r="R15" s="49"/>
      <c r="S15" s="49"/>
      <c r="T15" s="23"/>
      <c r="U15" s="23"/>
      <c r="V15" s="23"/>
      <c r="W15" s="23"/>
      <c r="X15" s="23"/>
      <c r="Y15" s="23"/>
      <c r="Z15" s="23"/>
      <c r="AA15" s="23"/>
      <c r="AB15" s="24"/>
      <c r="AC15" s="24"/>
      <c r="AD15" s="24"/>
      <c r="AE15" s="23"/>
      <c r="AF15" s="23"/>
      <c r="AG15" s="23"/>
    </row>
    <row r="16" spans="1:33" s="10" customFormat="1" ht="20" customHeight="1" thickTop="1">
      <c r="B16" s="25" t="s">
        <v>27</v>
      </c>
      <c r="C16" s="36" t="s">
        <v>28</v>
      </c>
      <c r="D16" s="40">
        <v>21</v>
      </c>
      <c r="E16" s="20"/>
      <c r="F16" s="20"/>
      <c r="G16" s="20"/>
      <c r="H16" s="45"/>
      <c r="I16" s="45">
        <f>I15+31</f>
        <v>46068</v>
      </c>
      <c r="J16" s="33">
        <v>0.15</v>
      </c>
      <c r="K16" s="35">
        <f t="shared" si="1"/>
        <v>1500000.0000000419</v>
      </c>
      <c r="L16" s="20"/>
      <c r="M16" s="20"/>
      <c r="N16" s="20"/>
      <c r="O16" s="183"/>
      <c r="P16" s="183"/>
      <c r="Q16" s="18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4"/>
      <c r="AC16" s="24"/>
      <c r="AD16" s="24"/>
      <c r="AE16" s="23"/>
      <c r="AF16" s="23"/>
      <c r="AG16" s="23"/>
    </row>
    <row r="17" spans="1:38" s="10" customFormat="1" ht="20" customHeight="1" thickBot="1">
      <c r="B17" s="25" t="s">
        <v>29</v>
      </c>
      <c r="C17" s="36" t="s">
        <v>28</v>
      </c>
      <c r="D17" s="40">
        <v>1</v>
      </c>
      <c r="E17" s="20"/>
      <c r="F17" s="20"/>
      <c r="G17" s="20"/>
      <c r="H17" s="51"/>
      <c r="I17" s="45">
        <f>I16+28</f>
        <v>46096</v>
      </c>
      <c r="J17" s="33">
        <v>0.15</v>
      </c>
      <c r="K17" s="35">
        <f t="shared" ref="K17" si="2">J17*$D$7</f>
        <v>1500000.0000000419</v>
      </c>
      <c r="L17" s="20"/>
      <c r="M17" s="20"/>
      <c r="N17" s="20"/>
      <c r="O17" s="183"/>
      <c r="P17" s="183"/>
      <c r="Q17" s="18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4"/>
      <c r="AC17" s="24"/>
      <c r="AD17" s="24"/>
      <c r="AE17" s="23"/>
      <c r="AF17" s="23"/>
      <c r="AG17" s="23"/>
    </row>
    <row r="18" spans="1:38" s="10" customFormat="1" ht="20" customHeight="1" thickTop="1" thickBot="1">
      <c r="B18" s="25"/>
      <c r="C18" s="36"/>
      <c r="D18" s="40"/>
      <c r="E18" s="20"/>
      <c r="F18" s="20"/>
      <c r="G18" s="20"/>
      <c r="H18" s="51"/>
      <c r="I18" s="54"/>
      <c r="J18" s="54">
        <f>SUM(J13:J17)</f>
        <v>1</v>
      </c>
      <c r="K18" s="34">
        <f>SUM(K13:K17)</f>
        <v>10000000.000000279</v>
      </c>
      <c r="L18" s="20"/>
      <c r="M18" s="20"/>
      <c r="N18" s="20"/>
      <c r="O18" s="52"/>
      <c r="P18" s="53"/>
      <c r="Q18" s="5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4"/>
      <c r="AC18" s="24"/>
      <c r="AD18" s="24"/>
      <c r="AE18" s="23"/>
      <c r="AF18" s="23"/>
      <c r="AG18" s="23"/>
    </row>
    <row r="19" spans="1:38" s="10" customFormat="1" ht="20" customHeight="1" thickTop="1" thickBot="1">
      <c r="B19" s="152" t="s">
        <v>65</v>
      </c>
      <c r="C19" s="153"/>
      <c r="D19" s="154"/>
      <c r="E19" s="20"/>
      <c r="F19" s="20"/>
      <c r="G19" s="20"/>
      <c r="H19" s="51"/>
      <c r="I19" s="111"/>
      <c r="J19" s="111"/>
      <c r="K19" s="126"/>
      <c r="L19" s="20"/>
      <c r="M19" s="20"/>
      <c r="N19" s="20"/>
      <c r="O19" s="52"/>
      <c r="P19" s="53"/>
      <c r="Q19" s="5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4"/>
      <c r="AC19" s="24"/>
      <c r="AD19" s="24"/>
      <c r="AE19" s="23"/>
      <c r="AF19" s="23"/>
      <c r="AG19" s="23"/>
    </row>
    <row r="20" spans="1:38" s="10" customFormat="1" ht="20" customHeight="1" thickTop="1" thickBot="1">
      <c r="B20" s="159" t="s">
        <v>66</v>
      </c>
      <c r="C20" s="160"/>
      <c r="D20" s="161"/>
      <c r="E20" s="20"/>
      <c r="F20" s="20"/>
      <c r="G20" s="20"/>
      <c r="H20" s="51"/>
      <c r="I20" s="111"/>
      <c r="J20" s="111"/>
      <c r="K20" s="126"/>
      <c r="L20" s="20"/>
      <c r="M20" s="20"/>
      <c r="N20" s="20"/>
      <c r="O20" s="52"/>
      <c r="P20" s="53"/>
      <c r="Q20" s="5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4"/>
      <c r="AC20" s="24"/>
      <c r="AD20" s="24"/>
      <c r="AE20" s="23"/>
      <c r="AF20" s="23"/>
      <c r="AG20" s="23"/>
    </row>
    <row r="21" spans="1:38" s="10" customFormat="1" ht="18" customHeight="1" thickTop="1" thickBot="1">
      <c r="B21" s="31" t="s">
        <v>67</v>
      </c>
      <c r="C21" s="87" t="s">
        <v>56</v>
      </c>
      <c r="D21" s="32"/>
      <c r="E21" s="20"/>
      <c r="F21" s="20"/>
      <c r="H21" s="51"/>
      <c r="I21" s="23"/>
      <c r="J21" s="23"/>
      <c r="K21" s="23"/>
      <c r="L21" s="23"/>
      <c r="M21" s="23"/>
      <c r="N21" s="23"/>
      <c r="O21" s="23"/>
      <c r="P21" s="53"/>
      <c r="Q21" s="23"/>
      <c r="R21" s="55"/>
      <c r="S21" s="55"/>
      <c r="T21" s="55"/>
      <c r="U21" s="23"/>
      <c r="V21" s="23"/>
      <c r="W21" s="23"/>
      <c r="X21" s="23"/>
      <c r="Y21" s="23"/>
      <c r="Z21" s="23"/>
      <c r="AA21" s="23"/>
      <c r="AB21" s="24"/>
      <c r="AC21" s="24"/>
      <c r="AD21" s="24"/>
      <c r="AE21" s="23"/>
      <c r="AF21" s="23"/>
      <c r="AG21" s="23"/>
    </row>
    <row r="22" spans="1:38" s="10" customFormat="1" ht="18" customHeight="1" thickTop="1">
      <c r="B22" s="185"/>
      <c r="C22" s="185"/>
      <c r="D22" s="185"/>
      <c r="E22" s="185"/>
      <c r="F22" s="185"/>
      <c r="G22" s="185"/>
      <c r="H22" s="185"/>
      <c r="I22" s="185"/>
      <c r="J22" s="186"/>
      <c r="K22" s="186"/>
      <c r="L22" s="55"/>
      <c r="M22" s="55"/>
      <c r="N22" s="55"/>
      <c r="O22" s="55"/>
      <c r="P22" s="53"/>
      <c r="Q22" s="55"/>
      <c r="R22" s="23"/>
      <c r="S22" s="55"/>
      <c r="T22" s="23"/>
      <c r="U22" s="23"/>
      <c r="V22" s="23"/>
      <c r="W22" s="23"/>
      <c r="X22" s="23"/>
      <c r="Y22" s="23"/>
      <c r="Z22" s="23"/>
      <c r="AA22" s="24"/>
      <c r="AB22" s="23"/>
      <c r="AC22" s="24"/>
      <c r="AD22" s="23"/>
      <c r="AE22" s="23"/>
      <c r="AF22" s="23"/>
      <c r="AG22" s="23"/>
    </row>
    <row r="23" spans="1:38" s="10" customFormat="1" ht="18" customHeight="1">
      <c r="B23" s="155" t="s">
        <v>68</v>
      </c>
      <c r="C23" s="155"/>
      <c r="D23" s="155"/>
      <c r="E23" s="155"/>
      <c r="F23" s="155"/>
      <c r="G23" s="155"/>
      <c r="H23" s="155"/>
      <c r="I23" s="155"/>
      <c r="J23" s="186"/>
      <c r="K23" s="186"/>
      <c r="L23" s="55"/>
      <c r="M23" s="55"/>
      <c r="N23" s="55"/>
      <c r="O23" s="55"/>
      <c r="P23" s="53"/>
      <c r="Q23" s="55"/>
      <c r="R23" s="23"/>
      <c r="S23" s="55"/>
      <c r="T23" s="23"/>
      <c r="U23" s="23"/>
      <c r="V23" s="23"/>
      <c r="W23" s="23"/>
      <c r="X23" s="23"/>
      <c r="Y23" s="23"/>
      <c r="Z23" s="23"/>
      <c r="AA23" s="24"/>
      <c r="AB23" s="23"/>
      <c r="AC23" s="24"/>
      <c r="AD23" s="23"/>
      <c r="AE23" s="23"/>
      <c r="AF23" s="23"/>
      <c r="AG23" s="23"/>
    </row>
    <row r="24" spans="1:38" ht="31.25" customHeight="1">
      <c r="A24" s="5"/>
      <c r="B24" s="155"/>
      <c r="C24" s="155"/>
      <c r="D24" s="155"/>
      <c r="E24" s="155"/>
      <c r="F24" s="155"/>
      <c r="G24" s="155"/>
      <c r="H24" s="155"/>
      <c r="I24" s="155"/>
      <c r="J24" s="186"/>
      <c r="K24" s="186"/>
      <c r="L24" s="56"/>
      <c r="M24" s="56"/>
      <c r="N24" s="57"/>
      <c r="O24" s="55"/>
      <c r="P24" s="49" t="s">
        <v>30</v>
      </c>
      <c r="Q24" s="49"/>
      <c r="R24" s="49"/>
      <c r="S24" s="21"/>
      <c r="T24" s="19"/>
      <c r="U24" s="19"/>
      <c r="V24" s="20"/>
      <c r="W24" s="57"/>
      <c r="X24" s="23"/>
      <c r="Y24" s="49" t="s">
        <v>54</v>
      </c>
      <c r="Z24" s="49"/>
      <c r="AA24" s="19"/>
      <c r="AB24" s="49"/>
      <c r="AC24" s="21"/>
      <c r="AD24" s="21"/>
      <c r="AE24" s="21"/>
      <c r="AF24" s="21"/>
      <c r="AG24" s="21"/>
    </row>
    <row r="25" spans="1:38" ht="15.5" customHeight="1">
      <c r="A25" s="6"/>
      <c r="B25" s="155"/>
      <c r="C25" s="155"/>
      <c r="D25" s="155"/>
      <c r="E25" s="155"/>
      <c r="F25" s="155"/>
      <c r="G25" s="155"/>
      <c r="H25" s="155"/>
      <c r="I25" s="155"/>
      <c r="J25" s="186"/>
      <c r="K25" s="186"/>
      <c r="L25" s="56"/>
      <c r="M25" s="56"/>
      <c r="N25" s="57"/>
      <c r="O25" s="55"/>
      <c r="P25" s="53"/>
      <c r="Q25" s="19"/>
      <c r="R25" s="58"/>
      <c r="S25" s="125">
        <v>1346.1460913312696</v>
      </c>
      <c r="T25" s="19"/>
      <c r="U25" s="19"/>
      <c r="V25" s="20"/>
      <c r="W25" s="57"/>
      <c r="X25" s="23"/>
      <c r="Y25" s="23"/>
      <c r="Z25" s="23"/>
      <c r="AA25" s="19"/>
      <c r="AB25" s="22"/>
      <c r="AC25" s="21"/>
      <c r="AD25" s="21"/>
      <c r="AE25" s="21"/>
      <c r="AF25" s="21"/>
      <c r="AG25" s="21"/>
    </row>
    <row r="26" spans="1:38" ht="15" customHeight="1" thickBot="1">
      <c r="A26" s="7"/>
      <c r="B26" s="58"/>
      <c r="C26" s="58"/>
      <c r="D26" s="58"/>
      <c r="E26" s="59"/>
      <c r="F26" s="59"/>
      <c r="G26" s="59"/>
      <c r="H26" s="59"/>
      <c r="I26" s="59"/>
      <c r="J26" s="59"/>
      <c r="K26" s="58"/>
      <c r="L26" s="58"/>
      <c r="M26" s="58"/>
      <c r="N26" s="60"/>
      <c r="O26" s="55"/>
      <c r="P26" s="53"/>
      <c r="Q26" s="19"/>
      <c r="R26" s="58"/>
      <c r="S26" s="20"/>
      <c r="T26" s="20"/>
      <c r="U26" s="20"/>
      <c r="V26" s="20"/>
      <c r="W26" s="60"/>
      <c r="X26" s="23"/>
      <c r="Y26" s="23"/>
      <c r="Z26" s="23"/>
      <c r="AA26" s="58"/>
      <c r="AB26" s="36"/>
      <c r="AC26" s="21"/>
      <c r="AD26" s="23"/>
      <c r="AE26" s="23"/>
      <c r="AF26" s="23"/>
      <c r="AG26" s="23"/>
    </row>
    <row r="27" spans="1:38" ht="28.05" customHeight="1" thickTop="1">
      <c r="A27" s="165"/>
      <c r="B27" s="167" t="s">
        <v>31</v>
      </c>
      <c r="C27" s="170" t="s">
        <v>32</v>
      </c>
      <c r="D27" s="170" t="s">
        <v>33</v>
      </c>
      <c r="E27" s="162" t="s">
        <v>62</v>
      </c>
      <c r="F27" s="162" t="s">
        <v>61</v>
      </c>
      <c r="G27" s="162" t="s">
        <v>63</v>
      </c>
      <c r="H27" s="162" t="s">
        <v>34</v>
      </c>
      <c r="I27" s="156" t="s">
        <v>64</v>
      </c>
      <c r="J27" s="98"/>
      <c r="K27" s="181" t="s">
        <v>70</v>
      </c>
      <c r="L27" s="181" t="s">
        <v>58</v>
      </c>
      <c r="M27" s="181" t="s">
        <v>59</v>
      </c>
      <c r="N27" s="61"/>
      <c r="O27" s="53"/>
      <c r="P27" s="167" t="s">
        <v>31</v>
      </c>
      <c r="Q27" s="170" t="s">
        <v>35</v>
      </c>
      <c r="R27" s="170" t="s">
        <v>36</v>
      </c>
      <c r="S27" s="173" t="s">
        <v>37</v>
      </c>
      <c r="T27" s="156" t="s">
        <v>38</v>
      </c>
      <c r="U27" s="99"/>
      <c r="V27" s="172" t="s">
        <v>39</v>
      </c>
      <c r="W27" s="61"/>
      <c r="X27" s="23"/>
      <c r="Y27" s="162" t="s">
        <v>31</v>
      </c>
      <c r="Z27" s="162" t="s">
        <v>49</v>
      </c>
      <c r="AA27" s="162" t="s">
        <v>50</v>
      </c>
      <c r="AB27" s="162" t="s">
        <v>51</v>
      </c>
      <c r="AC27" s="162" t="s">
        <v>52</v>
      </c>
      <c r="AD27" s="156" t="s">
        <v>53</v>
      </c>
      <c r="AF27" s="171" t="s">
        <v>40</v>
      </c>
      <c r="AG27" s="21"/>
      <c r="AH27" s="182" t="s">
        <v>41</v>
      </c>
      <c r="AJ27" s="182" t="s">
        <v>65</v>
      </c>
      <c r="AK27" s="102"/>
      <c r="AL27" s="182" t="s">
        <v>72</v>
      </c>
    </row>
    <row r="28" spans="1:38" ht="28.05" customHeight="1">
      <c r="A28" s="166"/>
      <c r="B28" s="168"/>
      <c r="C28" s="163"/>
      <c r="D28" s="163"/>
      <c r="E28" s="163"/>
      <c r="F28" s="163"/>
      <c r="G28" s="163"/>
      <c r="H28" s="163"/>
      <c r="I28" s="157"/>
      <c r="J28" s="98"/>
      <c r="K28" s="157"/>
      <c r="L28" s="157"/>
      <c r="M28" s="157"/>
      <c r="N28" s="62"/>
      <c r="O28" s="19"/>
      <c r="P28" s="168"/>
      <c r="Q28" s="175"/>
      <c r="R28" s="175"/>
      <c r="S28" s="172"/>
      <c r="T28" s="172"/>
      <c r="U28" s="99"/>
      <c r="V28" s="157"/>
      <c r="W28" s="62"/>
      <c r="X28" s="21"/>
      <c r="Y28" s="163"/>
      <c r="Z28" s="163"/>
      <c r="AA28" s="163"/>
      <c r="AB28" s="163"/>
      <c r="AC28" s="163"/>
      <c r="AD28" s="157"/>
      <c r="AF28" s="171"/>
      <c r="AG28" s="21"/>
      <c r="AH28" s="171" t="s">
        <v>41</v>
      </c>
      <c r="AJ28" s="171"/>
      <c r="AL28" s="171"/>
    </row>
    <row r="29" spans="1:38" ht="28.05" customHeight="1" thickBot="1">
      <c r="A29" s="166"/>
      <c r="B29" s="169"/>
      <c r="C29" s="164"/>
      <c r="D29" s="164"/>
      <c r="E29" s="164"/>
      <c r="F29" s="164"/>
      <c r="G29" s="164"/>
      <c r="H29" s="164"/>
      <c r="I29" s="158"/>
      <c r="J29" s="98"/>
      <c r="K29" s="158"/>
      <c r="L29" s="158"/>
      <c r="M29" s="158"/>
      <c r="N29" s="62"/>
      <c r="O29" s="19"/>
      <c r="P29" s="169"/>
      <c r="Q29" s="176"/>
      <c r="R29" s="176"/>
      <c r="S29" s="174"/>
      <c r="T29" s="174"/>
      <c r="U29" s="99"/>
      <c r="V29" s="158"/>
      <c r="W29" s="62"/>
      <c r="X29" s="21"/>
      <c r="Y29" s="164"/>
      <c r="Z29" s="164"/>
      <c r="AA29" s="164"/>
      <c r="AB29" s="164"/>
      <c r="AC29" s="164"/>
      <c r="AD29" s="158"/>
      <c r="AF29" s="171"/>
      <c r="AG29" s="21"/>
      <c r="AH29" s="171"/>
      <c r="AJ29" s="171"/>
      <c r="AL29" s="171"/>
    </row>
    <row r="30" spans="1:38" ht="9" customHeight="1" thickTop="1" thickBot="1">
      <c r="A30" s="101"/>
      <c r="B30" s="63"/>
      <c r="C30" s="63"/>
      <c r="D30" s="63"/>
      <c r="E30" s="63"/>
      <c r="F30" s="63"/>
      <c r="G30" s="63"/>
      <c r="H30" s="63"/>
      <c r="I30" s="63"/>
      <c r="J30" s="98"/>
      <c r="K30" s="98"/>
      <c r="L30" s="65"/>
      <c r="M30" s="65"/>
      <c r="N30" s="66"/>
      <c r="O30" s="19"/>
      <c r="P30" s="63"/>
      <c r="Q30" s="63"/>
      <c r="R30" s="63"/>
      <c r="S30" s="64"/>
      <c r="T30" s="64"/>
      <c r="U30" s="21"/>
      <c r="V30" s="21"/>
      <c r="W30" s="66"/>
      <c r="X30" s="21"/>
      <c r="Y30" s="115"/>
      <c r="Z30" s="115"/>
      <c r="AA30" s="115"/>
      <c r="AB30" s="115"/>
      <c r="AC30" s="115"/>
      <c r="AD30" s="116"/>
      <c r="AF30" s="102"/>
      <c r="AG30" s="21"/>
      <c r="AH30" s="102"/>
    </row>
    <row r="31" spans="1:38" ht="18" customHeight="1" thickTop="1" thickBot="1">
      <c r="A31" s="11"/>
      <c r="B31" s="94">
        <v>0</v>
      </c>
      <c r="C31" s="96">
        <f>-D7</f>
        <v>-10000000.000000279</v>
      </c>
      <c r="D31" s="97">
        <f>D6*0.3</f>
        <v>10000000.000000279</v>
      </c>
      <c r="E31" s="97">
        <v>0</v>
      </c>
      <c r="F31" s="97">
        <v>0</v>
      </c>
      <c r="G31" s="97">
        <v>0</v>
      </c>
      <c r="H31" s="97">
        <v>0</v>
      </c>
      <c r="I31" s="92">
        <f>SUM(C31:H31)</f>
        <v>0</v>
      </c>
      <c r="J31" s="127"/>
      <c r="K31" s="131" t="e">
        <f>IRR(I31)</f>
        <v>#NUM!</v>
      </c>
      <c r="L31" s="68" cm="1">
        <f t="array" ref="L31">NPV($Q$7,-H$31:$H31)</f>
        <v>0</v>
      </c>
      <c r="M31" s="113">
        <f>NPV($Q$6,I$31:$I31)</f>
        <v>0</v>
      </c>
      <c r="N31" s="70"/>
      <c r="O31" s="19"/>
      <c r="P31" s="67">
        <v>0</v>
      </c>
      <c r="Q31" s="71"/>
      <c r="R31" s="71"/>
      <c r="S31" s="89">
        <f>SUM(Q31:R31)</f>
        <v>0</v>
      </c>
      <c r="T31" s="89">
        <f>SUM(Q31:S31)</f>
        <v>0</v>
      </c>
      <c r="U31" s="21"/>
      <c r="V31" s="68">
        <v>0</v>
      </c>
      <c r="W31" s="70"/>
      <c r="X31" s="21"/>
      <c r="Y31" s="117">
        <v>0</v>
      </c>
      <c r="Z31" s="118">
        <f>D6*-0.16</f>
        <v>-5333333.333333482</v>
      </c>
      <c r="AA31" s="118">
        <f>IF(Q12=0,-Z31,0)</f>
        <v>5333333.333333482</v>
      </c>
      <c r="AB31" s="118">
        <f>E31*0.16</f>
        <v>0</v>
      </c>
      <c r="AC31" s="112">
        <f t="shared" ref="AC31:AC52" si="3">AB31+AA31+Z31</f>
        <v>0</v>
      </c>
      <c r="AD31" s="121">
        <f t="shared" ref="AD31:AD52" si="4">AC31+I31</f>
        <v>0</v>
      </c>
      <c r="AF31" s="72"/>
      <c r="AG31" s="21"/>
      <c r="AH31" s="24"/>
      <c r="AL31" s="191">
        <f>C31</f>
        <v>-10000000.000000279</v>
      </c>
    </row>
    <row r="32" spans="1:38" ht="18" customHeight="1">
      <c r="A32" s="11"/>
      <c r="B32" s="95">
        <v>1</v>
      </c>
      <c r="C32" s="73"/>
      <c r="D32" s="129"/>
      <c r="E32" s="68">
        <f>D12*D14</f>
        <v>237066.66666667326</v>
      </c>
      <c r="F32" s="68">
        <f t="shared" ref="F32:F41" si="5">IF($U$8="Si",V32,0)</f>
        <v>7119.3127680000944</v>
      </c>
      <c r="G32" s="68">
        <f>IF($C$21="Si",AJ32,0)</f>
        <v>69413.11596722083</v>
      </c>
      <c r="H32" s="68">
        <v>0</v>
      </c>
      <c r="I32" s="92">
        <f>SUM(C32:H32)</f>
        <v>313599.09540189418</v>
      </c>
      <c r="J32" s="184"/>
      <c r="K32" s="130">
        <f>IRR($AL$31:AL32)</f>
        <v>2.1951936678132E-2</v>
      </c>
      <c r="L32" s="68" cm="1">
        <f t="array" ref="L32">NPV($Q$7,-H$31:$H32)</f>
        <v>0</v>
      </c>
      <c r="M32" s="113">
        <f>NPV($Q$6,I$31:$I32)</f>
        <v>263950.08450626559</v>
      </c>
      <c r="N32" s="70"/>
      <c r="O32" s="19"/>
      <c r="P32" s="67">
        <v>1</v>
      </c>
      <c r="Q32" s="71">
        <f>AF32*$D$5*(S25/1000)*$D$14</f>
        <v>111.31012800000001</v>
      </c>
      <c r="R32" s="71">
        <f>Q32*0.444</f>
        <v>49.421696832000002</v>
      </c>
      <c r="S32" s="90">
        <f>Q32</f>
        <v>111.31012800000001</v>
      </c>
      <c r="T32" s="90">
        <f>R32</f>
        <v>49.421696832000002</v>
      </c>
      <c r="U32" s="21"/>
      <c r="V32" s="68">
        <f t="shared" ref="V32:V52" si="6">Q32*AH32*$U$6</f>
        <v>7119.3127680000944</v>
      </c>
      <c r="W32" s="70"/>
      <c r="X32" s="21"/>
      <c r="Y32" s="117">
        <v>1</v>
      </c>
      <c r="Z32" s="118"/>
      <c r="AA32" s="118">
        <f>IF(Y32&gt;$Q$12,0,-$Z$31/$Q$12)</f>
        <v>0</v>
      </c>
      <c r="AB32" s="118">
        <f>E32*0.16</f>
        <v>37930.666666667727</v>
      </c>
      <c r="AC32" s="112">
        <f>AB32+AA32+Z32</f>
        <v>37930.666666667727</v>
      </c>
      <c r="AD32" s="91">
        <f t="shared" si="4"/>
        <v>351529.76206856192</v>
      </c>
      <c r="AF32" s="74">
        <v>1</v>
      </c>
      <c r="AG32" s="21"/>
      <c r="AH32" s="74">
        <v>1</v>
      </c>
      <c r="AJ32" s="75">
        <v>69413.11596722083</v>
      </c>
      <c r="AL32" s="191">
        <f>D31+(E32+F32+G32)+((E32+F32+G32)*-0.3)+H32</f>
        <v>10219519.366781605</v>
      </c>
    </row>
    <row r="33" spans="1:38" ht="18" customHeight="1">
      <c r="A33" s="12"/>
      <c r="B33" s="95">
        <v>2</v>
      </c>
      <c r="C33" s="73"/>
      <c r="D33" s="103">
        <v>0</v>
      </c>
      <c r="E33" s="68">
        <f>D12</f>
        <v>1481666.666666708</v>
      </c>
      <c r="F33" s="68">
        <f t="shared" si="5"/>
        <v>44050.747752000585</v>
      </c>
      <c r="G33" s="68">
        <f t="shared" ref="G33:G52" si="7">IF($C$21="Si",AJ33,0)</f>
        <v>433831.9747951302</v>
      </c>
      <c r="H33" s="113">
        <v>-705660.3677827972</v>
      </c>
      <c r="I33" s="92">
        <f>SUM(C33:H33)</f>
        <v>1253889.0214310414</v>
      </c>
      <c r="J33" s="184"/>
      <c r="K33" s="130">
        <f>IRR($AL$31:AL33)</f>
        <v>8.3425844473862032E-2</v>
      </c>
      <c r="L33" s="68" cm="1">
        <f t="array" ref="L33">NPV($Q$7,-H$31:$H33)</f>
        <v>463983.1464011161</v>
      </c>
      <c r="M33" s="68">
        <f>NPV($Q$6,I$31:$I33)</f>
        <v>1232182.4726852493</v>
      </c>
      <c r="N33" s="70"/>
      <c r="O33" s="19"/>
      <c r="P33" s="67">
        <v>2</v>
      </c>
      <c r="Q33" s="71">
        <f>AF33*$D$5*($S$25/1000)</f>
        <v>688.73141699999996</v>
      </c>
      <c r="R33" s="71">
        <f t="shared" ref="R33:R52" si="8">Q33*0.444</f>
        <v>305.796749148</v>
      </c>
      <c r="S33" s="90">
        <f t="shared" ref="S33:T52" si="9">S32+Q33</f>
        <v>800.04154499999993</v>
      </c>
      <c r="T33" s="90">
        <f t="shared" si="9"/>
        <v>355.21844598000001</v>
      </c>
      <c r="U33" s="21"/>
      <c r="V33" s="68">
        <f t="shared" si="6"/>
        <v>44050.747752000585</v>
      </c>
      <c r="W33" s="70"/>
      <c r="X33" s="21"/>
      <c r="Y33" s="117">
        <v>2</v>
      </c>
      <c r="Z33" s="118"/>
      <c r="AA33" s="118">
        <f>IF(Y33&gt;$Q$12,0,-$Z$31/$Q$12)</f>
        <v>0</v>
      </c>
      <c r="AB33" s="118">
        <f>E33*0.16</f>
        <v>237066.66666667326</v>
      </c>
      <c r="AC33" s="112">
        <f t="shared" si="3"/>
        <v>237066.66666667326</v>
      </c>
      <c r="AD33" s="91">
        <f t="shared" si="4"/>
        <v>1490955.6880977147</v>
      </c>
      <c r="AF33" s="74">
        <f>AF32-1%</f>
        <v>0.99</v>
      </c>
      <c r="AG33" s="21"/>
      <c r="AH33" s="74">
        <v>1</v>
      </c>
      <c r="AJ33" s="75">
        <v>433831.9747951302</v>
      </c>
      <c r="AL33" s="191">
        <f>D32+(E33+F33+G33)+((E33+F33+G33)*-0.3)+H33</f>
        <v>666024.20466688974</v>
      </c>
    </row>
    <row r="34" spans="1:38" ht="18" customHeight="1">
      <c r="A34" s="12"/>
      <c r="B34" s="95">
        <v>3</v>
      </c>
      <c r="C34" s="73"/>
      <c r="D34" s="103">
        <v>0</v>
      </c>
      <c r="E34" s="68">
        <f>E33*(1+$C$13)</f>
        <v>1533525.0000000426</v>
      </c>
      <c r="F34" s="68">
        <f t="shared" si="5"/>
        <v>47163.222302760623</v>
      </c>
      <c r="G34" s="68">
        <f t="shared" si="7"/>
        <v>497974.13029853499</v>
      </c>
      <c r="H34" s="113">
        <v>-740943.38617193711</v>
      </c>
      <c r="I34" s="92">
        <f>SUM(C34:H34)</f>
        <v>1337718.9664294012</v>
      </c>
      <c r="J34" s="184"/>
      <c r="K34" s="130">
        <f>IRR($AL$31:AL34)</f>
        <v>0.13592838484516245</v>
      </c>
      <c r="L34" s="68" cm="1">
        <f t="array" ref="L34">NPV($Q$7,-H$31:$H34)</f>
        <v>887619.93224561343</v>
      </c>
      <c r="M34" s="68">
        <f>NPV($Q$6,I$31:$I34)</f>
        <v>2179856.3138239146</v>
      </c>
      <c r="N34" s="70"/>
      <c r="O34" s="19"/>
      <c r="P34" s="67">
        <v>3</v>
      </c>
      <c r="Q34" s="71">
        <f>AF34*$D$5*($S$25/1000)</f>
        <v>685.94866379999996</v>
      </c>
      <c r="R34" s="71">
        <f t="shared" si="8"/>
        <v>304.56120672719999</v>
      </c>
      <c r="S34" s="90">
        <f t="shared" si="9"/>
        <v>1485.9902087999999</v>
      </c>
      <c r="T34" s="90">
        <f t="shared" si="9"/>
        <v>659.77965270720006</v>
      </c>
      <c r="U34" s="21"/>
      <c r="V34" s="68">
        <f t="shared" si="6"/>
        <v>47163.222302760623</v>
      </c>
      <c r="W34" s="70"/>
      <c r="X34" s="21"/>
      <c r="Y34" s="117">
        <v>3</v>
      </c>
      <c r="Z34" s="118"/>
      <c r="AA34" s="118">
        <f>IF(Y34&gt;$Q$12,0,-$Z$31/$Q$12)</f>
        <v>0</v>
      </c>
      <c r="AB34" s="118">
        <f>E34*0.16</f>
        <v>245364.00000000681</v>
      </c>
      <c r="AC34" s="112">
        <f t="shared" si="3"/>
        <v>245364.00000000681</v>
      </c>
      <c r="AD34" s="91">
        <f t="shared" si="4"/>
        <v>1583082.9664294079</v>
      </c>
      <c r="AF34" s="74">
        <f>AF33-0.4%</f>
        <v>0.98599999999999999</v>
      </c>
      <c r="AG34" s="21"/>
      <c r="AH34" s="74">
        <f t="shared" ref="AH34:AH42" si="10">AH33*(1+$U$7)</f>
        <v>1.075</v>
      </c>
      <c r="AJ34" s="75">
        <v>497974.13029853499</v>
      </c>
      <c r="AL34" s="191">
        <f t="shared" ref="AL33:AL52" si="11">D33+(E34+F34+G34)+((E34+F34+G34)*-0.3)+H34</f>
        <v>714120.26064899971</v>
      </c>
    </row>
    <row r="35" spans="1:38" ht="18" customHeight="1">
      <c r="A35" s="12"/>
      <c r="B35" s="95">
        <v>4</v>
      </c>
      <c r="C35" s="73"/>
      <c r="D35" s="103">
        <v>0</v>
      </c>
      <c r="E35" s="68">
        <f t="shared" ref="E35:E52" si="12">E34*(1+$C$13)</f>
        <v>1587198.375000044</v>
      </c>
      <c r="F35" s="68">
        <f t="shared" si="5"/>
        <v>50494.782580029663</v>
      </c>
      <c r="G35" s="68">
        <f t="shared" si="7"/>
        <v>567271.23080966889</v>
      </c>
      <c r="H35" s="113">
        <v>-777990.55548053398</v>
      </c>
      <c r="I35" s="92">
        <f>SUM(C35:H35)</f>
        <v>1426973.8329092085</v>
      </c>
      <c r="J35" s="184"/>
      <c r="K35" s="130">
        <f>IRR($AL$31:AL35)</f>
        <v>0.17702726441144456</v>
      </c>
      <c r="L35" s="68" cm="1">
        <f t="array" ref="L35">NPV($Q$7,-H$31:$H35)</f>
        <v>1274418.7367123286</v>
      </c>
      <c r="M35" s="68">
        <f>NPV($Q$6,I$31:$I35)</f>
        <v>3107291.3952580597</v>
      </c>
      <c r="N35" s="70"/>
      <c r="O35" s="19"/>
      <c r="P35" s="67">
        <v>4</v>
      </c>
      <c r="Q35" s="71">
        <f>AF35*$D$5*($S$25/1000)</f>
        <v>683.16591059999996</v>
      </c>
      <c r="R35" s="71">
        <f t="shared" si="8"/>
        <v>303.32566430639997</v>
      </c>
      <c r="S35" s="90">
        <f t="shared" si="9"/>
        <v>2169.1561193999996</v>
      </c>
      <c r="T35" s="90">
        <f t="shared" si="9"/>
        <v>963.10531701360003</v>
      </c>
      <c r="U35" s="21"/>
      <c r="V35" s="68">
        <f t="shared" si="6"/>
        <v>50494.782580029663</v>
      </c>
      <c r="W35" s="70"/>
      <c r="X35" s="21"/>
      <c r="Y35" s="117">
        <v>4</v>
      </c>
      <c r="Z35" s="118"/>
      <c r="AA35" s="118">
        <f>IF(Y35&gt;$Q$12,0,-$Z$31/$Q$12)</f>
        <v>0</v>
      </c>
      <c r="AB35" s="118">
        <f>E35*0.16</f>
        <v>253951.74000000703</v>
      </c>
      <c r="AC35" s="112">
        <f t="shared" si="3"/>
        <v>253951.74000000703</v>
      </c>
      <c r="AD35" s="91">
        <f t="shared" si="4"/>
        <v>1680925.5729092155</v>
      </c>
      <c r="AF35" s="74">
        <f t="shared" ref="AF35:AF52" si="13">AF34-0.4%</f>
        <v>0.98199999999999998</v>
      </c>
      <c r="AG35" s="21"/>
      <c r="AH35" s="74">
        <f t="shared" si="10"/>
        <v>1.1556249999999999</v>
      </c>
      <c r="AJ35" s="75">
        <v>567271.23080966889</v>
      </c>
      <c r="AL35" s="191">
        <f t="shared" si="11"/>
        <v>765484.5163922857</v>
      </c>
    </row>
    <row r="36" spans="1:38" ht="18" customHeight="1">
      <c r="A36" s="12"/>
      <c r="B36" s="95">
        <v>5</v>
      </c>
      <c r="C36" s="73"/>
      <c r="D36" s="103">
        <v>0</v>
      </c>
      <c r="E36" s="68">
        <f t="shared" si="12"/>
        <v>1642750.3181250454</v>
      </c>
      <c r="F36" s="68">
        <f t="shared" si="5"/>
        <v>54060.783773436036</v>
      </c>
      <c r="G36" s="68">
        <f t="shared" si="7"/>
        <v>641080.60751427989</v>
      </c>
      <c r="H36" s="113">
        <v>-816890.08325456071</v>
      </c>
      <c r="I36" s="92">
        <f>SUM(C36:H36)</f>
        <v>1521001.6261582002</v>
      </c>
      <c r="J36" s="184"/>
      <c r="K36" s="130">
        <f>IRR($AL$31:AL36)</f>
        <v>0.20795475200339619</v>
      </c>
      <c r="L36" s="68" cm="1">
        <f t="array" ref="L36">NPV($Q$7,-H$31:$H36)</f>
        <v>1627582.8625297642</v>
      </c>
      <c r="M36" s="68">
        <f>NPV($Q$6,I$31:$I36)</f>
        <v>4014214.9690663498</v>
      </c>
      <c r="N36" s="70"/>
      <c r="O36" s="19"/>
      <c r="P36" s="67">
        <v>5</v>
      </c>
      <c r="Q36" s="71">
        <f>AF36*$D$5*($S$25/1000)</f>
        <v>680.38315739999996</v>
      </c>
      <c r="R36" s="71">
        <f t="shared" si="8"/>
        <v>302.09012188560001</v>
      </c>
      <c r="S36" s="90">
        <f t="shared" si="9"/>
        <v>2849.5392767999997</v>
      </c>
      <c r="T36" s="90">
        <f t="shared" si="9"/>
        <v>1265.1954388992001</v>
      </c>
      <c r="U36" s="21"/>
      <c r="V36" s="68">
        <f t="shared" si="6"/>
        <v>54060.783773436036</v>
      </c>
      <c r="W36" s="70"/>
      <c r="X36" s="21"/>
      <c r="Y36" s="117">
        <v>5</v>
      </c>
      <c r="Z36" s="118"/>
      <c r="AA36" s="118">
        <f>IF(Y36&gt;$Q$12,0,-$Z$31/$Q$12)</f>
        <v>0</v>
      </c>
      <c r="AB36" s="118">
        <f>E36*0.16</f>
        <v>262840.05090000725</v>
      </c>
      <c r="AC36" s="112">
        <f t="shared" si="3"/>
        <v>262840.05090000725</v>
      </c>
      <c r="AD36" s="91">
        <f t="shared" si="4"/>
        <v>1783841.6770582073</v>
      </c>
      <c r="AF36" s="74">
        <f t="shared" si="13"/>
        <v>0.97799999999999998</v>
      </c>
      <c r="AG36" s="21"/>
      <c r="AH36" s="74">
        <f t="shared" si="10"/>
        <v>1.2422968749999999</v>
      </c>
      <c r="AJ36" s="75">
        <v>641080.60751427989</v>
      </c>
      <c r="AL36" s="191">
        <f t="shared" si="11"/>
        <v>819634.11333437206</v>
      </c>
    </row>
    <row r="37" spans="1:38" ht="18" customHeight="1">
      <c r="A37" s="12"/>
      <c r="B37" s="95">
        <v>6</v>
      </c>
      <c r="C37" s="73"/>
      <c r="D37" s="103">
        <v>0</v>
      </c>
      <c r="E37" s="68">
        <f t="shared" si="12"/>
        <v>1700246.5792594219</v>
      </c>
      <c r="F37" s="68">
        <f t="shared" si="5"/>
        <v>57877.651993840693</v>
      </c>
      <c r="G37" s="68">
        <f t="shared" si="7"/>
        <v>721664.4571008581</v>
      </c>
      <c r="H37" s="113">
        <v>-857734.5874172888</v>
      </c>
      <c r="I37" s="92">
        <f>SUM(C37:H37)</f>
        <v>1622054.1009368319</v>
      </c>
      <c r="J37" s="184"/>
      <c r="K37" s="130">
        <f>IRR($AL$31:AL37)</f>
        <v>0.23098302228015899</v>
      </c>
      <c r="L37" s="68" cm="1">
        <f t="array" ref="L37">NPV($Q$7,-H$31:$H37)</f>
        <v>1950037.0643630747</v>
      </c>
      <c r="M37" s="68">
        <f>NPV($Q$6,I$31:$I37)</f>
        <v>4901534.1092673354</v>
      </c>
      <c r="N37" s="70"/>
      <c r="O37" s="19"/>
      <c r="P37" s="67">
        <v>6</v>
      </c>
      <c r="Q37" s="71">
        <f>AF37*$D$5*($S$25/1000)</f>
        <v>677.60040419999996</v>
      </c>
      <c r="R37" s="71">
        <f t="shared" si="8"/>
        <v>300.8545794648</v>
      </c>
      <c r="S37" s="90">
        <f t="shared" si="9"/>
        <v>3527.1396809999997</v>
      </c>
      <c r="T37" s="90">
        <f t="shared" si="9"/>
        <v>1566.0500183640002</v>
      </c>
      <c r="U37" s="21"/>
      <c r="V37" s="68">
        <f t="shared" si="6"/>
        <v>57877.651993840693</v>
      </c>
      <c r="W37" s="70"/>
      <c r="X37" s="21"/>
      <c r="Y37" s="117">
        <v>6</v>
      </c>
      <c r="Z37" s="118"/>
      <c r="AA37" s="118"/>
      <c r="AB37" s="118">
        <f>E37*0.16</f>
        <v>272039.45268150751</v>
      </c>
      <c r="AC37" s="112">
        <f t="shared" si="3"/>
        <v>272039.45268150751</v>
      </c>
      <c r="AD37" s="91">
        <f t="shared" si="4"/>
        <v>1894093.5536183394</v>
      </c>
      <c r="AF37" s="74">
        <f t="shared" si="13"/>
        <v>0.97399999999999998</v>
      </c>
      <c r="AG37" s="21"/>
      <c r="AH37" s="74">
        <f t="shared" si="10"/>
        <v>1.3354691406249999</v>
      </c>
      <c r="AJ37" s="75">
        <v>721664.4571008581</v>
      </c>
      <c r="AL37" s="191">
        <f t="shared" si="11"/>
        <v>878117.49443059566</v>
      </c>
    </row>
    <row r="38" spans="1:38" ht="18" customHeight="1">
      <c r="A38" s="12"/>
      <c r="B38" s="95">
        <v>7</v>
      </c>
      <c r="C38" s="73"/>
      <c r="D38" s="103">
        <v>0</v>
      </c>
      <c r="E38" s="68">
        <f t="shared" si="12"/>
        <v>1759755.2095335016</v>
      </c>
      <c r="F38" s="68">
        <f t="shared" si="5"/>
        <v>61962.958538580475</v>
      </c>
      <c r="G38" s="68">
        <f t="shared" si="7"/>
        <v>809572.09889682138</v>
      </c>
      <c r="H38" s="113">
        <v>-900621.31678815326</v>
      </c>
      <c r="I38" s="92">
        <f>SUM(C38:H38)</f>
        <v>1730668.9501807503</v>
      </c>
      <c r="J38" s="184"/>
      <c r="K38" s="130">
        <f>IRR($AL$31:AL38)</f>
        <v>0.24816581608424815</v>
      </c>
      <c r="L38" s="68" cm="1">
        <f t="array" ref="L38">NPV($Q$7,-H$31:$H38)</f>
        <v>2244451.7703847932</v>
      </c>
      <c r="M38" s="68">
        <f>NPV($Q$6,I$31:$I38)</f>
        <v>5770098.4966397239</v>
      </c>
      <c r="N38" s="70"/>
      <c r="O38" s="19"/>
      <c r="P38" s="67">
        <v>7</v>
      </c>
      <c r="Q38" s="71">
        <f>AF38*$D$5*($S$25/1000)</f>
        <v>674.81765099999996</v>
      </c>
      <c r="R38" s="71">
        <f t="shared" si="8"/>
        <v>299.61903704399998</v>
      </c>
      <c r="S38" s="90">
        <f t="shared" si="9"/>
        <v>4201.957332</v>
      </c>
      <c r="T38" s="90">
        <f t="shared" si="9"/>
        <v>1865.6690554080001</v>
      </c>
      <c r="U38" s="21"/>
      <c r="V38" s="68">
        <f t="shared" si="6"/>
        <v>61962.958538580475</v>
      </c>
      <c r="W38" s="70"/>
      <c r="X38" s="21"/>
      <c r="Y38" s="117">
        <v>7</v>
      </c>
      <c r="Z38" s="118"/>
      <c r="AA38" s="118"/>
      <c r="AB38" s="118">
        <f>E38*0.16</f>
        <v>281560.83352536027</v>
      </c>
      <c r="AC38" s="112">
        <f t="shared" si="3"/>
        <v>281560.83352536027</v>
      </c>
      <c r="AD38" s="91">
        <f t="shared" si="4"/>
        <v>2012229.7837061107</v>
      </c>
      <c r="AF38" s="74">
        <f t="shared" si="13"/>
        <v>0.97</v>
      </c>
      <c r="AG38" s="21"/>
      <c r="AH38" s="74">
        <f t="shared" si="10"/>
        <v>1.4356293261718749</v>
      </c>
      <c r="AJ38" s="75">
        <v>809572.09889682138</v>
      </c>
      <c r="AL38" s="191">
        <f t="shared" si="11"/>
        <v>941281.87009007926</v>
      </c>
    </row>
    <row r="39" spans="1:38" ht="18" customHeight="1">
      <c r="A39" s="12"/>
      <c r="B39" s="95">
        <v>8</v>
      </c>
      <c r="C39" s="73"/>
      <c r="D39" s="103">
        <v>0</v>
      </c>
      <c r="E39" s="68">
        <f t="shared" si="12"/>
        <v>1821346.6418671741</v>
      </c>
      <c r="F39" s="68">
        <f t="shared" si="5"/>
        <v>66335.499272565867</v>
      </c>
      <c r="G39" s="68">
        <f t="shared" si="7"/>
        <v>905394.7407005307</v>
      </c>
      <c r="H39" s="113">
        <v>-945652.38262756099</v>
      </c>
      <c r="I39" s="92">
        <f>SUM(C39:H39)</f>
        <v>1847424.4992127095</v>
      </c>
      <c r="J39" s="184"/>
      <c r="K39" s="130">
        <f>IRR($AL$31:AL39)</f>
        <v>0.26108223809579445</v>
      </c>
      <c r="L39" s="68" cm="1">
        <f t="array" ref="L39">NPV($Q$7,-H$31:$H39)</f>
        <v>2513265.1976220147</v>
      </c>
      <c r="M39" s="68">
        <f>NPV($Q$6,I$31:$I39)</f>
        <v>6620704.0566362459</v>
      </c>
      <c r="N39" s="70"/>
      <c r="O39" s="19"/>
      <c r="P39" s="67">
        <v>8</v>
      </c>
      <c r="Q39" s="71">
        <f>AF39*$D$5*($S$25/1000)</f>
        <v>672.03489779999995</v>
      </c>
      <c r="R39" s="71">
        <f t="shared" si="8"/>
        <v>298.38349462319997</v>
      </c>
      <c r="S39" s="90">
        <f t="shared" si="9"/>
        <v>4873.9922298000001</v>
      </c>
      <c r="T39" s="90">
        <f t="shared" si="9"/>
        <v>2164.0525500312001</v>
      </c>
      <c r="U39" s="21"/>
      <c r="V39" s="68">
        <f t="shared" si="6"/>
        <v>66335.499272565867</v>
      </c>
      <c r="W39" s="70"/>
      <c r="X39" s="21"/>
      <c r="Y39" s="117">
        <v>8</v>
      </c>
      <c r="Z39" s="118"/>
      <c r="AA39" s="118"/>
      <c r="AB39" s="118">
        <f>E39*0.16</f>
        <v>291415.46269874787</v>
      </c>
      <c r="AC39" s="112">
        <f t="shared" si="3"/>
        <v>291415.46269874787</v>
      </c>
      <c r="AD39" s="91">
        <f t="shared" si="4"/>
        <v>2138839.9619114576</v>
      </c>
      <c r="AF39" s="74">
        <f t="shared" si="13"/>
        <v>0.96599999999999997</v>
      </c>
      <c r="AG39" s="21"/>
      <c r="AH39" s="74">
        <f t="shared" si="10"/>
        <v>1.5433015256347655</v>
      </c>
      <c r="AJ39" s="75">
        <v>905394.7407005307</v>
      </c>
      <c r="AL39" s="191">
        <f t="shared" si="11"/>
        <v>1009501.4346606282</v>
      </c>
    </row>
    <row r="40" spans="1:38" ht="18" customHeight="1">
      <c r="A40" s="12"/>
      <c r="B40" s="95">
        <v>9</v>
      </c>
      <c r="C40" s="73"/>
      <c r="D40" s="103">
        <v>0</v>
      </c>
      <c r="E40" s="68">
        <f t="shared" si="12"/>
        <v>1885093.774332525</v>
      </c>
      <c r="F40" s="68">
        <f t="shared" si="5"/>
        <v>71015.379474869565</v>
      </c>
      <c r="G40" s="68">
        <f t="shared" si="7"/>
        <v>1009768.5609779241</v>
      </c>
      <c r="H40" s="113">
        <v>-992935.00175893912</v>
      </c>
      <c r="I40" s="92">
        <f>SUM(C40:H40)</f>
        <v>1972942.7130263797</v>
      </c>
      <c r="J40" s="184"/>
      <c r="K40" s="130">
        <f>IRR($AL$31:AL40)</f>
        <v>0.27088128114334942</v>
      </c>
      <c r="L40" s="68" cm="1">
        <f t="array" ref="L40">NPV($Q$7,-H$31:$H40)</f>
        <v>2758703.5442299121</v>
      </c>
      <c r="M40" s="68">
        <f>NPV($Q$6,I$31:$I40)</f>
        <v>7454096.3800046891</v>
      </c>
      <c r="N40" s="70"/>
      <c r="O40" s="19"/>
      <c r="P40" s="67">
        <v>9</v>
      </c>
      <c r="Q40" s="71">
        <f>AF40*$D$5*($S$25/1000)</f>
        <v>669.25214459999995</v>
      </c>
      <c r="R40" s="71">
        <f t="shared" si="8"/>
        <v>297.14795220240001</v>
      </c>
      <c r="S40" s="90">
        <f t="shared" si="9"/>
        <v>5543.2443744000002</v>
      </c>
      <c r="T40" s="90">
        <f t="shared" si="9"/>
        <v>2461.2005022336002</v>
      </c>
      <c r="U40" s="21"/>
      <c r="V40" s="68">
        <f t="shared" si="6"/>
        <v>71015.379474869565</v>
      </c>
      <c r="W40" s="70"/>
      <c r="X40" s="21"/>
      <c r="Y40" s="117">
        <v>9</v>
      </c>
      <c r="Z40" s="118"/>
      <c r="AA40" s="118"/>
      <c r="AB40" s="118">
        <f>E40*0.16</f>
        <v>301615.00389320398</v>
      </c>
      <c r="AC40" s="112">
        <f t="shared" si="3"/>
        <v>301615.00389320398</v>
      </c>
      <c r="AD40" s="91">
        <f t="shared" si="4"/>
        <v>2274557.7169195837</v>
      </c>
      <c r="AF40" s="74">
        <f t="shared" si="13"/>
        <v>0.96199999999999997</v>
      </c>
      <c r="AG40" s="21"/>
      <c r="AH40" s="74">
        <f t="shared" si="10"/>
        <v>1.6590491400573728</v>
      </c>
      <c r="AJ40" s="75">
        <v>1009768.5609779241</v>
      </c>
      <c r="AL40" s="191">
        <f t="shared" si="11"/>
        <v>1083179.3985907841</v>
      </c>
    </row>
    <row r="41" spans="1:38" ht="18" customHeight="1">
      <c r="A41" s="12"/>
      <c r="B41" s="95">
        <v>10</v>
      </c>
      <c r="C41" s="73"/>
      <c r="D41" s="103">
        <v>0</v>
      </c>
      <c r="E41" s="68">
        <f t="shared" si="12"/>
        <v>1951072.0564341631</v>
      </c>
      <c r="F41" s="68">
        <f t="shared" si="5"/>
        <v>76024.104524110619</v>
      </c>
      <c r="G41" s="68">
        <f t="shared" si="7"/>
        <v>1123378.0126564871</v>
      </c>
      <c r="H41" s="113">
        <v>-1042581.7518468861</v>
      </c>
      <c r="I41" s="92">
        <f>SUM(C41:H41)</f>
        <v>2107892.4217678746</v>
      </c>
      <c r="J41" s="184"/>
      <c r="K41" s="130">
        <f>IRR($AL$31:AL41)</f>
        <v>0.27838542758127094</v>
      </c>
      <c r="L41" s="68" cm="1">
        <f t="array" ref="L41">NPV($Q$7,-H$31:$H41)</f>
        <v>2982799.4259153837</v>
      </c>
      <c r="M41" s="68">
        <f>NPV($Q$6,I$31:$I41)</f>
        <v>8270973.938470996</v>
      </c>
      <c r="N41" s="70"/>
      <c r="O41" s="19"/>
      <c r="P41" s="67">
        <v>10</v>
      </c>
      <c r="Q41" s="71">
        <f>AF41*$D$5*($S$25/1000)</f>
        <v>666.46939139999995</v>
      </c>
      <c r="R41" s="71">
        <f t="shared" si="8"/>
        <v>295.91240978159999</v>
      </c>
      <c r="S41" s="90">
        <f t="shared" si="9"/>
        <v>6209.7137658000001</v>
      </c>
      <c r="T41" s="90">
        <f t="shared" si="9"/>
        <v>2757.1129120152</v>
      </c>
      <c r="U41" s="21"/>
      <c r="V41" s="68">
        <f t="shared" si="6"/>
        <v>76024.104524110619</v>
      </c>
      <c r="W41" s="70"/>
      <c r="X41" s="21"/>
      <c r="Y41" s="117">
        <v>10</v>
      </c>
      <c r="Z41" s="118"/>
      <c r="AA41" s="118"/>
      <c r="AB41" s="118">
        <f>E41*0.16</f>
        <v>312171.5290294661</v>
      </c>
      <c r="AC41" s="112">
        <f t="shared" si="3"/>
        <v>312171.5290294661</v>
      </c>
      <c r="AD41" s="91">
        <f t="shared" si="4"/>
        <v>2420063.9507973408</v>
      </c>
      <c r="AF41" s="74">
        <f t="shared" si="13"/>
        <v>0.95799999999999996</v>
      </c>
      <c r="AG41" s="21"/>
      <c r="AH41" s="74">
        <f t="shared" si="10"/>
        <v>1.7834778255616757</v>
      </c>
      <c r="AJ41" s="75">
        <v>1123378.0126564871</v>
      </c>
      <c r="AL41" s="191">
        <f t="shared" si="11"/>
        <v>1162750.1696834462</v>
      </c>
    </row>
    <row r="42" spans="1:38" ht="18" customHeight="1">
      <c r="A42" s="12"/>
      <c r="B42" s="95">
        <v>11</v>
      </c>
      <c r="C42" s="73"/>
      <c r="D42" s="103"/>
      <c r="E42" s="68">
        <f>E41*(1+$C$13)</f>
        <v>2019359.5784093586</v>
      </c>
      <c r="F42" s="68">
        <f t="shared" ref="F42:F52" si="14">IF($U$8="Si",V42,0)</f>
        <v>81384.676821191679</v>
      </c>
      <c r="G42" s="68">
        <f t="shared" si="7"/>
        <v>1246959.3641856601</v>
      </c>
      <c r="H42" s="113">
        <v>-1094710.8394392305</v>
      </c>
      <c r="I42" s="92">
        <f>SUM(C42:H42)</f>
        <v>2252992.7799769798</v>
      </c>
      <c r="J42" s="184"/>
      <c r="K42" s="130">
        <f>IRR($AL$31:AL42)</f>
        <v>0.28418340810645226</v>
      </c>
      <c r="L42" s="68" cm="1">
        <f t="array" ref="L42">NPV($Q$7,-H$31:$H42)</f>
        <v>3187408.7091934234</v>
      </c>
      <c r="M42" s="68">
        <f>NPV($Q$6,I$31:$I42)</f>
        <v>9071991.1071607005</v>
      </c>
      <c r="N42" s="70"/>
      <c r="O42" s="19"/>
      <c r="P42" s="67">
        <v>11</v>
      </c>
      <c r="Q42" s="71">
        <f>AF42*$D$5*($S$25/1000)</f>
        <v>663.68663819999995</v>
      </c>
      <c r="R42" s="71">
        <f t="shared" si="8"/>
        <v>294.67686736079997</v>
      </c>
      <c r="S42" s="90">
        <f>S41+Q42</f>
        <v>6873.400404</v>
      </c>
      <c r="T42" s="90">
        <f>T41+R42</f>
        <v>3051.7897793759998</v>
      </c>
      <c r="U42" s="21"/>
      <c r="V42" s="68">
        <f t="shared" si="6"/>
        <v>81384.676821191679</v>
      </c>
      <c r="W42" s="70"/>
      <c r="X42" s="21"/>
      <c r="Y42" s="117">
        <v>11</v>
      </c>
      <c r="Z42" s="118"/>
      <c r="AA42" s="118"/>
      <c r="AB42" s="118">
        <f>E42*0.16</f>
        <v>323097.53254549741</v>
      </c>
      <c r="AC42" s="112">
        <f t="shared" si="3"/>
        <v>323097.53254549741</v>
      </c>
      <c r="AD42" s="91">
        <f t="shared" si="4"/>
        <v>2576090.3125224775</v>
      </c>
      <c r="AF42" s="74">
        <f>AF41-0.4%</f>
        <v>0.95399999999999996</v>
      </c>
      <c r="AG42" s="21"/>
      <c r="AH42" s="74">
        <f t="shared" si="10"/>
        <v>1.9172386624788014</v>
      </c>
      <c r="AJ42" s="75">
        <v>1246959.3641856601</v>
      </c>
      <c r="AL42" s="191">
        <f t="shared" si="11"/>
        <v>1248681.6941521168</v>
      </c>
    </row>
    <row r="43" spans="1:38" ht="18" customHeight="1">
      <c r="A43" s="12"/>
      <c r="B43" s="95">
        <v>12</v>
      </c>
      <c r="C43" s="73"/>
      <c r="D43" s="103"/>
      <c r="E43" s="68">
        <f t="shared" si="12"/>
        <v>2090037.1636536859</v>
      </c>
      <c r="F43" s="68">
        <f t="shared" si="14"/>
        <v>87121.699374886812</v>
      </c>
      <c r="G43" s="68">
        <f t="shared" si="7"/>
        <v>1381304.494626076</v>
      </c>
      <c r="H43" s="113">
        <v>-1149446.381411192</v>
      </c>
      <c r="I43" s="92">
        <f>SUM(C43:H43)</f>
        <v>2409016.9762434568</v>
      </c>
      <c r="J43" s="184"/>
      <c r="K43" s="130">
        <f>IRR($AL$31:AL43)</f>
        <v>0.28869962106251301</v>
      </c>
      <c r="L43" s="68" cm="1">
        <f t="array" ref="L43">NPV($Q$7,-H$31:$H43)</f>
        <v>3374225.8808820681</v>
      </c>
      <c r="M43" s="68">
        <f>NPV($Q$6,I$31:$I43)</f>
        <v>9857761.004792653</v>
      </c>
      <c r="N43" s="70"/>
      <c r="O43" s="19"/>
      <c r="P43" s="67">
        <v>12</v>
      </c>
      <c r="Q43" s="71">
        <f>AF43*$D$5*($S$25/1000)</f>
        <v>660.90388499999995</v>
      </c>
      <c r="R43" s="71">
        <f t="shared" si="8"/>
        <v>293.44132493999996</v>
      </c>
      <c r="S43" s="90">
        <f t="shared" si="9"/>
        <v>7534.3042889999997</v>
      </c>
      <c r="T43" s="90">
        <f t="shared" si="9"/>
        <v>3345.2311043159998</v>
      </c>
      <c r="U43" s="21"/>
      <c r="V43" s="68">
        <f t="shared" si="6"/>
        <v>87121.699374886812</v>
      </c>
      <c r="W43" s="70"/>
      <c r="X43" s="21"/>
      <c r="Y43" s="117">
        <v>12</v>
      </c>
      <c r="Z43" s="118"/>
      <c r="AA43" s="118"/>
      <c r="AB43" s="118">
        <f>E43*0.16</f>
        <v>334405.94618458976</v>
      </c>
      <c r="AC43" s="112">
        <f t="shared" si="3"/>
        <v>334405.94618458976</v>
      </c>
      <c r="AD43" s="91">
        <f t="shared" si="4"/>
        <v>2743422.9224280464</v>
      </c>
      <c r="AF43" s="74">
        <f t="shared" si="13"/>
        <v>0.95</v>
      </c>
      <c r="AG43" s="21"/>
      <c r="AH43" s="74">
        <f>AH42*(1+$U$7)</f>
        <v>2.0610315621647115</v>
      </c>
      <c r="AJ43" s="75">
        <v>1381304.494626076</v>
      </c>
      <c r="AL43" s="191">
        <f t="shared" si="11"/>
        <v>1341477.9689470623</v>
      </c>
    </row>
    <row r="44" spans="1:38" ht="18" customHeight="1">
      <c r="A44" s="12"/>
      <c r="B44" s="95">
        <v>13</v>
      </c>
      <c r="C44" s="73"/>
      <c r="D44" s="103"/>
      <c r="E44" s="68">
        <f t="shared" si="12"/>
        <v>2163188.4643815649</v>
      </c>
      <c r="F44" s="68">
        <f t="shared" si="14"/>
        <v>93261.486504516972</v>
      </c>
      <c r="G44" s="68">
        <f t="shared" si="7"/>
        <v>1527264.9606987932</v>
      </c>
      <c r="H44" s="113">
        <v>-1206918.7004817517</v>
      </c>
      <c r="I44" s="92">
        <f>SUM(C44:H44)</f>
        <v>2576796.2111031236</v>
      </c>
      <c r="J44" s="184"/>
      <c r="K44" s="130">
        <f>IRR($AL$31:AL44)</f>
        <v>0.29224308229202656</v>
      </c>
      <c r="L44" s="68" cm="1">
        <f t="array" ref="L44">NPV($Q$7,-H$31:$H44)</f>
        <v>3544798.0811195266</v>
      </c>
      <c r="M44" s="68">
        <f>NPV($Q$6,I$31:$I44)</f>
        <v>10628858.162071308</v>
      </c>
      <c r="N44" s="70"/>
      <c r="O44" s="19"/>
      <c r="P44" s="67">
        <v>13</v>
      </c>
      <c r="Q44" s="71">
        <f>AF44*$D$5*($S$25/1000)</f>
        <v>658.12113179999994</v>
      </c>
      <c r="R44" s="71">
        <f t="shared" si="8"/>
        <v>292.2057825192</v>
      </c>
      <c r="S44" s="90">
        <f t="shared" si="9"/>
        <v>8192.4254208000002</v>
      </c>
      <c r="T44" s="90">
        <f t="shared" si="9"/>
        <v>3637.4368868351999</v>
      </c>
      <c r="U44" s="21"/>
      <c r="V44" s="68">
        <f t="shared" si="6"/>
        <v>93261.486504516972</v>
      </c>
      <c r="W44" s="70"/>
      <c r="X44" s="21"/>
      <c r="Y44" s="117">
        <v>13</v>
      </c>
      <c r="Z44" s="118"/>
      <c r="AA44" s="118"/>
      <c r="AB44" s="118">
        <f>E44*0.16</f>
        <v>346110.15430105041</v>
      </c>
      <c r="AC44" s="112">
        <f t="shared" si="3"/>
        <v>346110.15430105041</v>
      </c>
      <c r="AD44" s="91">
        <f t="shared" si="4"/>
        <v>2922906.3654041742</v>
      </c>
      <c r="AF44" s="74">
        <f t="shared" si="13"/>
        <v>0.94599999999999995</v>
      </c>
      <c r="AG44" s="21"/>
      <c r="AH44" s="74">
        <f t="shared" ref="AH44:AH52" si="15">AH43*(1+$U$7)</f>
        <v>2.2156089293270647</v>
      </c>
      <c r="AJ44" s="75">
        <v>1527264.9606987932</v>
      </c>
      <c r="AL44" s="191">
        <f t="shared" si="11"/>
        <v>1441681.7376276611</v>
      </c>
    </row>
    <row r="45" spans="1:38" ht="18" customHeight="1">
      <c r="A45" s="12"/>
      <c r="B45" s="95">
        <v>14</v>
      </c>
      <c r="C45" s="73"/>
      <c r="D45" s="103"/>
      <c r="E45" s="68">
        <f t="shared" si="12"/>
        <v>2238900.0606349194</v>
      </c>
      <c r="F45" s="68">
        <f t="shared" si="14"/>
        <v>99832.182144607941</v>
      </c>
      <c r="G45" s="68">
        <f t="shared" si="7"/>
        <v>1685756.3549748859</v>
      </c>
      <c r="H45" s="113">
        <v>-1267264.6355058393</v>
      </c>
      <c r="I45" s="92">
        <f>SUM(C45:H45)</f>
        <v>2757223.962248574</v>
      </c>
      <c r="J45" s="184"/>
      <c r="K45" s="130">
        <f>IRR($AL$31:AL45)</f>
        <v>0.29504128044789479</v>
      </c>
      <c r="L45" s="68" cm="1">
        <f t="array" ref="L45">NPV($Q$7,-H$31:$H45)</f>
        <v>3700537.916118945</v>
      </c>
      <c r="M45" s="68">
        <f>NPV($Q$6,I$31:$I45)</f>
        <v>11385821.028128624</v>
      </c>
      <c r="N45" s="70"/>
      <c r="O45" s="19"/>
      <c r="P45" s="67">
        <v>14</v>
      </c>
      <c r="Q45" s="71">
        <f>AF45*$D$5*($S$25/1000)</f>
        <v>655.33837859999994</v>
      </c>
      <c r="R45" s="71">
        <f t="shared" si="8"/>
        <v>290.97024009839998</v>
      </c>
      <c r="S45" s="90">
        <f t="shared" si="9"/>
        <v>8847.7637993999997</v>
      </c>
      <c r="T45" s="90">
        <f t="shared" si="9"/>
        <v>3928.4071269336</v>
      </c>
      <c r="U45" s="21"/>
      <c r="V45" s="68">
        <f t="shared" si="6"/>
        <v>99832.182144607941</v>
      </c>
      <c r="W45" s="70"/>
      <c r="X45" s="21"/>
      <c r="Y45" s="117">
        <v>14</v>
      </c>
      <c r="Z45" s="118"/>
      <c r="AA45" s="118"/>
      <c r="AB45" s="118">
        <f>E45*0.16</f>
        <v>358224.00970158714</v>
      </c>
      <c r="AC45" s="112">
        <f t="shared" si="3"/>
        <v>358224.00970158714</v>
      </c>
      <c r="AD45" s="91">
        <f t="shared" si="4"/>
        <v>3115447.9719501613</v>
      </c>
      <c r="AF45" s="74">
        <f t="shared" si="13"/>
        <v>0.94199999999999995</v>
      </c>
      <c r="AG45" s="21"/>
      <c r="AH45" s="74">
        <f t="shared" si="15"/>
        <v>2.3817795990265944</v>
      </c>
      <c r="AJ45" s="75">
        <v>1685756.3549748859</v>
      </c>
      <c r="AL45" s="191">
        <f t="shared" si="11"/>
        <v>1549877.3829222498</v>
      </c>
    </row>
    <row r="46" spans="1:38" ht="18" customHeight="1">
      <c r="A46" s="12"/>
      <c r="B46" s="95">
        <v>15</v>
      </c>
      <c r="C46" s="73"/>
      <c r="D46" s="103"/>
      <c r="E46" s="68">
        <f t="shared" si="12"/>
        <v>2317261.5627571414</v>
      </c>
      <c r="F46" s="68">
        <f t="shared" si="14"/>
        <v>106863.88626912466</v>
      </c>
      <c r="G46" s="68">
        <f t="shared" si="7"/>
        <v>1857762.9757210589</v>
      </c>
      <c r="H46" s="113">
        <v>-1330627.8672811312</v>
      </c>
      <c r="I46" s="92">
        <f>SUM(C46:H46)</f>
        <v>2951260.557466194</v>
      </c>
      <c r="J46" s="184"/>
      <c r="K46" s="130">
        <f>IRR($AL$31:AL46)</f>
        <v>0.29726353636381697</v>
      </c>
      <c r="L46" s="68" cm="1">
        <f t="array" ref="L46">NPV($Q$7,-H$31:$H46)</f>
        <v>3842735.1567705879</v>
      </c>
      <c r="M46" s="68">
        <f>NPV($Q$6,I$31:$I46)</f>
        <v>12129154.324322596</v>
      </c>
      <c r="N46" s="70"/>
      <c r="O46" s="19"/>
      <c r="P46" s="67">
        <v>15</v>
      </c>
      <c r="Q46" s="71">
        <f>AF46*$D$5*($S$25/1000)</f>
        <v>652.55562539999994</v>
      </c>
      <c r="R46" s="71">
        <f t="shared" si="8"/>
        <v>289.73469767759997</v>
      </c>
      <c r="S46" s="90">
        <f t="shared" si="9"/>
        <v>9500.3194248</v>
      </c>
      <c r="T46" s="90">
        <f t="shared" si="9"/>
        <v>4218.1418246111998</v>
      </c>
      <c r="U46" s="21"/>
      <c r="V46" s="68">
        <f t="shared" si="6"/>
        <v>106863.88626912466</v>
      </c>
      <c r="W46" s="70"/>
      <c r="X46" s="21"/>
      <c r="Y46" s="117">
        <v>15</v>
      </c>
      <c r="Z46" s="118"/>
      <c r="AA46" s="118"/>
      <c r="AB46" s="118">
        <f>E46*0.16</f>
        <v>370761.85004114261</v>
      </c>
      <c r="AC46" s="112">
        <f t="shared" si="3"/>
        <v>370761.85004114261</v>
      </c>
      <c r="AD46" s="91">
        <f t="shared" si="4"/>
        <v>3322022.4075073367</v>
      </c>
      <c r="AF46" s="74">
        <f t="shared" si="13"/>
        <v>0.93799999999999994</v>
      </c>
      <c r="AG46" s="21"/>
      <c r="AH46" s="74">
        <f t="shared" si="15"/>
        <v>2.5604130689535891</v>
      </c>
      <c r="AJ46" s="75">
        <v>1857762.9757210589</v>
      </c>
      <c r="AL46" s="191">
        <f t="shared" si="11"/>
        <v>1666694.0300419966</v>
      </c>
    </row>
    <row r="47" spans="1:38" ht="18" customHeight="1">
      <c r="A47" s="12"/>
      <c r="B47" s="95">
        <v>16</v>
      </c>
      <c r="C47" s="73"/>
      <c r="D47" s="103"/>
      <c r="E47" s="68">
        <f t="shared" si="12"/>
        <v>2398365.7174536414</v>
      </c>
      <c r="F47" s="68">
        <f t="shared" si="14"/>
        <v>114388.78998775544</v>
      </c>
      <c r="G47" s="68">
        <f t="shared" si="7"/>
        <v>2044342.8303440427</v>
      </c>
      <c r="H47" s="113">
        <v>-1397159.2606451879</v>
      </c>
      <c r="I47" s="92">
        <f>SUM(C47:H47)</f>
        <v>3159938.0771402516</v>
      </c>
      <c r="J47" s="184"/>
      <c r="K47" s="130">
        <f>IRR($AL$31:AL47)</f>
        <v>0.29903720817480117</v>
      </c>
      <c r="L47" s="68" cm="1">
        <f t="array" ref="L47">NPV($Q$7,-H$31:$H47)</f>
        <v>3972567.4199742614</v>
      </c>
      <c r="M47" s="68">
        <f>NPV($Q$6,I$31:$I47)</f>
        <v>12859331.254184412</v>
      </c>
      <c r="N47" s="70"/>
      <c r="O47" s="19"/>
      <c r="P47" s="67">
        <v>16</v>
      </c>
      <c r="Q47" s="71">
        <f>AF47*$D$5*($S$25/1000)</f>
        <v>649.77287219999994</v>
      </c>
      <c r="R47" s="71">
        <f t="shared" si="8"/>
        <v>288.49915525679995</v>
      </c>
      <c r="S47" s="90">
        <f t="shared" si="9"/>
        <v>10150.092296999999</v>
      </c>
      <c r="T47" s="90">
        <f t="shared" si="9"/>
        <v>4506.6409798679997</v>
      </c>
      <c r="U47" s="21"/>
      <c r="V47" s="68">
        <f t="shared" si="6"/>
        <v>114388.78998775544</v>
      </c>
      <c r="W47" s="70"/>
      <c r="X47" s="21"/>
      <c r="Y47" s="117">
        <v>16</v>
      </c>
      <c r="Z47" s="118"/>
      <c r="AA47" s="118"/>
      <c r="AB47" s="118">
        <f>E47*0.16</f>
        <v>383738.5147925826</v>
      </c>
      <c r="AC47" s="112">
        <f t="shared" si="3"/>
        <v>383738.5147925826</v>
      </c>
      <c r="AD47" s="91">
        <f t="shared" si="4"/>
        <v>3543676.5919328341</v>
      </c>
      <c r="AF47" s="74">
        <f t="shared" si="13"/>
        <v>0.93399999999999994</v>
      </c>
      <c r="AG47" s="21"/>
      <c r="AH47" s="74">
        <f t="shared" si="15"/>
        <v>2.7524440491251081</v>
      </c>
      <c r="AJ47" s="75">
        <v>2044342.8303440427</v>
      </c>
      <c r="AL47" s="191">
        <f t="shared" si="11"/>
        <v>1792808.8758046199</v>
      </c>
    </row>
    <row r="48" spans="1:38" ht="18" customHeight="1">
      <c r="A48" s="12"/>
      <c r="B48" s="95">
        <v>17</v>
      </c>
      <c r="C48" s="73"/>
      <c r="D48" s="103"/>
      <c r="E48" s="68">
        <f t="shared" si="12"/>
        <v>2482308.5175645184</v>
      </c>
      <c r="F48" s="68">
        <f t="shared" si="14"/>
        <v>122441.31990391701</v>
      </c>
      <c r="G48" s="68">
        <f t="shared" si="7"/>
        <v>2246632.9959017513</v>
      </c>
      <c r="H48" s="113">
        <v>-1467017.2236774473</v>
      </c>
      <c r="I48" s="92">
        <f>SUM(C48:H48)</f>
        <v>3384365.6096927393</v>
      </c>
      <c r="J48" s="184"/>
      <c r="K48" s="130">
        <f>IRR($AL$31:AL48)</f>
        <v>0.30045903618800129</v>
      </c>
      <c r="L48" s="68" cm="1">
        <f t="array" ref="L48">NPV($Q$7,-H$31:$H48)</f>
        <v>4091109.9211602248</v>
      </c>
      <c r="M48" s="68">
        <f>NPV($Q$6,I$31:$I48)</f>
        <v>13576795.577819265</v>
      </c>
      <c r="N48" s="70"/>
      <c r="O48" s="19"/>
      <c r="P48" s="67">
        <v>17</v>
      </c>
      <c r="Q48" s="71">
        <f>AF48*$D$5*($S$25/1000)</f>
        <v>646.99011899999994</v>
      </c>
      <c r="R48" s="71">
        <f t="shared" si="8"/>
        <v>287.26361283599999</v>
      </c>
      <c r="S48" s="90">
        <f t="shared" si="9"/>
        <v>10797.082415999999</v>
      </c>
      <c r="T48" s="90">
        <f t="shared" si="9"/>
        <v>4793.9045927039997</v>
      </c>
      <c r="U48" s="21"/>
      <c r="V48" s="68">
        <f t="shared" si="6"/>
        <v>122441.31990391701</v>
      </c>
      <c r="W48" s="70"/>
      <c r="X48" s="21"/>
      <c r="Y48" s="117">
        <v>17</v>
      </c>
      <c r="Z48" s="118"/>
      <c r="AA48" s="118"/>
      <c r="AB48" s="118">
        <f>E48*0.16</f>
        <v>397169.36281032296</v>
      </c>
      <c r="AC48" s="112">
        <f t="shared" si="3"/>
        <v>397169.36281032296</v>
      </c>
      <c r="AD48" s="91">
        <f t="shared" si="4"/>
        <v>3781534.9725030623</v>
      </c>
      <c r="AF48" s="74">
        <f t="shared" si="13"/>
        <v>0.92999999999999994</v>
      </c>
      <c r="AG48" s="21"/>
      <c r="AH48" s="74">
        <f t="shared" si="15"/>
        <v>2.9588773528094912</v>
      </c>
      <c r="AJ48" s="75">
        <v>2246632.9959017513</v>
      </c>
      <c r="AL48" s="191">
        <f t="shared" si="11"/>
        <v>1928950.7596816833</v>
      </c>
    </row>
    <row r="49" spans="1:43" ht="18" customHeight="1">
      <c r="A49" s="12"/>
      <c r="B49" s="95">
        <v>18</v>
      </c>
      <c r="C49" s="73"/>
      <c r="D49" s="103"/>
      <c r="E49" s="68">
        <f t="shared" si="12"/>
        <v>2569189.3156792764</v>
      </c>
      <c r="F49" s="68">
        <f t="shared" si="14"/>
        <v>131058.2923638217</v>
      </c>
      <c r="G49" s="68">
        <f t="shared" si="7"/>
        <v>2465855.3617791957</v>
      </c>
      <c r="H49" s="113">
        <v>-1540368.0848613197</v>
      </c>
      <c r="I49" s="92">
        <f>SUM(C49:H49)</f>
        <v>3625734.8849609736</v>
      </c>
      <c r="J49" s="184"/>
      <c r="K49" s="130">
        <f>IRR($AL$31:AL49)</f>
        <v>0.30160317094888933</v>
      </c>
      <c r="L49" s="68" cm="1">
        <f t="array" ref="L49">NPV($Q$7,-H$31:$H49)</f>
        <v>4199344.3787647998</v>
      </c>
      <c r="M49" s="68">
        <f>NPV($Q$6,I$31:$I49)</f>
        <v>14281963.558604894</v>
      </c>
      <c r="N49" s="70"/>
      <c r="O49" s="19"/>
      <c r="P49" s="67">
        <v>18</v>
      </c>
      <c r="Q49" s="71">
        <f>AF49*$D$5*($S$25/1000)</f>
        <v>644.20736579999993</v>
      </c>
      <c r="R49" s="71">
        <f t="shared" si="8"/>
        <v>286.02807041519998</v>
      </c>
      <c r="S49" s="90">
        <f t="shared" si="9"/>
        <v>11441.289781799998</v>
      </c>
      <c r="T49" s="90">
        <f t="shared" si="9"/>
        <v>5079.9326631191998</v>
      </c>
      <c r="U49" s="21"/>
      <c r="V49" s="68">
        <f t="shared" si="6"/>
        <v>131058.2923638217</v>
      </c>
      <c r="W49" s="70"/>
      <c r="X49" s="21"/>
      <c r="Y49" s="117">
        <v>18</v>
      </c>
      <c r="Z49" s="118"/>
      <c r="AA49" s="118"/>
      <c r="AB49" s="118">
        <f>E49*0.16</f>
        <v>411070.29050868424</v>
      </c>
      <c r="AC49" s="112">
        <f t="shared" si="3"/>
        <v>411070.29050868424</v>
      </c>
      <c r="AD49" s="91">
        <f t="shared" si="4"/>
        <v>4036805.1754696579</v>
      </c>
      <c r="AF49" s="74">
        <f t="shared" si="13"/>
        <v>0.92599999999999993</v>
      </c>
      <c r="AG49" s="21"/>
      <c r="AH49" s="74">
        <f t="shared" si="15"/>
        <v>3.1807931542702028</v>
      </c>
      <c r="AJ49" s="75">
        <v>2465855.3617791957</v>
      </c>
      <c r="AL49" s="191">
        <f t="shared" si="11"/>
        <v>2075903.9940142853</v>
      </c>
    </row>
    <row r="50" spans="1:43" ht="18" customHeight="1">
      <c r="A50" s="12"/>
      <c r="B50" s="95">
        <v>19</v>
      </c>
      <c r="C50" s="73"/>
      <c r="D50" s="103"/>
      <c r="E50" s="68">
        <f t="shared" si="12"/>
        <v>2659110.9417280508</v>
      </c>
      <c r="F50" s="68">
        <f t="shared" si="14"/>
        <v>140279.07826825255</v>
      </c>
      <c r="G50" s="68">
        <f t="shared" si="7"/>
        <v>2703322.7813690137</v>
      </c>
      <c r="H50" s="113">
        <v>-1617386.4891043857</v>
      </c>
      <c r="I50" s="92">
        <f>SUM(C50:H50)</f>
        <v>3885326.3122609314</v>
      </c>
      <c r="J50" s="184"/>
      <c r="K50" s="130">
        <f>IRR($AL$31:AL50)</f>
        <v>0.30252691875912996</v>
      </c>
      <c r="L50" s="68" cm="1">
        <f t="array" ref="L50">NPV($Q$7,-H$31:$H50)</f>
        <v>4298167.1444037603</v>
      </c>
      <c r="M50" s="68">
        <f>NPV($Q$6,I$31:$I50)</f>
        <v>14975225.789596066</v>
      </c>
      <c r="N50" s="70"/>
      <c r="O50" s="19"/>
      <c r="P50" s="67">
        <v>19</v>
      </c>
      <c r="Q50" s="71">
        <f>AF50*$D$5*($S$25/1000)</f>
        <v>641.42461259999993</v>
      </c>
      <c r="R50" s="71">
        <f t="shared" si="8"/>
        <v>284.79252799439996</v>
      </c>
      <c r="S50" s="90">
        <f t="shared" si="9"/>
        <v>12082.714394399998</v>
      </c>
      <c r="T50" s="90">
        <f t="shared" si="9"/>
        <v>5364.7251911136</v>
      </c>
      <c r="U50" s="21"/>
      <c r="V50" s="68">
        <f t="shared" si="6"/>
        <v>140279.07826825255</v>
      </c>
      <c r="W50" s="70"/>
      <c r="X50" s="21"/>
      <c r="Y50" s="117">
        <v>19</v>
      </c>
      <c r="Z50" s="118"/>
      <c r="AA50" s="118"/>
      <c r="AB50" s="118">
        <f>E50*0.16</f>
        <v>425457.75067648815</v>
      </c>
      <c r="AC50" s="112">
        <f t="shared" si="3"/>
        <v>425457.75067648815</v>
      </c>
      <c r="AD50" s="91">
        <f t="shared" si="4"/>
        <v>4310784.0629374199</v>
      </c>
      <c r="AF50" s="74">
        <f t="shared" si="13"/>
        <v>0.92199999999999993</v>
      </c>
      <c r="AG50" s="21"/>
      <c r="AH50" s="74">
        <f t="shared" si="15"/>
        <v>3.4193526408404677</v>
      </c>
      <c r="AJ50" s="75">
        <v>2703322.7813690137</v>
      </c>
      <c r="AL50" s="191">
        <f t="shared" si="11"/>
        <v>2234512.4718513358</v>
      </c>
    </row>
    <row r="51" spans="1:43" ht="18" customHeight="1">
      <c r="A51" s="12"/>
      <c r="B51" s="95">
        <v>20</v>
      </c>
      <c r="C51" s="73"/>
      <c r="D51" s="103"/>
      <c r="E51" s="68">
        <f t="shared" si="12"/>
        <v>2752179.8246885324</v>
      </c>
      <c r="F51" s="68">
        <f t="shared" si="14"/>
        <v>150145.77916380155</v>
      </c>
      <c r="G51" s="68">
        <f t="shared" si="7"/>
        <v>2960445.6614578185</v>
      </c>
      <c r="H51" s="113">
        <v>-1698255.813559605</v>
      </c>
      <c r="I51" s="92">
        <f>SUM(C51:H51)</f>
        <v>4164515.4517505476</v>
      </c>
      <c r="J51" s="184"/>
      <c r="K51" s="130">
        <f>IRR($AL$31:AL51)</f>
        <v>0.30327490028056281</v>
      </c>
      <c r="L51" s="68" cm="1">
        <f t="array" ref="L51">NPV($Q$7,-H$31:$H51)</f>
        <v>4388396.6260741148</v>
      </c>
      <c r="M51" s="68">
        <f>NPV($Q$6,I$31:$I51)</f>
        <v>15656948.90663079</v>
      </c>
      <c r="N51" s="70"/>
      <c r="O51" s="19"/>
      <c r="P51" s="67">
        <v>20</v>
      </c>
      <c r="Q51" s="71">
        <f>AF51*$D$5*($S$25/1000)</f>
        <v>638.64185939999993</v>
      </c>
      <c r="R51" s="71">
        <f t="shared" si="8"/>
        <v>283.55698557359995</v>
      </c>
      <c r="S51" s="90">
        <f t="shared" si="9"/>
        <v>12721.356253799999</v>
      </c>
      <c r="T51" s="90">
        <f t="shared" si="9"/>
        <v>5648.2821766872003</v>
      </c>
      <c r="U51" s="21"/>
      <c r="V51" s="68">
        <f t="shared" si="6"/>
        <v>150145.77916380155</v>
      </c>
      <c r="W51" s="70"/>
      <c r="X51" s="21"/>
      <c r="Y51" s="117">
        <v>20</v>
      </c>
      <c r="Z51" s="118"/>
      <c r="AA51" s="118"/>
      <c r="AB51" s="118">
        <f>E51*0.16</f>
        <v>440348.77195016522</v>
      </c>
      <c r="AC51" s="112">
        <f t="shared" si="3"/>
        <v>440348.77195016522</v>
      </c>
      <c r="AD51" s="91">
        <f t="shared" si="4"/>
        <v>4604864.2237007124</v>
      </c>
      <c r="AF51" s="74">
        <f t="shared" si="13"/>
        <v>0.91799999999999993</v>
      </c>
      <c r="AG51" s="21"/>
      <c r="AH51" s="74">
        <f t="shared" si="15"/>
        <v>3.6758040889035026</v>
      </c>
      <c r="AJ51" s="75">
        <v>2960445.6614578185</v>
      </c>
      <c r="AL51" s="191">
        <f t="shared" si="11"/>
        <v>2405684.0721575022</v>
      </c>
    </row>
    <row r="52" spans="1:43" ht="18" customHeight="1" thickBot="1">
      <c r="A52" s="12"/>
      <c r="B52" s="95">
        <v>21</v>
      </c>
      <c r="C52" s="76"/>
      <c r="D52" s="104">
        <v>0</v>
      </c>
      <c r="E52" s="68">
        <f t="shared" si="12"/>
        <v>2848506.1185526308</v>
      </c>
      <c r="F52" s="68">
        <f t="shared" si="14"/>
        <v>160703.41537842399</v>
      </c>
      <c r="G52" s="68">
        <f t="shared" si="7"/>
        <v>3238739.0200084825</v>
      </c>
      <c r="H52" s="113">
        <v>-1783168.6042375853</v>
      </c>
      <c r="I52" s="92">
        <f>SUM(C52:H52)</f>
        <v>4464779.9497019518</v>
      </c>
      <c r="J52" s="184"/>
      <c r="K52" s="130">
        <f>IRR($AL$31:AL52)</f>
        <v>0.30388209369445374</v>
      </c>
      <c r="L52" s="68" cm="1">
        <f t="array" ref="L52">NPV($Q$7,-H$31:$H52)</f>
        <v>4470780.0658600898</v>
      </c>
      <c r="M52" s="68">
        <f>NPV($Q$6,I$31:$I52)</f>
        <v>16327477.194744034</v>
      </c>
      <c r="N52" s="70"/>
      <c r="O52" s="19"/>
      <c r="P52" s="67">
        <v>21</v>
      </c>
      <c r="Q52" s="71">
        <f>AF52*$D$5*($S$25/1000)</f>
        <v>635.85910619999993</v>
      </c>
      <c r="R52" s="71">
        <f t="shared" si="8"/>
        <v>282.32144315279999</v>
      </c>
      <c r="S52" s="90">
        <f t="shared" si="9"/>
        <v>13357.215359999998</v>
      </c>
      <c r="T52" s="90">
        <f t="shared" si="9"/>
        <v>5930.6036198400006</v>
      </c>
      <c r="U52" s="21"/>
      <c r="V52" s="68">
        <f t="shared" si="6"/>
        <v>160703.41537842399</v>
      </c>
      <c r="W52" s="70"/>
      <c r="X52" s="21"/>
      <c r="Y52" s="117">
        <v>31</v>
      </c>
      <c r="Z52" s="118"/>
      <c r="AA52" s="118"/>
      <c r="AB52" s="118">
        <f>E52*0.16</f>
        <v>455760.97896842094</v>
      </c>
      <c r="AC52" s="112">
        <f t="shared" si="3"/>
        <v>455760.97896842094</v>
      </c>
      <c r="AD52" s="91">
        <f t="shared" si="4"/>
        <v>4920540.9286703728</v>
      </c>
      <c r="AE52" s="74"/>
      <c r="AF52" s="74">
        <f t="shared" si="13"/>
        <v>0.91399999999999992</v>
      </c>
      <c r="AG52" s="21"/>
      <c r="AH52" s="74">
        <f t="shared" si="15"/>
        <v>3.9514893955712651</v>
      </c>
      <c r="AJ52" s="75">
        <v>3238739.0200084825</v>
      </c>
      <c r="AL52" s="191">
        <f t="shared" si="11"/>
        <v>2590395.383520091</v>
      </c>
    </row>
    <row r="53" spans="1:43" ht="16.25" customHeight="1" thickTop="1">
      <c r="A53" s="12"/>
      <c r="B53" s="78"/>
      <c r="C53" s="142">
        <f t="shared" ref="C53:I53" si="16">SUM(C31:C52)</f>
        <v>-10000000.000000279</v>
      </c>
      <c r="D53" s="150">
        <f t="shared" si="16"/>
        <v>10000000.000000279</v>
      </c>
      <c r="E53" s="150">
        <f t="shared" si="16"/>
        <v>42138128.55338861</v>
      </c>
      <c r="F53" s="150">
        <f t="shared" si="16"/>
        <v>1823585.0491604945</v>
      </c>
      <c r="G53" s="150">
        <f>SUM(G31:G52)</f>
        <v>30137735.730784234</v>
      </c>
      <c r="H53" s="142">
        <f t="shared" si="16"/>
        <v>-23333333.33333334</v>
      </c>
      <c r="I53" s="145">
        <f t="shared" si="16"/>
        <v>50766116.000000015</v>
      </c>
      <c r="J53" s="127"/>
      <c r="K53" s="128"/>
      <c r="L53" s="120"/>
      <c r="M53" s="77"/>
      <c r="N53" s="79"/>
      <c r="O53" s="19"/>
      <c r="P53" s="77"/>
      <c r="Q53" s="20"/>
      <c r="R53" s="20"/>
      <c r="S53" s="147"/>
      <c r="T53" s="147"/>
      <c r="U53" s="21"/>
      <c r="V53" s="145">
        <f>SUM(V31:V52)</f>
        <v>1823585.0491604945</v>
      </c>
      <c r="W53" s="79"/>
      <c r="X53" s="21"/>
      <c r="Y53" s="36"/>
      <c r="Z53" s="177">
        <f>SUM(Z31:Z52)</f>
        <v>-5333333.333333482</v>
      </c>
      <c r="AA53" s="150">
        <f>SUM(AA31:AA52)</f>
        <v>5333333.333333482</v>
      </c>
      <c r="AB53" s="150">
        <f>SUM(AB31:AB52)</f>
        <v>6742100.5685421787</v>
      </c>
      <c r="AC53" s="150">
        <f>SUM(AC31:AC52)</f>
        <v>6742100.5685421787</v>
      </c>
      <c r="AD53" s="179">
        <f>SUM(AD31:AD52)</f>
        <v>57508216.568542182</v>
      </c>
      <c r="AE53" s="36"/>
      <c r="AG53" s="75"/>
      <c r="AM53" s="74"/>
      <c r="AN53" s="119"/>
    </row>
    <row r="54" spans="1:43" ht="16.25" customHeight="1" thickBot="1">
      <c r="A54" s="12"/>
      <c r="B54" s="78"/>
      <c r="C54" s="149"/>
      <c r="D54" s="151"/>
      <c r="E54" s="151"/>
      <c r="F54" s="151"/>
      <c r="G54" s="151"/>
      <c r="H54" s="143"/>
      <c r="I54" s="146"/>
      <c r="J54" s="127"/>
      <c r="K54" s="120"/>
      <c r="L54" s="120"/>
      <c r="M54" s="80"/>
      <c r="N54" s="62"/>
      <c r="O54" s="22"/>
      <c r="P54" s="80"/>
      <c r="Q54" s="20"/>
      <c r="R54" s="20"/>
      <c r="S54" s="148"/>
      <c r="T54" s="148"/>
      <c r="U54" s="21"/>
      <c r="V54" s="146"/>
      <c r="W54" s="62"/>
      <c r="X54" s="21"/>
      <c r="Y54" s="36"/>
      <c r="Z54" s="178"/>
      <c r="AA54" s="151"/>
      <c r="AB54" s="151"/>
      <c r="AC54" s="151"/>
      <c r="AD54" s="180"/>
      <c r="AM54" s="74"/>
      <c r="AN54" s="119"/>
    </row>
    <row r="55" spans="1:43" ht="15" customHeight="1" thickTop="1">
      <c r="A55" s="12"/>
      <c r="B55" s="20"/>
      <c r="C55" s="20"/>
      <c r="D55" s="20"/>
      <c r="E55" s="81"/>
      <c r="F55" s="81"/>
      <c r="G55" s="81"/>
      <c r="H55" s="20"/>
      <c r="I55" s="20"/>
      <c r="J55" s="20"/>
      <c r="K55" s="81"/>
      <c r="L55" s="20"/>
      <c r="M55" s="20"/>
      <c r="N55" s="20"/>
      <c r="O55" s="20"/>
      <c r="P55" s="82"/>
      <c r="Q55" s="69"/>
      <c r="R55" s="80"/>
      <c r="S55" s="20"/>
      <c r="T55" s="20"/>
      <c r="U55" s="20"/>
      <c r="V55" s="20"/>
      <c r="W55" s="21"/>
      <c r="X55" s="21"/>
      <c r="Y55" s="21"/>
      <c r="Z55" s="82"/>
      <c r="AA55" s="20"/>
      <c r="AB55" s="36"/>
      <c r="AC55" s="21"/>
      <c r="AD55" s="23"/>
      <c r="AE55" s="23"/>
      <c r="AF55" s="23"/>
      <c r="AG55" s="74"/>
      <c r="AP55" s="74"/>
      <c r="AQ55" s="119"/>
    </row>
    <row r="56" spans="1:43" ht="15" customHeight="1">
      <c r="A56" s="12"/>
      <c r="B56" s="20"/>
      <c r="C56" s="20"/>
      <c r="D56" s="20"/>
      <c r="E56" s="81"/>
      <c r="F56" s="20"/>
      <c r="G56" s="20"/>
      <c r="H56" s="124"/>
      <c r="I56" s="20"/>
      <c r="J56" s="20"/>
      <c r="K56" s="81"/>
      <c r="L56" s="20"/>
      <c r="M56" s="20"/>
      <c r="N56" s="20"/>
      <c r="O56" s="20"/>
      <c r="P56" s="82"/>
      <c r="Q56" s="69"/>
      <c r="R56" s="80"/>
      <c r="S56" s="20"/>
      <c r="T56" s="20"/>
      <c r="U56" s="20"/>
      <c r="V56" s="20"/>
      <c r="W56" s="21"/>
      <c r="X56" s="21"/>
      <c r="Y56" s="21"/>
      <c r="Z56" s="82"/>
      <c r="AA56" s="20"/>
      <c r="AB56" s="36"/>
      <c r="AC56" s="21"/>
      <c r="AD56" s="23"/>
      <c r="AE56" s="23"/>
      <c r="AF56" s="23"/>
      <c r="AG56" s="74"/>
      <c r="AP56" s="74"/>
      <c r="AQ56" s="119"/>
    </row>
    <row r="57" spans="1:43" ht="15" customHeight="1">
      <c r="A57" s="12"/>
      <c r="B57" s="20"/>
      <c r="C57" s="20"/>
      <c r="D57" s="20"/>
      <c r="E57" s="20"/>
      <c r="F57" s="20"/>
      <c r="G57" s="20"/>
      <c r="H57" s="20"/>
      <c r="I57" s="20"/>
      <c r="J57" s="20"/>
      <c r="K57" s="81"/>
      <c r="L57" s="20"/>
      <c r="M57" s="20"/>
      <c r="N57" s="20"/>
      <c r="O57" s="20"/>
      <c r="P57" s="20"/>
      <c r="Q57" s="69"/>
      <c r="R57" s="20"/>
      <c r="S57" s="20"/>
      <c r="T57" s="20"/>
      <c r="U57" s="20"/>
      <c r="V57" s="20"/>
      <c r="W57" s="21"/>
      <c r="X57" s="21"/>
      <c r="Y57" s="21"/>
      <c r="Z57" s="21"/>
      <c r="AA57" s="21"/>
      <c r="AB57" s="36"/>
      <c r="AC57" s="21"/>
      <c r="AD57" s="23"/>
      <c r="AE57" s="23"/>
      <c r="AF57" s="23"/>
      <c r="AG57" s="74"/>
      <c r="AP57" s="74"/>
      <c r="AQ57" s="119"/>
    </row>
    <row r="58" spans="1:43" ht="75.599999999999994" customHeight="1">
      <c r="A58" s="12"/>
      <c r="B58" s="138" t="s">
        <v>60</v>
      </c>
      <c r="C58" s="139"/>
      <c r="D58" s="139"/>
      <c r="E58" s="139"/>
      <c r="F58" s="139"/>
      <c r="G58" s="122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83"/>
      <c r="T58" s="20"/>
      <c r="U58" s="20"/>
      <c r="V58" s="20"/>
      <c r="W58" s="20"/>
      <c r="X58" s="20"/>
      <c r="Y58" s="21"/>
      <c r="Z58" s="24"/>
      <c r="AA58" s="24"/>
      <c r="AB58" s="21"/>
      <c r="AC58" s="24"/>
      <c r="AD58" s="21"/>
      <c r="AE58" s="23"/>
      <c r="AF58" s="23"/>
      <c r="AG58" s="74"/>
      <c r="AH58" s="10"/>
      <c r="AP58" s="74"/>
      <c r="AQ58" s="119"/>
    </row>
    <row r="59" spans="1:43" ht="15" customHeight="1">
      <c r="A59" s="12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1"/>
      <c r="Z59" s="21"/>
      <c r="AA59" s="21"/>
      <c r="AB59" s="24"/>
      <c r="AC59" s="24"/>
      <c r="AD59" s="24"/>
      <c r="AE59" s="21"/>
      <c r="AF59" s="23"/>
      <c r="AG59" s="74"/>
      <c r="AH59" s="10"/>
      <c r="AI59" s="10"/>
      <c r="AP59" s="74"/>
      <c r="AQ59" s="119"/>
    </row>
    <row r="60" spans="1:43" ht="15" customHeight="1">
      <c r="A60" s="12"/>
      <c r="B60" s="100" t="s">
        <v>42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144"/>
      <c r="V60" s="144"/>
      <c r="W60" s="144"/>
      <c r="X60" s="144"/>
      <c r="Y60" s="21"/>
      <c r="Z60" s="21"/>
      <c r="AA60" s="21"/>
      <c r="AB60" s="24"/>
      <c r="AC60" s="24"/>
      <c r="AD60" s="24"/>
      <c r="AE60" s="21"/>
      <c r="AF60" s="23"/>
      <c r="AG60" s="74"/>
      <c r="AH60" s="10"/>
      <c r="AI60" s="10"/>
      <c r="AP60" s="74"/>
      <c r="AQ60" s="119"/>
    </row>
    <row r="61" spans="1:43" ht="15" customHeight="1">
      <c r="A61" s="12"/>
      <c r="B61" s="10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144"/>
      <c r="V61" s="144"/>
      <c r="W61" s="144"/>
      <c r="X61" s="144"/>
      <c r="Y61" s="21"/>
      <c r="Z61" s="21"/>
      <c r="AA61" s="21"/>
      <c r="AB61" s="24"/>
      <c r="AC61" s="24"/>
      <c r="AD61" s="24"/>
      <c r="AE61" s="21"/>
      <c r="AF61" s="23"/>
      <c r="AG61" s="74"/>
      <c r="AH61" s="10"/>
      <c r="AI61" s="10"/>
      <c r="AP61" s="74"/>
      <c r="AQ61" s="119"/>
    </row>
    <row r="62" spans="1:43" ht="15" customHeight="1">
      <c r="A62" s="12"/>
      <c r="B62" s="84" t="s">
        <v>43</v>
      </c>
      <c r="C62" s="20"/>
      <c r="D62" s="20"/>
      <c r="E62" s="20"/>
      <c r="F62" s="20"/>
      <c r="G62" s="20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6"/>
      <c r="S62" s="85"/>
      <c r="T62" s="20"/>
      <c r="U62" s="144"/>
      <c r="V62" s="144"/>
      <c r="W62" s="144"/>
      <c r="X62" s="144"/>
      <c r="Y62" s="21"/>
      <c r="Z62" s="21"/>
      <c r="AA62" s="21"/>
      <c r="AB62" s="24"/>
      <c r="AC62" s="24"/>
      <c r="AD62" s="24"/>
      <c r="AE62" s="21"/>
      <c r="AF62" s="23"/>
      <c r="AG62" s="23"/>
      <c r="AH62" s="10"/>
      <c r="AI62" s="10"/>
      <c r="AP62" s="74"/>
      <c r="AQ62" s="119"/>
    </row>
    <row r="63" spans="1:43" ht="66" customHeight="1">
      <c r="A63" s="11"/>
      <c r="B63" s="140" t="s">
        <v>44</v>
      </c>
      <c r="C63" s="141"/>
      <c r="D63" s="141"/>
      <c r="E63" s="141"/>
      <c r="F63" s="141"/>
      <c r="G63" s="122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6"/>
      <c r="S63" s="85"/>
      <c r="T63" s="85"/>
      <c r="U63" s="144"/>
      <c r="V63" s="144"/>
      <c r="W63" s="144"/>
      <c r="X63" s="144"/>
      <c r="Y63" s="21"/>
      <c r="Z63" s="21"/>
      <c r="AA63" s="21"/>
      <c r="AB63" s="24"/>
      <c r="AC63" s="24"/>
      <c r="AD63" s="24"/>
      <c r="AE63" s="21"/>
      <c r="AF63" s="23"/>
      <c r="AG63" s="23"/>
      <c r="AH63" s="10"/>
      <c r="AI63" s="10"/>
    </row>
    <row r="64" spans="1:43" ht="15" customHeight="1">
      <c r="A64" s="7"/>
      <c r="B64" s="84" t="s">
        <v>57</v>
      </c>
      <c r="C64" s="123"/>
      <c r="D64" s="123"/>
      <c r="E64" s="123"/>
      <c r="F64" s="123"/>
      <c r="G64" s="123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6"/>
      <c r="S64" s="85"/>
      <c r="T64" s="85"/>
      <c r="U64" s="144"/>
      <c r="V64" s="144"/>
      <c r="W64" s="144"/>
      <c r="X64" s="144"/>
      <c r="Y64" s="21"/>
      <c r="Z64" s="21"/>
      <c r="AA64" s="21"/>
      <c r="AB64" s="24"/>
      <c r="AC64" s="24"/>
      <c r="AD64" s="24"/>
      <c r="AE64" s="21"/>
      <c r="AF64" s="23"/>
      <c r="AG64" s="23"/>
      <c r="AH64" s="10"/>
      <c r="AI64" s="10"/>
    </row>
    <row r="65" spans="1:35" ht="15" customHeight="1">
      <c r="A65" s="1"/>
      <c r="B65" s="84"/>
      <c r="C65" s="20"/>
      <c r="D65" s="20"/>
      <c r="E65" s="20"/>
      <c r="F65" s="20"/>
      <c r="G65" s="20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5"/>
      <c r="S65" s="14"/>
      <c r="T65" s="14"/>
      <c r="U65" s="14"/>
      <c r="V65" s="14"/>
      <c r="W65" s="14"/>
      <c r="X65" s="14"/>
      <c r="AB65" s="9"/>
      <c r="AC65" s="9"/>
      <c r="AD65" s="9"/>
      <c r="AF65" s="10"/>
      <c r="AG65" s="10"/>
      <c r="AH65" s="10"/>
      <c r="AI65" s="10"/>
    </row>
    <row r="66" spans="1:35" ht="15" hidden="1" customHeight="1">
      <c r="A66" s="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5"/>
      <c r="S66" s="14"/>
      <c r="T66" s="14"/>
      <c r="U66" s="14"/>
      <c r="V66" s="14"/>
      <c r="W66" s="14"/>
      <c r="X66" s="14"/>
      <c r="AB66" s="9"/>
      <c r="AC66" s="9"/>
      <c r="AD66" s="9"/>
      <c r="AF66" s="10"/>
      <c r="AG66" s="10"/>
      <c r="AH66" s="10"/>
      <c r="AI66" s="10"/>
    </row>
    <row r="67" spans="1:35" ht="15" hidden="1" customHeight="1">
      <c r="A67" s="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5"/>
      <c r="S67" s="14"/>
      <c r="T67" s="14"/>
      <c r="U67" s="14"/>
      <c r="V67" s="14"/>
      <c r="W67" s="14"/>
      <c r="X67" s="14"/>
      <c r="AB67" s="9"/>
      <c r="AC67" s="9"/>
      <c r="AD67" s="9"/>
      <c r="AF67" s="10"/>
      <c r="AG67" s="10"/>
      <c r="AH67" s="10"/>
      <c r="AI67" s="10"/>
    </row>
    <row r="68" spans="1:35" ht="15" hidden="1" customHeight="1">
      <c r="A68" s="9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5"/>
      <c r="S68" s="14"/>
      <c r="T68" s="14"/>
      <c r="U68" s="14"/>
      <c r="V68" s="14"/>
      <c r="W68" s="14"/>
      <c r="X68" s="14"/>
      <c r="AB68" s="9"/>
      <c r="AC68" s="9"/>
      <c r="AD68" s="9"/>
      <c r="AF68" s="10"/>
      <c r="AG68" s="10"/>
      <c r="AH68" s="10"/>
      <c r="AI68" s="10"/>
    </row>
    <row r="69" spans="1:35" ht="15" hidden="1" customHeight="1">
      <c r="A69" s="9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5"/>
      <c r="S69" s="14"/>
      <c r="T69" s="14"/>
      <c r="U69" s="14"/>
      <c r="V69" s="14"/>
      <c r="W69" s="14"/>
      <c r="X69" s="14"/>
      <c r="AB69" s="9"/>
      <c r="AC69" s="9"/>
      <c r="AD69" s="9"/>
      <c r="AF69" s="10"/>
      <c r="AG69" s="10"/>
      <c r="AH69" s="10"/>
      <c r="AI69" s="10"/>
    </row>
    <row r="70" spans="1:35" ht="15" hidden="1" customHeight="1">
      <c r="A70" s="9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5"/>
      <c r="S70" s="14"/>
      <c r="T70" s="14"/>
      <c r="U70" s="14"/>
      <c r="V70" s="14"/>
      <c r="W70" s="14"/>
      <c r="X70" s="14"/>
      <c r="AB70" s="9"/>
      <c r="AC70" s="9"/>
      <c r="AD70" s="9"/>
      <c r="AF70" s="10"/>
      <c r="AG70" s="10"/>
      <c r="AH70" s="10"/>
      <c r="AI70" s="10"/>
    </row>
    <row r="71" spans="1:35" ht="15" hidden="1" customHeight="1">
      <c r="A71" s="9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5"/>
      <c r="S71" s="14"/>
      <c r="T71" s="14"/>
      <c r="U71" s="14"/>
      <c r="V71" s="14"/>
      <c r="W71" s="14"/>
      <c r="X71" s="14"/>
      <c r="AB71" s="9"/>
      <c r="AC71" s="9"/>
      <c r="AD71" s="9"/>
      <c r="AF71" s="10"/>
      <c r="AG71" s="10"/>
      <c r="AH71" s="10"/>
      <c r="AI71" s="10"/>
    </row>
    <row r="72" spans="1:35" ht="15.75" hidden="1" customHeight="1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1"/>
      <c r="V72" s="1"/>
      <c r="W72" s="1"/>
      <c r="X72" s="1"/>
      <c r="AB72" s="9"/>
      <c r="AC72" s="9"/>
      <c r="AD72" s="9"/>
      <c r="AF72" s="10"/>
      <c r="AG72" s="10"/>
      <c r="AH72" s="10"/>
      <c r="AI72" s="10"/>
    </row>
    <row r="73" spans="1:35" ht="15.75" hidden="1" customHeight="1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1"/>
      <c r="V73" s="1"/>
      <c r="W73" s="1"/>
      <c r="X73" s="1"/>
      <c r="AB73" s="9"/>
      <c r="AC73" s="9"/>
      <c r="AD73" s="9"/>
      <c r="AF73" s="10"/>
      <c r="AG73" s="10"/>
      <c r="AH73" s="10"/>
      <c r="AI73" s="10"/>
    </row>
    <row r="74" spans="1:35" ht="15.75" hidden="1" customHeight="1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1"/>
      <c r="V74" s="1"/>
      <c r="W74" s="1"/>
      <c r="X74" s="1"/>
      <c r="AB74" s="9"/>
      <c r="AC74" s="9"/>
      <c r="AD74" s="9"/>
      <c r="AF74" s="10"/>
      <c r="AG74" s="10"/>
      <c r="AH74" s="10"/>
      <c r="AI74" s="10"/>
    </row>
    <row r="75" spans="1:35" ht="15.75" hidden="1" customHeight="1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1"/>
      <c r="V75" s="1"/>
      <c r="W75" s="1"/>
      <c r="X75" s="1"/>
      <c r="AB75" s="9"/>
      <c r="AC75" s="9"/>
      <c r="AD75" s="9"/>
      <c r="AF75" s="10"/>
      <c r="AG75" s="10"/>
      <c r="AH75" s="10"/>
      <c r="AI75" s="10"/>
    </row>
    <row r="76" spans="1:35" ht="15.75" hidden="1" customHeight="1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1"/>
      <c r="V76" s="1"/>
      <c r="W76" s="1"/>
      <c r="X76" s="1"/>
      <c r="AB76" s="9"/>
      <c r="AC76" s="9"/>
      <c r="AD76" s="9"/>
      <c r="AF76" s="10"/>
      <c r="AG76" s="10"/>
      <c r="AH76" s="10"/>
      <c r="AI76" s="10"/>
    </row>
    <row r="77" spans="1:35" ht="15.75" hidden="1" customHeight="1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1"/>
      <c r="V77" s="1"/>
      <c r="W77" s="1"/>
      <c r="X77" s="1"/>
      <c r="AB77" s="9"/>
      <c r="AC77" s="9"/>
      <c r="AD77" s="9"/>
      <c r="AF77" s="10"/>
      <c r="AG77" s="10"/>
      <c r="AH77" s="10"/>
      <c r="AI77" s="10"/>
    </row>
    <row r="78" spans="1:35" ht="15.75" hidden="1" customHeight="1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1"/>
      <c r="V78" s="1"/>
      <c r="W78" s="1"/>
      <c r="X78" s="1"/>
      <c r="AB78" s="9"/>
      <c r="AC78" s="9"/>
      <c r="AD78" s="9"/>
      <c r="AF78" s="10"/>
      <c r="AG78" s="10"/>
      <c r="AH78" s="10"/>
      <c r="AI78" s="10"/>
    </row>
    <row r="79" spans="1:35" ht="15.75" hidden="1" customHeight="1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1"/>
      <c r="V79" s="1"/>
      <c r="W79" s="1"/>
      <c r="X79" s="1"/>
      <c r="AB79" s="9"/>
      <c r="AC79" s="9"/>
      <c r="AD79" s="9"/>
      <c r="AF79" s="10"/>
      <c r="AG79" s="10"/>
      <c r="AH79" s="10"/>
      <c r="AI79" s="10"/>
    </row>
    <row r="80" spans="1:35" ht="15.75" hidden="1" customHeight="1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1"/>
      <c r="V80" s="1"/>
      <c r="W80" s="1"/>
      <c r="X80" s="1"/>
      <c r="AB80" s="9"/>
      <c r="AC80" s="9"/>
      <c r="AD80" s="9"/>
      <c r="AF80" s="10"/>
      <c r="AG80" s="10"/>
      <c r="AH80" s="10"/>
      <c r="AI80" s="10"/>
    </row>
    <row r="81" spans="1:35" ht="15.75" hidden="1" customHeight="1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1"/>
      <c r="V81" s="1"/>
      <c r="W81" s="1"/>
      <c r="X81" s="1"/>
      <c r="AB81" s="9"/>
      <c r="AC81" s="9"/>
      <c r="AD81" s="9"/>
      <c r="AF81" s="10"/>
      <c r="AG81" s="10"/>
      <c r="AH81" s="10"/>
      <c r="AI81" s="10"/>
    </row>
    <row r="82" spans="1:35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1"/>
      <c r="V82" s="1"/>
      <c r="W82" s="1"/>
      <c r="X82" s="1"/>
      <c r="AB82" s="9"/>
      <c r="AC82" s="9"/>
      <c r="AD82" s="9"/>
      <c r="AF82" s="10"/>
      <c r="AG82" s="10"/>
      <c r="AH82" s="10"/>
      <c r="AI82" s="10"/>
    </row>
    <row r="83" spans="1:35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1"/>
      <c r="V83" s="1"/>
      <c r="W83" s="1"/>
      <c r="X83" s="1"/>
      <c r="AB83" s="9"/>
      <c r="AC83" s="9"/>
      <c r="AD83" s="9"/>
      <c r="AF83" s="10"/>
      <c r="AG83" s="10"/>
      <c r="AH83" s="10"/>
      <c r="AI83" s="10"/>
    </row>
    <row r="84" spans="1:35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1"/>
      <c r="V84" s="1"/>
      <c r="W84" s="1"/>
      <c r="X84" s="1"/>
      <c r="AB84" s="9"/>
      <c r="AC84" s="9"/>
      <c r="AD84" s="9"/>
      <c r="AF84" s="10"/>
      <c r="AG84" s="10"/>
      <c r="AH84" s="10"/>
      <c r="AI84" s="10"/>
    </row>
    <row r="85" spans="1:35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1"/>
      <c r="V85" s="1"/>
      <c r="W85" s="1"/>
      <c r="X85" s="1"/>
      <c r="AB85" s="9"/>
      <c r="AC85" s="9"/>
      <c r="AD85" s="9"/>
      <c r="AF85" s="10"/>
      <c r="AG85" s="10"/>
      <c r="AH85" s="10"/>
      <c r="AI85" s="10"/>
    </row>
    <row r="86" spans="1:35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1"/>
      <c r="V86" s="1"/>
      <c r="W86" s="1"/>
      <c r="X86" s="1"/>
      <c r="AB86" s="9"/>
      <c r="AC86" s="9"/>
      <c r="AD86" s="9"/>
      <c r="AF86" s="10"/>
      <c r="AG86" s="10"/>
      <c r="AH86" s="10"/>
      <c r="AI86" s="10"/>
    </row>
    <row r="87" spans="1:35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1"/>
      <c r="V87" s="1"/>
      <c r="W87" s="1"/>
      <c r="X87" s="1"/>
      <c r="AB87" s="9"/>
      <c r="AC87" s="9"/>
      <c r="AD87" s="9"/>
      <c r="AF87" s="10"/>
      <c r="AG87" s="10"/>
      <c r="AH87" s="10"/>
      <c r="AI87" s="10"/>
    </row>
    <row r="88" spans="1:35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1"/>
      <c r="V88" s="1"/>
      <c r="W88" s="1"/>
      <c r="X88" s="1"/>
      <c r="AB88" s="9"/>
      <c r="AC88" s="9"/>
      <c r="AD88" s="9"/>
      <c r="AF88" s="10"/>
      <c r="AG88" s="10"/>
      <c r="AH88" s="10"/>
      <c r="AI88" s="10"/>
    </row>
    <row r="89" spans="1:35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1"/>
      <c r="V89" s="1"/>
      <c r="W89" s="1"/>
      <c r="X89" s="1"/>
      <c r="AB89" s="9"/>
      <c r="AC89" s="9"/>
      <c r="AD89" s="9"/>
      <c r="AF89" s="10"/>
      <c r="AG89" s="10"/>
      <c r="AH89" s="10"/>
      <c r="AI89" s="10"/>
    </row>
    <row r="90" spans="1:35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1"/>
      <c r="V90" s="1"/>
      <c r="W90" s="1"/>
      <c r="X90" s="1"/>
      <c r="AB90" s="9"/>
      <c r="AC90" s="9"/>
      <c r="AD90" s="9"/>
      <c r="AF90" s="10"/>
      <c r="AG90" s="10"/>
      <c r="AH90" s="10"/>
      <c r="AI90" s="10"/>
    </row>
    <row r="91" spans="1:35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1"/>
      <c r="V91" s="1"/>
      <c r="W91" s="1"/>
      <c r="X91" s="1"/>
      <c r="AB91" s="9"/>
      <c r="AC91" s="9"/>
      <c r="AD91" s="9"/>
      <c r="AF91" s="10"/>
      <c r="AG91" s="10"/>
      <c r="AH91" s="10"/>
      <c r="AI91" s="10"/>
    </row>
    <row r="92" spans="1:35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1"/>
      <c r="V92" s="1"/>
      <c r="W92" s="1"/>
      <c r="X92" s="1"/>
      <c r="AB92" s="9"/>
      <c r="AC92" s="9"/>
      <c r="AD92" s="9"/>
      <c r="AF92" s="10"/>
      <c r="AG92" s="10"/>
      <c r="AH92" s="10"/>
      <c r="AI92" s="10"/>
    </row>
    <row r="93" spans="1:35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1"/>
      <c r="V93" s="1"/>
      <c r="W93" s="1"/>
      <c r="X93" s="1"/>
      <c r="AB93" s="9"/>
      <c r="AC93" s="9"/>
      <c r="AD93" s="9"/>
      <c r="AF93" s="10"/>
      <c r="AG93" s="10"/>
      <c r="AH93" s="10"/>
      <c r="AI93" s="10"/>
    </row>
    <row r="94" spans="1:35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1"/>
      <c r="V94" s="1"/>
      <c r="W94" s="1"/>
      <c r="X94" s="1"/>
      <c r="AB94" s="9"/>
      <c r="AC94" s="9"/>
      <c r="AD94" s="9"/>
      <c r="AF94" s="10"/>
      <c r="AG94" s="10"/>
      <c r="AH94" s="10"/>
      <c r="AI94" s="10"/>
    </row>
    <row r="95" spans="1:35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1"/>
      <c r="V95" s="1"/>
      <c r="W95" s="1"/>
      <c r="X95" s="1"/>
      <c r="AB95" s="9"/>
      <c r="AC95" s="9"/>
      <c r="AD95" s="9"/>
      <c r="AF95" s="10"/>
      <c r="AG95" s="10"/>
      <c r="AH95" s="10"/>
      <c r="AI95" s="10"/>
    </row>
    <row r="96" spans="1:35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1"/>
      <c r="V96" s="1"/>
      <c r="W96" s="1"/>
      <c r="X96" s="1"/>
      <c r="AB96" s="9"/>
      <c r="AC96" s="9"/>
      <c r="AD96" s="9"/>
      <c r="AF96" s="10"/>
      <c r="AG96" s="10"/>
      <c r="AH96" s="10"/>
      <c r="AI96" s="10"/>
    </row>
    <row r="97" spans="1:35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1"/>
      <c r="V97" s="1"/>
      <c r="W97" s="1"/>
      <c r="X97" s="1"/>
      <c r="AB97" s="9"/>
      <c r="AC97" s="9"/>
      <c r="AD97" s="9"/>
      <c r="AF97" s="10"/>
      <c r="AG97" s="10"/>
      <c r="AH97" s="10"/>
      <c r="AI97" s="10"/>
    </row>
    <row r="98" spans="1:35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1"/>
      <c r="V98" s="1"/>
      <c r="W98" s="1"/>
      <c r="X98" s="1"/>
      <c r="AB98" s="9"/>
      <c r="AC98" s="9"/>
      <c r="AD98" s="9"/>
      <c r="AF98" s="10"/>
      <c r="AG98" s="10"/>
      <c r="AH98" s="10"/>
      <c r="AI98" s="10"/>
    </row>
    <row r="99" spans="1:35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1"/>
      <c r="V99" s="1"/>
      <c r="W99" s="1"/>
      <c r="X99" s="1"/>
      <c r="AB99" s="9"/>
      <c r="AC99" s="9"/>
      <c r="AD99" s="9"/>
      <c r="AF99" s="10"/>
      <c r="AG99" s="10"/>
      <c r="AH99" s="10"/>
      <c r="AI99" s="10"/>
    </row>
    <row r="100" spans="1:35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1"/>
      <c r="V100" s="1"/>
      <c r="W100" s="1"/>
      <c r="X100" s="1"/>
      <c r="AB100" s="9"/>
      <c r="AC100" s="9"/>
      <c r="AD100" s="9"/>
      <c r="AF100" s="10"/>
      <c r="AG100" s="10"/>
      <c r="AH100" s="10"/>
      <c r="AI100" s="10"/>
    </row>
    <row r="101" spans="1:35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1"/>
      <c r="V101" s="1"/>
      <c r="W101" s="1"/>
      <c r="X101" s="1"/>
      <c r="AB101" s="9"/>
      <c r="AC101" s="9"/>
      <c r="AD101" s="9"/>
      <c r="AF101" s="10"/>
      <c r="AG101" s="10"/>
      <c r="AH101" s="10"/>
      <c r="AI101" s="10"/>
    </row>
    <row r="102" spans="1:35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1"/>
      <c r="V102" s="1"/>
      <c r="W102" s="1"/>
      <c r="X102" s="1"/>
      <c r="AB102" s="9"/>
      <c r="AC102" s="9"/>
      <c r="AD102" s="9"/>
      <c r="AF102" s="10"/>
      <c r="AG102" s="10"/>
      <c r="AH102" s="10"/>
      <c r="AI102" s="10"/>
    </row>
    <row r="103" spans="1:35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1"/>
      <c r="V103" s="1"/>
      <c r="W103" s="1"/>
      <c r="X103" s="1"/>
      <c r="AB103" s="9"/>
      <c r="AC103" s="9"/>
      <c r="AD103" s="9"/>
      <c r="AF103" s="10"/>
      <c r="AG103" s="10"/>
      <c r="AH103" s="10"/>
      <c r="AI103" s="10"/>
    </row>
    <row r="104" spans="1:35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1"/>
      <c r="V104" s="1"/>
      <c r="W104" s="1"/>
      <c r="X104" s="1"/>
      <c r="AB104" s="9"/>
      <c r="AC104" s="9"/>
      <c r="AD104" s="9"/>
      <c r="AF104" s="10"/>
      <c r="AG104" s="10"/>
      <c r="AH104" s="10"/>
      <c r="AI104" s="10"/>
    </row>
    <row r="105" spans="1:35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1"/>
      <c r="V105" s="1"/>
      <c r="W105" s="1"/>
      <c r="X105" s="1"/>
      <c r="AB105" s="9"/>
      <c r="AC105" s="9"/>
      <c r="AD105" s="9"/>
      <c r="AF105" s="10"/>
      <c r="AG105" s="10"/>
      <c r="AH105" s="10"/>
      <c r="AI105" s="10"/>
    </row>
    <row r="106" spans="1:35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1"/>
      <c r="V106" s="1"/>
      <c r="W106" s="1"/>
      <c r="X106" s="1"/>
      <c r="AB106" s="9"/>
      <c r="AC106" s="9"/>
      <c r="AD106" s="9"/>
      <c r="AF106" s="10"/>
      <c r="AG106" s="10"/>
      <c r="AH106" s="10"/>
      <c r="AI106" s="10"/>
    </row>
    <row r="107" spans="1:35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1"/>
      <c r="V107" s="1"/>
      <c r="W107" s="1"/>
      <c r="X107" s="1"/>
      <c r="AB107" s="9"/>
      <c r="AC107" s="9"/>
      <c r="AD107" s="9"/>
      <c r="AF107" s="10"/>
      <c r="AG107" s="10"/>
      <c r="AH107" s="10"/>
      <c r="AI107" s="10"/>
    </row>
    <row r="108" spans="1:35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1"/>
      <c r="V108" s="1"/>
      <c r="W108" s="1"/>
      <c r="X108" s="1"/>
      <c r="AB108" s="9"/>
      <c r="AC108" s="9"/>
      <c r="AD108" s="9"/>
      <c r="AF108" s="10"/>
      <c r="AG108" s="10"/>
      <c r="AH108" s="10"/>
      <c r="AI108" s="10"/>
    </row>
    <row r="109" spans="1:35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1"/>
      <c r="V109" s="1"/>
      <c r="W109" s="1"/>
      <c r="X109" s="1"/>
      <c r="AB109" s="9"/>
      <c r="AC109" s="9"/>
      <c r="AD109" s="9"/>
      <c r="AF109" s="10"/>
      <c r="AG109" s="10"/>
      <c r="AH109" s="10"/>
      <c r="AI109" s="10"/>
    </row>
    <row r="110" spans="1:35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1"/>
      <c r="V110" s="1"/>
      <c r="W110" s="1"/>
      <c r="X110" s="1"/>
      <c r="AB110" s="9"/>
      <c r="AC110" s="9"/>
      <c r="AD110" s="9"/>
      <c r="AF110" s="10"/>
      <c r="AG110" s="10"/>
      <c r="AH110" s="10"/>
      <c r="AI110" s="10"/>
    </row>
    <row r="111" spans="1:35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1"/>
      <c r="V111" s="1"/>
      <c r="W111" s="1"/>
      <c r="X111" s="1"/>
      <c r="AB111" s="9"/>
      <c r="AC111" s="9"/>
      <c r="AD111" s="9"/>
      <c r="AF111" s="10"/>
      <c r="AG111" s="10"/>
      <c r="AH111" s="10"/>
      <c r="AI111" s="10"/>
    </row>
    <row r="112" spans="1:35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1"/>
      <c r="V112" s="1"/>
      <c r="W112" s="1"/>
      <c r="X112" s="1"/>
      <c r="AB112" s="9"/>
      <c r="AC112" s="9"/>
      <c r="AD112" s="9"/>
      <c r="AF112" s="10"/>
      <c r="AG112" s="10"/>
      <c r="AH112" s="10"/>
      <c r="AI112" s="10"/>
    </row>
    <row r="113" spans="1:35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1"/>
      <c r="V113" s="1"/>
      <c r="W113" s="1"/>
      <c r="X113" s="1"/>
      <c r="AB113" s="9"/>
      <c r="AC113" s="9"/>
      <c r="AD113" s="9"/>
      <c r="AF113" s="10"/>
      <c r="AG113" s="10"/>
      <c r="AH113" s="10"/>
      <c r="AI113" s="10"/>
    </row>
    <row r="114" spans="1:35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1"/>
      <c r="V114" s="1"/>
      <c r="W114" s="1"/>
      <c r="X114" s="1"/>
      <c r="AB114" s="9"/>
      <c r="AC114" s="9"/>
      <c r="AD114" s="9"/>
      <c r="AF114" s="10"/>
      <c r="AG114" s="10"/>
      <c r="AH114" s="10"/>
      <c r="AI114" s="10"/>
    </row>
    <row r="115" spans="1:35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1"/>
      <c r="V115" s="1"/>
      <c r="W115" s="1"/>
      <c r="X115" s="1"/>
      <c r="AB115" s="9"/>
      <c r="AC115" s="9"/>
      <c r="AD115" s="9"/>
      <c r="AF115" s="10"/>
      <c r="AG115" s="10"/>
      <c r="AH115" s="10"/>
      <c r="AI115" s="10"/>
    </row>
    <row r="116" spans="1:35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1"/>
      <c r="V116" s="1"/>
      <c r="W116" s="1"/>
      <c r="X116" s="1"/>
      <c r="AB116" s="9"/>
      <c r="AC116" s="9"/>
      <c r="AD116" s="9"/>
      <c r="AF116" s="10"/>
      <c r="AG116" s="10"/>
      <c r="AH116" s="10"/>
      <c r="AI116" s="10"/>
    </row>
    <row r="117" spans="1:35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1"/>
      <c r="V117" s="1"/>
      <c r="W117" s="1"/>
      <c r="X117" s="1"/>
      <c r="AB117" s="9"/>
      <c r="AC117" s="9"/>
      <c r="AD117" s="9"/>
      <c r="AF117" s="10"/>
      <c r="AG117" s="10"/>
      <c r="AH117" s="10"/>
      <c r="AI117" s="10"/>
    </row>
    <row r="118" spans="1:35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1"/>
      <c r="V118" s="1"/>
      <c r="W118" s="1"/>
      <c r="X118" s="1"/>
      <c r="AB118" s="9"/>
      <c r="AC118" s="9"/>
      <c r="AD118" s="9"/>
      <c r="AF118" s="10"/>
      <c r="AG118" s="10"/>
      <c r="AH118" s="10"/>
      <c r="AI118" s="10"/>
    </row>
    <row r="119" spans="1:35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1"/>
      <c r="V119" s="1"/>
      <c r="W119" s="1"/>
      <c r="X119" s="1"/>
      <c r="AB119" s="9"/>
      <c r="AC119" s="9"/>
      <c r="AD119" s="9"/>
      <c r="AF119" s="10"/>
      <c r="AG119" s="10"/>
      <c r="AH119" s="10"/>
      <c r="AI119" s="10"/>
    </row>
    <row r="120" spans="1:35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1"/>
      <c r="V120" s="1"/>
      <c r="W120" s="1"/>
      <c r="X120" s="1"/>
      <c r="AB120" s="9"/>
      <c r="AC120" s="9"/>
      <c r="AD120" s="9"/>
      <c r="AF120" s="10"/>
      <c r="AG120" s="10"/>
      <c r="AH120" s="10"/>
      <c r="AI120" s="10"/>
    </row>
    <row r="121" spans="1:35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1"/>
      <c r="V121" s="1"/>
      <c r="W121" s="1"/>
      <c r="X121" s="1"/>
      <c r="AB121" s="9"/>
      <c r="AC121" s="9"/>
      <c r="AD121" s="9"/>
      <c r="AF121" s="10"/>
      <c r="AG121" s="10"/>
      <c r="AH121" s="10"/>
      <c r="AI121" s="10"/>
    </row>
    <row r="122" spans="1:35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1"/>
      <c r="V122" s="1"/>
      <c r="W122" s="1"/>
      <c r="X122" s="1"/>
      <c r="AB122" s="9"/>
      <c r="AC122" s="9"/>
      <c r="AD122" s="9"/>
      <c r="AF122" s="10"/>
      <c r="AG122" s="10"/>
      <c r="AH122" s="10"/>
      <c r="AI122" s="10"/>
    </row>
    <row r="123" spans="1:35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1"/>
      <c r="V123" s="1"/>
      <c r="W123" s="1"/>
      <c r="X123" s="1"/>
      <c r="AB123" s="9"/>
      <c r="AC123" s="9"/>
      <c r="AD123" s="9"/>
      <c r="AF123" s="10"/>
      <c r="AG123" s="10"/>
      <c r="AH123" s="10"/>
      <c r="AI123" s="10"/>
    </row>
    <row r="124" spans="1:35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1"/>
      <c r="V124" s="1"/>
      <c r="W124" s="1"/>
      <c r="X124" s="1"/>
      <c r="AB124" s="9"/>
      <c r="AC124" s="9"/>
      <c r="AD124" s="9"/>
      <c r="AF124" s="10"/>
      <c r="AG124" s="10"/>
      <c r="AH124" s="10"/>
      <c r="AI124" s="10"/>
    </row>
    <row r="125" spans="1:35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1"/>
      <c r="V125" s="1"/>
      <c r="W125" s="1"/>
      <c r="X125" s="1"/>
      <c r="AB125" s="9"/>
      <c r="AC125" s="9"/>
      <c r="AD125" s="9"/>
      <c r="AF125" s="10"/>
      <c r="AG125" s="10"/>
      <c r="AH125" s="10"/>
      <c r="AI125" s="10"/>
    </row>
    <row r="126" spans="1:35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1"/>
      <c r="V126" s="1"/>
      <c r="W126" s="1"/>
      <c r="X126" s="1"/>
      <c r="AB126" s="9"/>
      <c r="AC126" s="9"/>
      <c r="AD126" s="9"/>
      <c r="AF126" s="10"/>
      <c r="AG126" s="10"/>
      <c r="AH126" s="10"/>
      <c r="AI126" s="10"/>
    </row>
    <row r="127" spans="1:35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1"/>
      <c r="V127" s="1"/>
      <c r="W127" s="1"/>
      <c r="X127" s="1"/>
      <c r="AB127" s="9"/>
      <c r="AC127" s="9"/>
      <c r="AD127" s="9"/>
      <c r="AF127" s="10"/>
      <c r="AG127" s="10"/>
      <c r="AH127" s="10"/>
      <c r="AI127" s="10"/>
    </row>
    <row r="128" spans="1:35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1"/>
      <c r="V128" s="1"/>
      <c r="W128" s="1"/>
      <c r="X128" s="1"/>
      <c r="AB128" s="9"/>
      <c r="AC128" s="9"/>
      <c r="AD128" s="9"/>
      <c r="AF128" s="10"/>
      <c r="AG128" s="10"/>
      <c r="AH128" s="10"/>
      <c r="AI128" s="10"/>
    </row>
    <row r="129" spans="1:35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1"/>
      <c r="V129" s="1"/>
      <c r="W129" s="1"/>
      <c r="X129" s="1"/>
      <c r="AB129" s="9"/>
      <c r="AC129" s="9"/>
      <c r="AD129" s="9"/>
      <c r="AF129" s="10"/>
      <c r="AG129" s="10"/>
      <c r="AH129" s="10"/>
      <c r="AI129" s="10"/>
    </row>
    <row r="130" spans="1:35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1"/>
      <c r="V130" s="1"/>
      <c r="W130" s="1"/>
      <c r="X130" s="1"/>
      <c r="AB130" s="9"/>
      <c r="AC130" s="9"/>
      <c r="AD130" s="9"/>
      <c r="AF130" s="10"/>
      <c r="AG130" s="10"/>
      <c r="AH130" s="10"/>
      <c r="AI130" s="10"/>
    </row>
    <row r="131" spans="1:35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1"/>
      <c r="V131" s="1"/>
      <c r="W131" s="1"/>
      <c r="X131" s="1"/>
      <c r="AB131" s="9"/>
      <c r="AC131" s="9"/>
      <c r="AD131" s="9"/>
      <c r="AF131" s="10"/>
      <c r="AG131" s="10"/>
      <c r="AH131" s="10"/>
      <c r="AI131" s="10"/>
    </row>
    <row r="132" spans="1:35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1"/>
      <c r="V132" s="1"/>
      <c r="W132" s="1"/>
      <c r="X132" s="1"/>
      <c r="AB132" s="9"/>
      <c r="AC132" s="9"/>
      <c r="AD132" s="9"/>
      <c r="AF132" s="10"/>
      <c r="AG132" s="10"/>
      <c r="AH132" s="10"/>
      <c r="AI132" s="10"/>
    </row>
    <row r="133" spans="1:35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1"/>
      <c r="V133" s="1"/>
      <c r="W133" s="1"/>
      <c r="X133" s="1"/>
      <c r="AB133" s="9"/>
      <c r="AC133" s="9"/>
      <c r="AD133" s="9"/>
      <c r="AF133" s="10"/>
      <c r="AG133" s="10"/>
      <c r="AH133" s="10"/>
      <c r="AI133" s="10"/>
    </row>
    <row r="134" spans="1:35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1"/>
      <c r="V134" s="1"/>
      <c r="W134" s="1"/>
      <c r="X134" s="1"/>
      <c r="AB134" s="9"/>
      <c r="AC134" s="9"/>
      <c r="AD134" s="9"/>
      <c r="AF134" s="10"/>
      <c r="AG134" s="10"/>
      <c r="AH134" s="10"/>
      <c r="AI134" s="10"/>
    </row>
    <row r="135" spans="1:35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1"/>
      <c r="V135" s="1"/>
      <c r="W135" s="1"/>
      <c r="X135" s="1"/>
      <c r="AB135" s="9"/>
      <c r="AC135" s="9"/>
      <c r="AD135" s="9"/>
      <c r="AF135" s="10"/>
      <c r="AG135" s="10"/>
      <c r="AH135" s="10"/>
      <c r="AI135" s="10"/>
    </row>
    <row r="136" spans="1:35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1"/>
      <c r="V136" s="1"/>
      <c r="W136" s="1"/>
      <c r="X136" s="1"/>
      <c r="AB136" s="9"/>
      <c r="AC136" s="9"/>
      <c r="AD136" s="9"/>
      <c r="AF136" s="10"/>
      <c r="AG136" s="10"/>
      <c r="AH136" s="10"/>
      <c r="AI136" s="10"/>
    </row>
    <row r="137" spans="1:35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1"/>
      <c r="V137" s="1"/>
      <c r="W137" s="1"/>
      <c r="X137" s="1"/>
      <c r="AB137" s="9"/>
      <c r="AC137" s="9"/>
      <c r="AD137" s="9"/>
      <c r="AF137" s="10"/>
      <c r="AG137" s="10"/>
      <c r="AH137" s="10"/>
      <c r="AI137" s="10"/>
    </row>
    <row r="138" spans="1:35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1"/>
      <c r="V138" s="1"/>
      <c r="W138" s="1"/>
      <c r="X138" s="1"/>
      <c r="AB138" s="9"/>
      <c r="AC138" s="9"/>
      <c r="AD138" s="9"/>
      <c r="AF138" s="10"/>
      <c r="AG138" s="10"/>
      <c r="AH138" s="10"/>
      <c r="AI138" s="10"/>
    </row>
    <row r="139" spans="1:35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1"/>
      <c r="V139" s="1"/>
      <c r="W139" s="1"/>
      <c r="X139" s="1"/>
      <c r="AB139" s="9"/>
      <c r="AC139" s="9"/>
      <c r="AD139" s="9"/>
      <c r="AF139" s="10"/>
      <c r="AG139" s="10"/>
      <c r="AH139" s="10"/>
      <c r="AI139" s="10"/>
    </row>
    <row r="140" spans="1:35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1"/>
      <c r="V140" s="1"/>
      <c r="W140" s="1"/>
      <c r="X140" s="1"/>
      <c r="AB140" s="9"/>
      <c r="AC140" s="9"/>
      <c r="AD140" s="9"/>
      <c r="AF140" s="10"/>
      <c r="AG140" s="10"/>
      <c r="AH140" s="10"/>
      <c r="AI140" s="10"/>
    </row>
    <row r="141" spans="1:35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1"/>
      <c r="V141" s="1"/>
      <c r="W141" s="1"/>
      <c r="X141" s="1"/>
      <c r="AB141" s="9"/>
      <c r="AC141" s="9"/>
      <c r="AD141" s="9"/>
      <c r="AF141" s="10"/>
      <c r="AG141" s="10"/>
      <c r="AH141" s="10"/>
      <c r="AI141" s="10"/>
    </row>
    <row r="142" spans="1:35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1"/>
      <c r="V142" s="1"/>
      <c r="W142" s="1"/>
      <c r="X142" s="1"/>
      <c r="AB142" s="9"/>
      <c r="AC142" s="9"/>
      <c r="AD142" s="9"/>
      <c r="AF142" s="10"/>
      <c r="AG142" s="10"/>
      <c r="AH142" s="10"/>
      <c r="AI142" s="10"/>
    </row>
    <row r="143" spans="1:35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1"/>
      <c r="V143" s="1"/>
      <c r="W143" s="1"/>
      <c r="X143" s="1"/>
      <c r="AB143" s="9"/>
      <c r="AC143" s="9"/>
      <c r="AD143" s="9"/>
      <c r="AF143" s="10"/>
      <c r="AG143" s="10"/>
      <c r="AH143" s="10"/>
      <c r="AI143" s="10"/>
    </row>
    <row r="144" spans="1:35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1"/>
      <c r="V144" s="1"/>
      <c r="W144" s="1"/>
      <c r="X144" s="1"/>
      <c r="AB144" s="9"/>
      <c r="AC144" s="9"/>
      <c r="AD144" s="9"/>
      <c r="AF144" s="10"/>
      <c r="AG144" s="10"/>
      <c r="AH144" s="10"/>
      <c r="AI144" s="10"/>
    </row>
    <row r="145" spans="1:3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1"/>
      <c r="V145" s="1"/>
      <c r="W145" s="1"/>
      <c r="X145" s="1"/>
      <c r="AB145" s="9"/>
      <c r="AC145" s="9"/>
      <c r="AD145" s="9"/>
      <c r="AF145" s="10"/>
      <c r="AG145" s="10"/>
      <c r="AH145" s="10"/>
      <c r="AI145" s="10"/>
    </row>
    <row r="146" spans="1:35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1"/>
      <c r="V146" s="1"/>
      <c r="W146" s="1"/>
      <c r="X146" s="1"/>
      <c r="AB146" s="9"/>
      <c r="AC146" s="9"/>
      <c r="AD146" s="9"/>
      <c r="AF146" s="10"/>
      <c r="AG146" s="10"/>
      <c r="AH146" s="10"/>
      <c r="AI146" s="10"/>
    </row>
    <row r="147" spans="1:35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1"/>
      <c r="V147" s="1"/>
      <c r="W147" s="1"/>
      <c r="X147" s="1"/>
      <c r="AB147" s="9"/>
      <c r="AC147" s="9"/>
      <c r="AD147" s="9"/>
      <c r="AF147" s="10"/>
      <c r="AG147" s="10"/>
      <c r="AH147" s="10"/>
      <c r="AI147" s="10"/>
    </row>
    <row r="148" spans="1:35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1"/>
      <c r="V148" s="1"/>
      <c r="W148" s="1"/>
      <c r="X148" s="1"/>
      <c r="AB148" s="9"/>
      <c r="AC148" s="9"/>
      <c r="AD148" s="9"/>
      <c r="AF148" s="10"/>
      <c r="AG148" s="10"/>
      <c r="AH148" s="10"/>
      <c r="AI148" s="10"/>
    </row>
    <row r="149" spans="1:35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1"/>
      <c r="V149" s="1"/>
      <c r="W149" s="1"/>
      <c r="X149" s="1"/>
      <c r="AB149" s="9"/>
      <c r="AC149" s="9"/>
      <c r="AD149" s="9"/>
      <c r="AF149" s="10"/>
      <c r="AG149" s="10"/>
      <c r="AH149" s="10"/>
      <c r="AI149" s="10"/>
    </row>
    <row r="150" spans="1:35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1"/>
      <c r="V150" s="1"/>
      <c r="W150" s="1"/>
      <c r="X150" s="1"/>
      <c r="AB150" s="9"/>
      <c r="AC150" s="9"/>
      <c r="AD150" s="9"/>
      <c r="AF150" s="10"/>
      <c r="AG150" s="10"/>
      <c r="AH150" s="10"/>
      <c r="AI150" s="10"/>
    </row>
    <row r="151" spans="1:35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1"/>
      <c r="V151" s="1"/>
      <c r="W151" s="1"/>
      <c r="X151" s="1"/>
      <c r="AB151" s="9"/>
      <c r="AC151" s="9"/>
      <c r="AD151" s="9"/>
      <c r="AF151" s="10"/>
      <c r="AG151" s="10"/>
      <c r="AH151" s="10"/>
      <c r="AI151" s="10"/>
    </row>
    <row r="152" spans="1:35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1"/>
      <c r="V152" s="1"/>
      <c r="W152" s="1"/>
      <c r="X152" s="1"/>
      <c r="AB152" s="9"/>
      <c r="AC152" s="9"/>
      <c r="AD152" s="9"/>
      <c r="AF152" s="10"/>
      <c r="AG152" s="10"/>
      <c r="AH152" s="10"/>
      <c r="AI152" s="10"/>
    </row>
    <row r="153" spans="1:35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1"/>
      <c r="V153" s="1"/>
      <c r="W153" s="1"/>
      <c r="X153" s="1"/>
      <c r="AB153" s="9"/>
      <c r="AC153" s="9"/>
      <c r="AD153" s="9"/>
      <c r="AF153" s="10"/>
      <c r="AG153" s="10"/>
      <c r="AH153" s="10"/>
      <c r="AI153" s="10"/>
    </row>
    <row r="154" spans="1:35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1"/>
      <c r="V154" s="1"/>
      <c r="W154" s="1"/>
      <c r="X154" s="1"/>
      <c r="AB154" s="9"/>
      <c r="AC154" s="9"/>
      <c r="AD154" s="9"/>
      <c r="AF154" s="10"/>
      <c r="AG154" s="10"/>
      <c r="AH154" s="10"/>
      <c r="AI154" s="10"/>
    </row>
    <row r="155" spans="1:3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1"/>
      <c r="V155" s="1"/>
      <c r="W155" s="1"/>
      <c r="X155" s="1"/>
      <c r="AB155" s="9"/>
      <c r="AC155" s="9"/>
      <c r="AD155" s="9"/>
      <c r="AF155" s="10"/>
      <c r="AG155" s="10"/>
      <c r="AH155" s="10"/>
      <c r="AI155" s="10"/>
    </row>
    <row r="156" spans="1:35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1"/>
      <c r="V156" s="1"/>
      <c r="W156" s="1"/>
      <c r="X156" s="1"/>
      <c r="AB156" s="9"/>
      <c r="AC156" s="9"/>
      <c r="AD156" s="9"/>
      <c r="AF156" s="10"/>
      <c r="AG156" s="10"/>
      <c r="AH156" s="10"/>
      <c r="AI156" s="10"/>
    </row>
    <row r="157" spans="1:35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1"/>
      <c r="V157" s="1"/>
      <c r="W157" s="1"/>
      <c r="X157" s="1"/>
      <c r="AB157" s="9"/>
      <c r="AC157" s="9"/>
      <c r="AD157" s="9"/>
      <c r="AF157" s="10"/>
      <c r="AG157" s="10"/>
      <c r="AH157" s="10"/>
      <c r="AI157" s="10"/>
    </row>
    <row r="158" spans="1:35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1"/>
      <c r="V158" s="1"/>
      <c r="W158" s="1"/>
      <c r="X158" s="1"/>
      <c r="AB158" s="9"/>
      <c r="AC158" s="9"/>
      <c r="AD158" s="9"/>
      <c r="AF158" s="10"/>
      <c r="AG158" s="10"/>
      <c r="AH158" s="10"/>
      <c r="AI158" s="10"/>
    </row>
    <row r="159" spans="1:35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1"/>
      <c r="V159" s="1"/>
      <c r="W159" s="1"/>
      <c r="X159" s="1"/>
      <c r="AB159" s="9"/>
      <c r="AC159" s="9"/>
      <c r="AD159" s="9"/>
      <c r="AF159" s="10"/>
      <c r="AG159" s="10"/>
      <c r="AH159" s="10"/>
      <c r="AI159" s="10"/>
    </row>
    <row r="160" spans="1:35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1"/>
      <c r="V160" s="1"/>
      <c r="W160" s="1"/>
      <c r="X160" s="1"/>
      <c r="AB160" s="9"/>
      <c r="AC160" s="9"/>
      <c r="AD160" s="9"/>
      <c r="AF160" s="10"/>
      <c r="AG160" s="10"/>
      <c r="AH160" s="10"/>
      <c r="AI160" s="10"/>
    </row>
    <row r="161" spans="1:35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1"/>
      <c r="V161" s="1"/>
      <c r="W161" s="1"/>
      <c r="X161" s="1"/>
      <c r="AB161" s="9"/>
      <c r="AC161" s="9"/>
      <c r="AD161" s="9"/>
      <c r="AF161" s="10"/>
      <c r="AG161" s="10"/>
      <c r="AH161" s="10"/>
      <c r="AI161" s="10"/>
    </row>
    <row r="162" spans="1:35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1"/>
      <c r="V162" s="1"/>
      <c r="W162" s="1"/>
      <c r="X162" s="1"/>
      <c r="AB162" s="9"/>
      <c r="AC162" s="9"/>
      <c r="AD162" s="9"/>
      <c r="AF162" s="10"/>
      <c r="AG162" s="10"/>
      <c r="AH162" s="10"/>
      <c r="AI162" s="10"/>
    </row>
    <row r="163" spans="1:35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1"/>
      <c r="V163" s="1"/>
      <c r="W163" s="1"/>
      <c r="X163" s="1"/>
      <c r="AB163" s="9"/>
      <c r="AC163" s="9"/>
      <c r="AD163" s="9"/>
      <c r="AF163" s="10"/>
      <c r="AG163" s="10"/>
      <c r="AH163" s="10"/>
      <c r="AI163" s="10"/>
    </row>
    <row r="164" spans="1:35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1"/>
      <c r="V164" s="1"/>
      <c r="W164" s="1"/>
      <c r="X164" s="1"/>
      <c r="AB164" s="9"/>
      <c r="AC164" s="9"/>
      <c r="AD164" s="9"/>
      <c r="AF164" s="10"/>
      <c r="AG164" s="10"/>
      <c r="AH164" s="10"/>
      <c r="AI164" s="10"/>
    </row>
    <row r="165" spans="1:3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1"/>
      <c r="V165" s="1"/>
      <c r="W165" s="1"/>
      <c r="X165" s="1"/>
      <c r="AB165" s="9"/>
      <c r="AC165" s="9"/>
      <c r="AD165" s="9"/>
      <c r="AF165" s="10"/>
      <c r="AG165" s="10"/>
      <c r="AH165" s="10"/>
      <c r="AI165" s="10"/>
    </row>
    <row r="166" spans="1:35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1"/>
      <c r="V166" s="1"/>
      <c r="W166" s="1"/>
      <c r="X166" s="1"/>
      <c r="AB166" s="9"/>
      <c r="AC166" s="9"/>
      <c r="AD166" s="9"/>
      <c r="AF166" s="10"/>
      <c r="AG166" s="10"/>
      <c r="AH166" s="10"/>
      <c r="AI166" s="10"/>
    </row>
    <row r="167" spans="1:35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1"/>
      <c r="V167" s="1"/>
      <c r="W167" s="1"/>
      <c r="X167" s="1"/>
      <c r="AB167" s="9"/>
      <c r="AC167" s="9"/>
      <c r="AD167" s="9"/>
      <c r="AF167" s="10"/>
      <c r="AG167" s="10"/>
      <c r="AH167" s="10"/>
      <c r="AI167" s="10"/>
    </row>
    <row r="168" spans="1:35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1"/>
      <c r="V168" s="1"/>
      <c r="W168" s="1"/>
      <c r="X168" s="1"/>
      <c r="AB168" s="9"/>
      <c r="AC168" s="9"/>
      <c r="AD168" s="9"/>
      <c r="AF168" s="10"/>
      <c r="AG168" s="10"/>
      <c r="AH168" s="10"/>
      <c r="AI168" s="10"/>
    </row>
    <row r="169" spans="1:35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1"/>
      <c r="V169" s="1"/>
      <c r="W169" s="1"/>
      <c r="X169" s="1"/>
      <c r="AB169" s="9"/>
      <c r="AC169" s="9"/>
      <c r="AD169" s="9"/>
      <c r="AF169" s="10"/>
      <c r="AG169" s="10"/>
      <c r="AH169" s="10"/>
      <c r="AI169" s="10"/>
    </row>
    <row r="170" spans="1:35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1"/>
      <c r="V170" s="1"/>
      <c r="W170" s="1"/>
      <c r="X170" s="1"/>
      <c r="AB170" s="9"/>
      <c r="AC170" s="9"/>
      <c r="AD170" s="9"/>
      <c r="AF170" s="10"/>
      <c r="AG170" s="10"/>
      <c r="AH170" s="10"/>
      <c r="AI170" s="10"/>
    </row>
    <row r="171" spans="1:35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1"/>
      <c r="V171" s="1"/>
      <c r="W171" s="1"/>
      <c r="X171" s="1"/>
      <c r="AB171" s="9"/>
      <c r="AC171" s="9"/>
      <c r="AD171" s="9"/>
      <c r="AF171" s="10"/>
      <c r="AG171" s="10"/>
      <c r="AH171" s="10"/>
      <c r="AI171" s="10"/>
    </row>
    <row r="172" spans="1:35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1"/>
      <c r="V172" s="1"/>
      <c r="W172" s="1"/>
      <c r="X172" s="1"/>
      <c r="AB172" s="9"/>
      <c r="AC172" s="9"/>
      <c r="AD172" s="9"/>
      <c r="AF172" s="10"/>
      <c r="AG172" s="10"/>
      <c r="AH172" s="10"/>
      <c r="AI172" s="10"/>
    </row>
    <row r="173" spans="1:35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1"/>
      <c r="V173" s="1"/>
      <c r="W173" s="1"/>
      <c r="X173" s="1"/>
      <c r="AB173" s="9"/>
      <c r="AC173" s="9"/>
      <c r="AD173" s="9"/>
      <c r="AF173" s="10"/>
      <c r="AG173" s="10"/>
      <c r="AH173" s="10"/>
      <c r="AI173" s="10"/>
    </row>
    <row r="174" spans="1:35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1"/>
      <c r="V174" s="1"/>
      <c r="W174" s="1"/>
      <c r="X174" s="1"/>
      <c r="AB174" s="9"/>
      <c r="AC174" s="9"/>
      <c r="AD174" s="9"/>
      <c r="AF174" s="10"/>
      <c r="AG174" s="10"/>
      <c r="AH174" s="10"/>
      <c r="AI174" s="10"/>
    </row>
    <row r="175" spans="1:3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1"/>
      <c r="V175" s="1"/>
      <c r="W175" s="1"/>
      <c r="X175" s="1"/>
      <c r="AB175" s="9"/>
      <c r="AC175" s="9"/>
      <c r="AD175" s="9"/>
      <c r="AF175" s="10"/>
      <c r="AG175" s="10"/>
      <c r="AH175" s="10"/>
      <c r="AI175" s="10"/>
    </row>
    <row r="176" spans="1:35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1"/>
      <c r="V176" s="1"/>
      <c r="W176" s="1"/>
      <c r="X176" s="1"/>
      <c r="AB176" s="9"/>
      <c r="AC176" s="9"/>
      <c r="AD176" s="9"/>
      <c r="AF176" s="10"/>
      <c r="AG176" s="10"/>
      <c r="AH176" s="10"/>
      <c r="AI176" s="10"/>
    </row>
    <row r="177" spans="1:35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1"/>
      <c r="V177" s="1"/>
      <c r="W177" s="1"/>
      <c r="X177" s="1"/>
      <c r="AB177" s="9"/>
      <c r="AC177" s="9"/>
      <c r="AD177" s="9"/>
      <c r="AF177" s="10"/>
      <c r="AG177" s="10"/>
      <c r="AH177" s="10"/>
      <c r="AI177" s="10"/>
    </row>
    <row r="178" spans="1:35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1"/>
      <c r="V178" s="1"/>
      <c r="W178" s="1"/>
      <c r="X178" s="1"/>
      <c r="AB178" s="9"/>
      <c r="AC178" s="9"/>
      <c r="AD178" s="9"/>
      <c r="AF178" s="10"/>
      <c r="AG178" s="10"/>
      <c r="AH178" s="10"/>
      <c r="AI178" s="10"/>
    </row>
    <row r="179" spans="1:35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1"/>
      <c r="V179" s="1"/>
      <c r="W179" s="1"/>
      <c r="X179" s="1"/>
      <c r="AB179" s="9"/>
      <c r="AC179" s="9"/>
      <c r="AD179" s="9"/>
      <c r="AF179" s="10"/>
      <c r="AG179" s="10"/>
      <c r="AH179" s="10"/>
      <c r="AI179" s="10"/>
    </row>
    <row r="180" spans="1:35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1"/>
      <c r="V180" s="1"/>
      <c r="W180" s="1"/>
      <c r="X180" s="1"/>
      <c r="AB180" s="9"/>
      <c r="AC180" s="9"/>
      <c r="AD180" s="9"/>
      <c r="AF180" s="10"/>
      <c r="AG180" s="10"/>
      <c r="AH180" s="10"/>
      <c r="AI180" s="10"/>
    </row>
    <row r="181" spans="1:35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1"/>
      <c r="V181" s="1"/>
      <c r="W181" s="1"/>
      <c r="X181" s="1"/>
      <c r="AB181" s="9"/>
      <c r="AC181" s="9"/>
      <c r="AD181" s="9"/>
      <c r="AF181" s="10"/>
      <c r="AG181" s="10"/>
      <c r="AH181" s="10"/>
      <c r="AI181" s="10"/>
    </row>
    <row r="182" spans="1:35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1"/>
      <c r="V182" s="1"/>
      <c r="W182" s="1"/>
      <c r="X182" s="1"/>
      <c r="AB182" s="9"/>
      <c r="AC182" s="9"/>
      <c r="AD182" s="9"/>
      <c r="AF182" s="10"/>
      <c r="AG182" s="10"/>
      <c r="AH182" s="10"/>
      <c r="AI182" s="10"/>
    </row>
    <row r="183" spans="1:35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1"/>
      <c r="V183" s="1"/>
      <c r="W183" s="1"/>
      <c r="X183" s="1"/>
      <c r="AB183" s="9"/>
      <c r="AC183" s="9"/>
      <c r="AD183" s="9"/>
      <c r="AF183" s="10"/>
      <c r="AG183" s="10"/>
      <c r="AH183" s="10"/>
      <c r="AI183" s="10"/>
    </row>
    <row r="184" spans="1:35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1"/>
      <c r="V184" s="1"/>
      <c r="W184" s="1"/>
      <c r="X184" s="1"/>
      <c r="AB184" s="9"/>
      <c r="AC184" s="9"/>
      <c r="AD184" s="9"/>
      <c r="AF184" s="10"/>
      <c r="AG184" s="10"/>
      <c r="AH184" s="10"/>
      <c r="AI184" s="10"/>
    </row>
    <row r="185" spans="1:3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1"/>
      <c r="V185" s="1"/>
      <c r="W185" s="1"/>
      <c r="X185" s="1"/>
      <c r="AB185" s="9"/>
      <c r="AC185" s="9"/>
      <c r="AD185" s="9"/>
      <c r="AF185" s="10"/>
      <c r="AG185" s="10"/>
      <c r="AH185" s="10"/>
      <c r="AI185" s="10"/>
    </row>
    <row r="186" spans="1:35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1"/>
      <c r="V186" s="1"/>
      <c r="W186" s="1"/>
      <c r="X186" s="1"/>
      <c r="AB186" s="9"/>
      <c r="AC186" s="9"/>
      <c r="AD186" s="9"/>
      <c r="AF186" s="10"/>
      <c r="AG186" s="10"/>
      <c r="AH186" s="10"/>
      <c r="AI186" s="10"/>
    </row>
    <row r="187" spans="1:35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1"/>
      <c r="V187" s="1"/>
      <c r="W187" s="1"/>
      <c r="X187" s="1"/>
      <c r="AB187" s="9"/>
      <c r="AC187" s="9"/>
      <c r="AD187" s="9"/>
      <c r="AF187" s="10"/>
      <c r="AG187" s="10"/>
      <c r="AH187" s="10"/>
      <c r="AI187" s="10"/>
    </row>
    <row r="188" spans="1:35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1"/>
      <c r="V188" s="1"/>
      <c r="W188" s="1"/>
      <c r="X188" s="1"/>
      <c r="AB188" s="9"/>
      <c r="AC188" s="9"/>
      <c r="AD188" s="9"/>
      <c r="AF188" s="10"/>
      <c r="AG188" s="10"/>
      <c r="AH188" s="10"/>
      <c r="AI188" s="10"/>
    </row>
    <row r="189" spans="1:35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1"/>
      <c r="V189" s="1"/>
      <c r="W189" s="1"/>
      <c r="X189" s="1"/>
      <c r="AB189" s="9"/>
      <c r="AC189" s="9"/>
      <c r="AD189" s="9"/>
      <c r="AF189" s="10"/>
      <c r="AG189" s="10"/>
      <c r="AH189" s="10"/>
      <c r="AI189" s="10"/>
    </row>
    <row r="190" spans="1:35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1"/>
      <c r="V190" s="1"/>
      <c r="W190" s="1"/>
      <c r="X190" s="1"/>
      <c r="AB190" s="9"/>
      <c r="AC190" s="9"/>
      <c r="AD190" s="9"/>
      <c r="AF190" s="10"/>
      <c r="AG190" s="10"/>
      <c r="AH190" s="10"/>
      <c r="AI190" s="10"/>
    </row>
    <row r="191" spans="1:35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1"/>
      <c r="V191" s="1"/>
      <c r="W191" s="1"/>
      <c r="X191" s="1"/>
      <c r="AB191" s="9"/>
      <c r="AC191" s="9"/>
      <c r="AD191" s="9"/>
      <c r="AF191" s="10"/>
      <c r="AG191" s="10"/>
      <c r="AH191" s="10"/>
      <c r="AI191" s="10"/>
    </row>
    <row r="192" spans="1:35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1"/>
      <c r="V192" s="1"/>
      <c r="W192" s="1"/>
      <c r="X192" s="1"/>
      <c r="AB192" s="9"/>
      <c r="AC192" s="9"/>
      <c r="AD192" s="9"/>
      <c r="AF192" s="10"/>
      <c r="AG192" s="10"/>
      <c r="AH192" s="10"/>
      <c r="AI192" s="10"/>
    </row>
    <row r="193" spans="1:35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1"/>
      <c r="V193" s="1"/>
      <c r="W193" s="1"/>
      <c r="X193" s="1"/>
      <c r="AB193" s="9"/>
      <c r="AC193" s="9"/>
      <c r="AD193" s="9"/>
      <c r="AF193" s="10"/>
      <c r="AG193" s="10"/>
      <c r="AH193" s="10"/>
      <c r="AI193" s="10"/>
    </row>
    <row r="194" spans="1:35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1"/>
      <c r="V194" s="1"/>
      <c r="W194" s="1"/>
      <c r="X194" s="1"/>
      <c r="AB194" s="9"/>
      <c r="AC194" s="9"/>
      <c r="AD194" s="9"/>
      <c r="AF194" s="10"/>
      <c r="AG194" s="10"/>
      <c r="AH194" s="10"/>
      <c r="AI194" s="10"/>
    </row>
    <row r="195" spans="1:3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1"/>
      <c r="V195" s="1"/>
      <c r="W195" s="1"/>
      <c r="X195" s="1"/>
      <c r="AB195" s="9"/>
      <c r="AC195" s="9"/>
      <c r="AD195" s="9"/>
      <c r="AF195" s="10"/>
      <c r="AG195" s="10"/>
      <c r="AH195" s="10"/>
      <c r="AI195" s="10"/>
    </row>
    <row r="196" spans="1:35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1"/>
      <c r="V196" s="1"/>
      <c r="W196" s="1"/>
      <c r="X196" s="1"/>
      <c r="AB196" s="9"/>
      <c r="AC196" s="9"/>
      <c r="AD196" s="9"/>
      <c r="AF196" s="10"/>
      <c r="AG196" s="10"/>
      <c r="AH196" s="10"/>
      <c r="AI196" s="10"/>
    </row>
    <row r="197" spans="1:35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1"/>
      <c r="V197" s="1"/>
      <c r="W197" s="1"/>
      <c r="X197" s="1"/>
      <c r="AB197" s="9"/>
      <c r="AC197" s="9"/>
      <c r="AD197" s="9"/>
      <c r="AF197" s="10"/>
      <c r="AG197" s="10"/>
      <c r="AH197" s="10"/>
      <c r="AI197" s="10"/>
    </row>
    <row r="198" spans="1:35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1"/>
      <c r="V198" s="1"/>
      <c r="W198" s="1"/>
      <c r="X198" s="1"/>
      <c r="AB198" s="9"/>
      <c r="AC198" s="9"/>
      <c r="AD198" s="9"/>
      <c r="AF198" s="10"/>
      <c r="AG198" s="10"/>
      <c r="AH198" s="10"/>
      <c r="AI198" s="10"/>
    </row>
    <row r="199" spans="1:35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1"/>
      <c r="V199" s="1"/>
      <c r="W199" s="1"/>
      <c r="X199" s="1"/>
      <c r="AB199" s="9"/>
      <c r="AC199" s="9"/>
      <c r="AD199" s="9"/>
      <c r="AF199" s="10"/>
      <c r="AG199" s="10"/>
      <c r="AH199" s="10"/>
      <c r="AI199" s="10"/>
    </row>
    <row r="200" spans="1:35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1"/>
      <c r="V200" s="1"/>
      <c r="W200" s="1"/>
      <c r="X200" s="1"/>
      <c r="AB200" s="9"/>
      <c r="AC200" s="9"/>
      <c r="AD200" s="9"/>
      <c r="AF200" s="10"/>
      <c r="AG200" s="10"/>
      <c r="AH200" s="10"/>
      <c r="AI200" s="10"/>
    </row>
    <row r="201" spans="1:35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1"/>
      <c r="V201" s="1"/>
      <c r="W201" s="1"/>
      <c r="X201" s="1"/>
      <c r="AB201" s="9"/>
      <c r="AC201" s="9"/>
      <c r="AD201" s="9"/>
      <c r="AF201" s="10"/>
      <c r="AG201" s="10"/>
      <c r="AH201" s="10"/>
      <c r="AI201" s="10"/>
    </row>
    <row r="202" spans="1:35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1"/>
      <c r="V202" s="1"/>
      <c r="W202" s="1"/>
      <c r="X202" s="1"/>
      <c r="AB202" s="9"/>
      <c r="AC202" s="9"/>
      <c r="AD202" s="9"/>
      <c r="AF202" s="10"/>
      <c r="AG202" s="10"/>
      <c r="AH202" s="10"/>
      <c r="AI202" s="10"/>
    </row>
    <row r="203" spans="1:35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1"/>
      <c r="V203" s="1"/>
      <c r="W203" s="1"/>
      <c r="X203" s="1"/>
      <c r="AB203" s="9"/>
      <c r="AC203" s="9"/>
      <c r="AD203" s="9"/>
      <c r="AF203" s="10"/>
      <c r="AG203" s="10"/>
      <c r="AH203" s="10"/>
      <c r="AI203" s="10"/>
    </row>
    <row r="204" spans="1:35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1"/>
      <c r="V204" s="1"/>
      <c r="W204" s="1"/>
      <c r="X204" s="1"/>
      <c r="AB204" s="9"/>
      <c r="AC204" s="9"/>
      <c r="AD204" s="9"/>
      <c r="AF204" s="10"/>
      <c r="AG204" s="10"/>
      <c r="AH204" s="10"/>
      <c r="AI204" s="10"/>
    </row>
    <row r="205" spans="1:3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1"/>
      <c r="V205" s="1"/>
      <c r="W205" s="1"/>
      <c r="X205" s="1"/>
      <c r="AB205" s="9"/>
      <c r="AC205" s="9"/>
      <c r="AD205" s="9"/>
      <c r="AF205" s="10"/>
      <c r="AG205" s="10"/>
      <c r="AH205" s="10"/>
      <c r="AI205" s="10"/>
    </row>
    <row r="206" spans="1:35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1"/>
      <c r="V206" s="1"/>
      <c r="W206" s="1"/>
      <c r="X206" s="1"/>
      <c r="AB206" s="9"/>
      <c r="AC206" s="9"/>
      <c r="AD206" s="9"/>
      <c r="AF206" s="10"/>
      <c r="AG206" s="10"/>
      <c r="AH206" s="10"/>
      <c r="AI206" s="10"/>
    </row>
    <row r="207" spans="1:35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1"/>
      <c r="V207" s="1"/>
      <c r="W207" s="1"/>
      <c r="X207" s="1"/>
      <c r="AB207" s="9"/>
      <c r="AC207" s="9"/>
      <c r="AD207" s="9"/>
      <c r="AF207" s="10"/>
      <c r="AG207" s="10"/>
      <c r="AH207" s="10"/>
      <c r="AI207" s="10"/>
    </row>
    <row r="208" spans="1:35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1"/>
      <c r="V208" s="1"/>
      <c r="W208" s="1"/>
      <c r="X208" s="1"/>
      <c r="AB208" s="9"/>
      <c r="AC208" s="9"/>
      <c r="AD208" s="9"/>
      <c r="AF208" s="10"/>
      <c r="AG208" s="10"/>
      <c r="AH208" s="10"/>
      <c r="AI208" s="10"/>
    </row>
    <row r="209" spans="1:35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1"/>
      <c r="V209" s="1"/>
      <c r="W209" s="1"/>
      <c r="X209" s="1"/>
      <c r="AB209" s="9"/>
      <c r="AC209" s="9"/>
      <c r="AD209" s="9"/>
      <c r="AF209" s="10"/>
      <c r="AG209" s="10"/>
      <c r="AH209" s="10"/>
      <c r="AI209" s="10"/>
    </row>
    <row r="210" spans="1:35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1"/>
      <c r="V210" s="1"/>
      <c r="W210" s="1"/>
      <c r="X210" s="1"/>
      <c r="AB210" s="9"/>
      <c r="AC210" s="9"/>
      <c r="AD210" s="9"/>
      <c r="AF210" s="10"/>
      <c r="AG210" s="10"/>
      <c r="AH210" s="10"/>
      <c r="AI210" s="10"/>
    </row>
    <row r="211" spans="1:35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1"/>
      <c r="V211" s="1"/>
      <c r="W211" s="1"/>
      <c r="X211" s="1"/>
      <c r="AB211" s="9"/>
      <c r="AC211" s="9"/>
      <c r="AD211" s="9"/>
      <c r="AF211" s="10"/>
      <c r="AG211" s="10"/>
      <c r="AH211" s="10"/>
      <c r="AI211" s="10"/>
    </row>
    <row r="212" spans="1:35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1"/>
      <c r="V212" s="1"/>
      <c r="W212" s="1"/>
      <c r="X212" s="1"/>
      <c r="AB212" s="9"/>
      <c r="AC212" s="9"/>
      <c r="AD212" s="9"/>
      <c r="AF212" s="10"/>
      <c r="AG212" s="10"/>
      <c r="AH212" s="10"/>
      <c r="AI212" s="10"/>
    </row>
    <row r="213" spans="1:35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1"/>
      <c r="V213" s="1"/>
      <c r="W213" s="1"/>
      <c r="X213" s="1"/>
      <c r="AB213" s="9"/>
      <c r="AC213" s="9"/>
      <c r="AD213" s="9"/>
      <c r="AF213" s="10"/>
      <c r="AG213" s="10"/>
      <c r="AH213" s="10"/>
      <c r="AI213" s="10"/>
    </row>
    <row r="214" spans="1:35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1"/>
      <c r="V214" s="1"/>
      <c r="W214" s="1"/>
      <c r="X214" s="1"/>
      <c r="AB214" s="9"/>
      <c r="AC214" s="9"/>
      <c r="AD214" s="9"/>
      <c r="AF214" s="10"/>
      <c r="AG214" s="10"/>
      <c r="AH214" s="10"/>
      <c r="AI214" s="10"/>
    </row>
    <row r="215" spans="1:35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1"/>
      <c r="V215" s="1"/>
      <c r="W215" s="1"/>
      <c r="X215" s="1"/>
      <c r="AB215" s="9"/>
      <c r="AC215" s="9"/>
      <c r="AD215" s="9"/>
      <c r="AF215" s="10"/>
      <c r="AG215" s="10"/>
      <c r="AH215" s="10"/>
      <c r="AI215" s="10"/>
    </row>
    <row r="216" spans="1:35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1"/>
      <c r="V216" s="1"/>
      <c r="W216" s="1"/>
      <c r="X216" s="1"/>
      <c r="AB216" s="9"/>
      <c r="AC216" s="9"/>
      <c r="AD216" s="9"/>
      <c r="AF216" s="10"/>
      <c r="AG216" s="10"/>
      <c r="AH216" s="10"/>
      <c r="AI216" s="10"/>
    </row>
    <row r="217" spans="1:35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1"/>
      <c r="V217" s="1"/>
      <c r="W217" s="1"/>
      <c r="X217" s="1"/>
      <c r="AB217" s="9"/>
      <c r="AC217" s="9"/>
      <c r="AD217" s="9"/>
      <c r="AF217" s="10"/>
      <c r="AG217" s="10"/>
      <c r="AH217" s="10"/>
      <c r="AI217" s="10"/>
    </row>
    <row r="218" spans="1:35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1"/>
      <c r="V218" s="1"/>
      <c r="W218" s="1"/>
      <c r="X218" s="1"/>
      <c r="AB218" s="9"/>
      <c r="AC218" s="9"/>
      <c r="AD218" s="9"/>
      <c r="AF218" s="10"/>
      <c r="AG218" s="10"/>
      <c r="AH218" s="10"/>
      <c r="AI218" s="10"/>
    </row>
    <row r="219" spans="1:35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1"/>
      <c r="V219" s="1"/>
      <c r="W219" s="1"/>
      <c r="X219" s="1"/>
      <c r="AB219" s="9"/>
      <c r="AC219" s="9"/>
      <c r="AD219" s="9"/>
      <c r="AF219" s="10"/>
      <c r="AG219" s="10"/>
      <c r="AH219" s="10"/>
      <c r="AI219" s="10"/>
    </row>
    <row r="220" spans="1:35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1"/>
      <c r="V220" s="1"/>
      <c r="W220" s="1"/>
      <c r="X220" s="1"/>
      <c r="AB220" s="9"/>
      <c r="AC220" s="9"/>
      <c r="AD220" s="9"/>
      <c r="AF220" s="10"/>
      <c r="AG220" s="10"/>
      <c r="AH220" s="10"/>
      <c r="AI220" s="10"/>
    </row>
    <row r="221" spans="1:35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1"/>
      <c r="V221" s="1"/>
      <c r="W221" s="1"/>
      <c r="X221" s="1"/>
      <c r="AB221" s="9"/>
      <c r="AC221" s="9"/>
      <c r="AD221" s="9"/>
      <c r="AF221" s="10"/>
      <c r="AG221" s="10"/>
      <c r="AH221" s="10"/>
      <c r="AI221" s="10"/>
    </row>
    <row r="222" spans="1:35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1"/>
      <c r="V222" s="1"/>
      <c r="W222" s="1"/>
      <c r="X222" s="1"/>
      <c r="AB222" s="9"/>
      <c r="AC222" s="9"/>
      <c r="AD222" s="9"/>
      <c r="AF222" s="10"/>
      <c r="AG222" s="10"/>
      <c r="AH222" s="10"/>
      <c r="AI222" s="10"/>
    </row>
    <row r="223" spans="1:35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1"/>
      <c r="V223" s="1"/>
      <c r="W223" s="1"/>
      <c r="X223" s="1"/>
      <c r="AB223" s="9"/>
      <c r="AC223" s="9"/>
      <c r="AD223" s="9"/>
      <c r="AF223" s="10"/>
      <c r="AG223" s="10"/>
      <c r="AH223" s="10"/>
      <c r="AI223" s="10"/>
    </row>
    <row r="224" spans="1:35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1"/>
      <c r="V224" s="1"/>
      <c r="W224" s="1"/>
      <c r="X224" s="1"/>
      <c r="AB224" s="9"/>
      <c r="AC224" s="9"/>
      <c r="AD224" s="9"/>
      <c r="AF224" s="10"/>
      <c r="AG224" s="10"/>
      <c r="AH224" s="10"/>
      <c r="AI224" s="10"/>
    </row>
    <row r="225" spans="1:35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1"/>
      <c r="V225" s="1"/>
      <c r="W225" s="1"/>
      <c r="X225" s="1"/>
      <c r="AB225" s="9"/>
      <c r="AC225" s="9"/>
      <c r="AD225" s="9"/>
      <c r="AF225" s="10"/>
      <c r="AG225" s="10"/>
      <c r="AH225" s="10"/>
      <c r="AI225" s="10"/>
    </row>
    <row r="226" spans="1:35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1"/>
      <c r="V226" s="1"/>
      <c r="W226" s="1"/>
      <c r="X226" s="1"/>
      <c r="AB226" s="9"/>
      <c r="AC226" s="9"/>
      <c r="AD226" s="9"/>
      <c r="AF226" s="10"/>
      <c r="AG226" s="10"/>
      <c r="AH226" s="10"/>
      <c r="AI226" s="10"/>
    </row>
    <row r="227" spans="1:35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1"/>
      <c r="V227" s="1"/>
      <c r="W227" s="1"/>
      <c r="X227" s="1"/>
      <c r="AB227" s="9"/>
      <c r="AC227" s="9"/>
      <c r="AD227" s="9"/>
      <c r="AF227" s="10"/>
      <c r="AG227" s="10"/>
      <c r="AH227" s="10"/>
      <c r="AI227" s="10"/>
    </row>
    <row r="228" spans="1:35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1"/>
      <c r="V228" s="1"/>
      <c r="W228" s="1"/>
      <c r="X228" s="1"/>
      <c r="AB228" s="9"/>
      <c r="AC228" s="9"/>
      <c r="AD228" s="9"/>
      <c r="AF228" s="10"/>
      <c r="AG228" s="10"/>
      <c r="AH228" s="10"/>
      <c r="AI228" s="10"/>
    </row>
    <row r="229" spans="1:35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1"/>
      <c r="V229" s="1"/>
      <c r="W229" s="1"/>
      <c r="X229" s="1"/>
      <c r="AB229" s="9"/>
      <c r="AC229" s="9"/>
      <c r="AD229" s="9"/>
      <c r="AF229" s="10"/>
      <c r="AG229" s="10"/>
      <c r="AH229" s="10"/>
      <c r="AI229" s="10"/>
    </row>
    <row r="230" spans="1:35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1"/>
      <c r="V230" s="1"/>
      <c r="W230" s="1"/>
      <c r="X230" s="1"/>
      <c r="AB230" s="9"/>
      <c r="AC230" s="9"/>
      <c r="AD230" s="9"/>
      <c r="AF230" s="10"/>
      <c r="AG230" s="10"/>
      <c r="AH230" s="10"/>
      <c r="AI230" s="10"/>
    </row>
    <row r="231" spans="1:35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1"/>
      <c r="V231" s="1"/>
      <c r="W231" s="1"/>
      <c r="X231" s="1"/>
      <c r="AB231" s="9"/>
      <c r="AC231" s="9"/>
      <c r="AD231" s="9"/>
      <c r="AF231" s="10"/>
      <c r="AG231" s="10"/>
      <c r="AH231" s="10"/>
      <c r="AI231" s="10"/>
    </row>
    <row r="232" spans="1:35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1"/>
      <c r="V232" s="1"/>
      <c r="W232" s="1"/>
      <c r="X232" s="1"/>
      <c r="AB232" s="9"/>
      <c r="AC232" s="9"/>
      <c r="AD232" s="9"/>
      <c r="AF232" s="10"/>
      <c r="AG232" s="10"/>
      <c r="AH232" s="10"/>
      <c r="AI232" s="10"/>
    </row>
    <row r="233" spans="1:35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1"/>
      <c r="V233" s="1"/>
      <c r="W233" s="1"/>
      <c r="X233" s="1"/>
      <c r="AB233" s="9"/>
      <c r="AC233" s="9"/>
      <c r="AD233" s="9"/>
      <c r="AF233" s="10"/>
      <c r="AG233" s="10"/>
      <c r="AH233" s="10"/>
      <c r="AI233" s="10"/>
    </row>
    <row r="234" spans="1:35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1"/>
      <c r="V234" s="1"/>
      <c r="W234" s="1"/>
      <c r="X234" s="1"/>
      <c r="AB234" s="9"/>
      <c r="AC234" s="9"/>
      <c r="AD234" s="9"/>
      <c r="AF234" s="10"/>
      <c r="AG234" s="10"/>
      <c r="AH234" s="10"/>
      <c r="AI234" s="10"/>
    </row>
    <row r="235" spans="1:35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1"/>
      <c r="V235" s="1"/>
      <c r="W235" s="1"/>
      <c r="X235" s="1"/>
      <c r="AB235" s="9"/>
      <c r="AC235" s="9"/>
      <c r="AD235" s="9"/>
      <c r="AF235" s="10"/>
      <c r="AG235" s="10"/>
      <c r="AH235" s="10"/>
      <c r="AI235" s="10"/>
    </row>
    <row r="236" spans="1:35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1"/>
      <c r="V236" s="1"/>
      <c r="W236" s="1"/>
      <c r="X236" s="1"/>
      <c r="AB236" s="9"/>
      <c r="AC236" s="9"/>
      <c r="AD236" s="9"/>
      <c r="AF236" s="10"/>
      <c r="AG236" s="10"/>
      <c r="AH236" s="10"/>
      <c r="AI236" s="10"/>
    </row>
    <row r="237" spans="1:35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1"/>
      <c r="V237" s="1"/>
      <c r="W237" s="1"/>
      <c r="X237" s="1"/>
      <c r="AB237" s="9"/>
      <c r="AC237" s="9"/>
      <c r="AD237" s="9"/>
      <c r="AF237" s="10"/>
      <c r="AG237" s="10"/>
      <c r="AH237" s="10"/>
      <c r="AI237" s="10"/>
    </row>
    <row r="238" spans="1:35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1"/>
      <c r="V238" s="1"/>
      <c r="W238" s="1"/>
      <c r="X238" s="1"/>
      <c r="AB238" s="9"/>
      <c r="AC238" s="9"/>
      <c r="AD238" s="9"/>
      <c r="AF238" s="10"/>
      <c r="AG238" s="10"/>
      <c r="AH238" s="10"/>
      <c r="AI238" s="10"/>
    </row>
    <row r="239" spans="1:35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1"/>
      <c r="V239" s="1"/>
      <c r="W239" s="1"/>
      <c r="X239" s="1"/>
      <c r="AB239" s="9"/>
      <c r="AC239" s="9"/>
      <c r="AD239" s="9"/>
      <c r="AF239" s="10"/>
      <c r="AG239" s="10"/>
      <c r="AH239" s="10"/>
      <c r="AI239" s="10"/>
    </row>
    <row r="240" spans="1:35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1"/>
      <c r="V240" s="1"/>
      <c r="W240" s="1"/>
      <c r="X240" s="1"/>
      <c r="AB240" s="9"/>
      <c r="AC240" s="9"/>
      <c r="AD240" s="9"/>
      <c r="AF240" s="10"/>
      <c r="AG240" s="10"/>
      <c r="AH240" s="10"/>
      <c r="AI240" s="10"/>
    </row>
    <row r="241" spans="1:35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1"/>
      <c r="V241" s="1"/>
      <c r="W241" s="1"/>
      <c r="X241" s="1"/>
      <c r="AB241" s="9"/>
      <c r="AC241" s="9"/>
      <c r="AD241" s="9"/>
      <c r="AF241" s="10"/>
      <c r="AG241" s="10"/>
      <c r="AH241" s="10"/>
      <c r="AI241" s="10"/>
    </row>
    <row r="242" spans="1:35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1"/>
      <c r="V242" s="1"/>
      <c r="W242" s="1"/>
      <c r="X242" s="1"/>
      <c r="AB242" s="9"/>
      <c r="AC242" s="9"/>
      <c r="AD242" s="9"/>
      <c r="AF242" s="10"/>
      <c r="AG242" s="10"/>
      <c r="AH242" s="10"/>
      <c r="AI242" s="10"/>
    </row>
    <row r="243" spans="1:35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1"/>
      <c r="V243" s="1"/>
      <c r="W243" s="1"/>
      <c r="X243" s="1"/>
      <c r="AB243" s="9"/>
      <c r="AC243" s="9"/>
      <c r="AD243" s="9"/>
      <c r="AF243" s="10"/>
      <c r="AG243" s="10"/>
      <c r="AH243" s="10"/>
      <c r="AI243" s="10"/>
    </row>
    <row r="244" spans="1:35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1"/>
      <c r="V244" s="1"/>
      <c r="W244" s="1"/>
      <c r="X244" s="1"/>
      <c r="AB244" s="9"/>
      <c r="AC244" s="9"/>
      <c r="AD244" s="9"/>
      <c r="AF244" s="10"/>
      <c r="AG244" s="10"/>
      <c r="AH244" s="10"/>
      <c r="AI244" s="10"/>
    </row>
    <row r="245" spans="1:35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1"/>
      <c r="V245" s="1"/>
      <c r="W245" s="1"/>
      <c r="X245" s="1"/>
      <c r="AB245" s="9"/>
      <c r="AC245" s="9"/>
      <c r="AD245" s="9"/>
      <c r="AF245" s="10"/>
      <c r="AG245" s="10"/>
      <c r="AH245" s="10"/>
      <c r="AI245" s="10"/>
    </row>
    <row r="246" spans="1:35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1"/>
      <c r="V246" s="1"/>
      <c r="W246" s="1"/>
      <c r="X246" s="1"/>
      <c r="AB246" s="9"/>
      <c r="AC246" s="9"/>
      <c r="AD246" s="9"/>
      <c r="AF246" s="10"/>
      <c r="AG246" s="10"/>
      <c r="AH246" s="10"/>
      <c r="AI246" s="10"/>
    </row>
    <row r="247" spans="1:35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1"/>
      <c r="V247" s="1"/>
      <c r="W247" s="1"/>
      <c r="X247" s="1"/>
      <c r="AB247" s="9"/>
      <c r="AC247" s="9"/>
      <c r="AD247" s="9"/>
      <c r="AF247" s="10"/>
      <c r="AG247" s="10"/>
      <c r="AH247" s="10"/>
      <c r="AI247" s="10"/>
    </row>
    <row r="248" spans="1:35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1"/>
      <c r="V248" s="1"/>
      <c r="W248" s="1"/>
      <c r="X248" s="1"/>
      <c r="AB248" s="9"/>
      <c r="AC248" s="9"/>
      <c r="AD248" s="9"/>
      <c r="AF248" s="10"/>
      <c r="AG248" s="10"/>
      <c r="AH248" s="10"/>
      <c r="AI248" s="10"/>
    </row>
    <row r="249" spans="1:35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1"/>
      <c r="V249" s="1"/>
      <c r="W249" s="1"/>
      <c r="X249" s="1"/>
      <c r="AB249" s="9"/>
      <c r="AC249" s="9"/>
      <c r="AD249" s="9"/>
      <c r="AF249" s="10"/>
      <c r="AG249" s="10"/>
      <c r="AH249" s="10"/>
      <c r="AI249" s="10"/>
    </row>
    <row r="250" spans="1:35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1"/>
      <c r="V250" s="1"/>
      <c r="W250" s="1"/>
      <c r="X250" s="1"/>
      <c r="AB250" s="9"/>
      <c r="AC250" s="9"/>
      <c r="AD250" s="9"/>
      <c r="AF250" s="10"/>
      <c r="AG250" s="10"/>
      <c r="AH250" s="10"/>
      <c r="AI250" s="10"/>
    </row>
    <row r="251" spans="1:35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1"/>
      <c r="V251" s="1"/>
      <c r="W251" s="1"/>
      <c r="X251" s="1"/>
      <c r="AB251" s="9"/>
      <c r="AC251" s="9"/>
      <c r="AD251" s="9"/>
      <c r="AF251" s="10"/>
      <c r="AG251" s="10"/>
      <c r="AH251" s="10"/>
      <c r="AI251" s="10"/>
    </row>
    <row r="252" spans="1:35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1"/>
      <c r="V252" s="1"/>
      <c r="W252" s="1"/>
      <c r="X252" s="1"/>
      <c r="AB252" s="9"/>
      <c r="AC252" s="9"/>
      <c r="AD252" s="9"/>
      <c r="AF252" s="10"/>
      <c r="AG252" s="10"/>
      <c r="AH252" s="10"/>
      <c r="AI252" s="10"/>
    </row>
    <row r="253" spans="1:35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1"/>
      <c r="V253" s="1"/>
      <c r="W253" s="1"/>
      <c r="X253" s="1"/>
      <c r="AB253" s="9"/>
      <c r="AC253" s="9"/>
      <c r="AD253" s="9"/>
      <c r="AF253" s="10"/>
      <c r="AG253" s="10"/>
      <c r="AH253" s="10"/>
      <c r="AI253" s="10"/>
    </row>
    <row r="254" spans="1:35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1"/>
      <c r="V254" s="1"/>
      <c r="W254" s="1"/>
      <c r="X254" s="1"/>
      <c r="AB254" s="9"/>
      <c r="AC254" s="9"/>
      <c r="AD254" s="9"/>
      <c r="AF254" s="10"/>
      <c r="AG254" s="10"/>
      <c r="AH254" s="10"/>
      <c r="AI254" s="10"/>
    </row>
    <row r="255" spans="1:35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1"/>
      <c r="V255" s="1"/>
      <c r="W255" s="1"/>
      <c r="X255" s="1"/>
      <c r="AB255" s="9"/>
      <c r="AC255" s="9"/>
      <c r="AD255" s="9"/>
      <c r="AF255" s="10"/>
      <c r="AG255" s="10"/>
      <c r="AH255" s="10"/>
      <c r="AI255" s="10"/>
    </row>
    <row r="256" spans="1:35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1"/>
      <c r="V256" s="1"/>
      <c r="W256" s="1"/>
      <c r="X256" s="1"/>
      <c r="AB256" s="9"/>
      <c r="AC256" s="9"/>
      <c r="AD256" s="9"/>
      <c r="AF256" s="10"/>
      <c r="AG256" s="10"/>
      <c r="AH256" s="10"/>
      <c r="AI256" s="10"/>
    </row>
    <row r="257" spans="1:35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1"/>
      <c r="V257" s="1"/>
      <c r="W257" s="1"/>
      <c r="X257" s="1"/>
      <c r="AB257" s="9"/>
      <c r="AC257" s="9"/>
      <c r="AD257" s="9"/>
      <c r="AF257" s="10"/>
      <c r="AG257" s="10"/>
      <c r="AH257" s="10"/>
      <c r="AI257" s="10"/>
    </row>
    <row r="258" spans="1:35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1"/>
      <c r="V258" s="1"/>
      <c r="W258" s="1"/>
      <c r="X258" s="1"/>
      <c r="AB258" s="9"/>
      <c r="AC258" s="9"/>
      <c r="AD258" s="9"/>
      <c r="AF258" s="10"/>
      <c r="AG258" s="10"/>
      <c r="AH258" s="10"/>
      <c r="AI258" s="10"/>
    </row>
    <row r="259" spans="1:35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1"/>
      <c r="V259" s="1"/>
      <c r="W259" s="1"/>
      <c r="X259" s="1"/>
      <c r="AB259" s="9"/>
      <c r="AC259" s="9"/>
      <c r="AD259" s="9"/>
      <c r="AF259" s="10"/>
      <c r="AG259" s="10"/>
      <c r="AH259" s="10"/>
      <c r="AI259" s="10"/>
    </row>
    <row r="260" spans="1:35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1"/>
      <c r="V260" s="1"/>
      <c r="W260" s="1"/>
      <c r="X260" s="1"/>
      <c r="AB260" s="9"/>
      <c r="AC260" s="9"/>
      <c r="AD260" s="9"/>
      <c r="AF260" s="10"/>
      <c r="AG260" s="10"/>
      <c r="AH260" s="10"/>
      <c r="AI260" s="10"/>
    </row>
    <row r="261" spans="1:35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1"/>
      <c r="V261" s="1"/>
      <c r="W261" s="1"/>
      <c r="X261" s="1"/>
      <c r="AB261" s="9"/>
      <c r="AC261" s="9"/>
      <c r="AD261" s="9"/>
      <c r="AF261" s="10"/>
      <c r="AG261" s="10"/>
      <c r="AH261" s="10"/>
      <c r="AI261" s="10"/>
    </row>
    <row r="262" spans="1:35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1"/>
      <c r="V262" s="1"/>
      <c r="W262" s="1"/>
      <c r="X262" s="1"/>
      <c r="AB262" s="9"/>
      <c r="AC262" s="9"/>
      <c r="AD262" s="9"/>
      <c r="AF262" s="10"/>
      <c r="AG262" s="10"/>
      <c r="AH262" s="10"/>
      <c r="AI262" s="10"/>
    </row>
    <row r="263" spans="1:35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1"/>
      <c r="V263" s="1"/>
      <c r="W263" s="1"/>
      <c r="X263" s="1"/>
      <c r="AB263" s="9"/>
      <c r="AC263" s="9"/>
      <c r="AD263" s="9"/>
      <c r="AF263" s="10"/>
      <c r="AG263" s="10"/>
      <c r="AH263" s="10"/>
      <c r="AI263" s="10"/>
    </row>
    <row r="264" spans="1:35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1"/>
      <c r="V264" s="1"/>
      <c r="W264" s="1"/>
      <c r="X264" s="1"/>
      <c r="AB264" s="9"/>
      <c r="AC264" s="9"/>
      <c r="AD264" s="9"/>
      <c r="AF264" s="10"/>
      <c r="AG264" s="10"/>
      <c r="AH264" s="10"/>
      <c r="AI264" s="10"/>
    </row>
    <row r="265" spans="1:35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1"/>
      <c r="V265" s="1"/>
      <c r="W265" s="1"/>
      <c r="X265" s="1"/>
      <c r="AB265" s="9"/>
      <c r="AC265" s="9"/>
      <c r="AD265" s="9"/>
      <c r="AF265" s="10"/>
      <c r="AG265" s="10"/>
      <c r="AH265" s="10"/>
      <c r="AI265" s="10"/>
    </row>
    <row r="266" spans="1:35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1"/>
      <c r="V266" s="1"/>
      <c r="W266" s="1"/>
      <c r="X266" s="1"/>
      <c r="AB266" s="9"/>
      <c r="AC266" s="9"/>
      <c r="AD266" s="9"/>
      <c r="AF266" s="10"/>
      <c r="AG266" s="10"/>
      <c r="AH266" s="10"/>
      <c r="AI266" s="10"/>
    </row>
    <row r="267" spans="1:35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1"/>
      <c r="V267" s="1"/>
      <c r="W267" s="1"/>
      <c r="X267" s="1"/>
      <c r="AB267" s="9"/>
      <c r="AC267" s="9"/>
      <c r="AD267" s="9"/>
      <c r="AF267" s="10"/>
      <c r="AG267" s="10"/>
      <c r="AH267" s="10"/>
      <c r="AI267" s="10"/>
    </row>
    <row r="268" spans="1:35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1"/>
      <c r="V268" s="1"/>
      <c r="W268" s="1"/>
      <c r="X268" s="1"/>
      <c r="AB268" s="9"/>
      <c r="AC268" s="9"/>
      <c r="AD268" s="9"/>
      <c r="AF268" s="10"/>
      <c r="AG268" s="10"/>
      <c r="AH268" s="10"/>
      <c r="AI268" s="10"/>
    </row>
    <row r="269" spans="1:35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1"/>
      <c r="V269" s="1"/>
      <c r="W269" s="1"/>
      <c r="X269" s="1"/>
      <c r="AB269" s="9"/>
      <c r="AC269" s="9"/>
      <c r="AD269" s="9"/>
      <c r="AF269" s="10"/>
      <c r="AG269" s="10"/>
      <c r="AH269" s="10"/>
      <c r="AI269" s="10"/>
    </row>
    <row r="270" spans="1:35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1"/>
      <c r="V270" s="1"/>
      <c r="W270" s="1"/>
      <c r="X270" s="1"/>
      <c r="AB270" s="9"/>
      <c r="AC270" s="9"/>
      <c r="AD270" s="9"/>
      <c r="AF270" s="10"/>
      <c r="AG270" s="10"/>
      <c r="AH270" s="10"/>
      <c r="AI270" s="10"/>
    </row>
    <row r="271" spans="1:35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1"/>
      <c r="V271" s="1"/>
      <c r="W271" s="1"/>
      <c r="X271" s="1"/>
      <c r="AB271" s="9"/>
      <c r="AC271" s="9"/>
      <c r="AD271" s="9"/>
      <c r="AF271" s="10"/>
      <c r="AG271" s="10"/>
      <c r="AH271" s="10"/>
      <c r="AI271" s="10"/>
    </row>
    <row r="272" spans="1:35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1"/>
      <c r="V272" s="1"/>
      <c r="W272" s="1"/>
      <c r="X272" s="1"/>
      <c r="AB272" s="9"/>
      <c r="AC272" s="9"/>
      <c r="AD272" s="9"/>
      <c r="AF272" s="10"/>
      <c r="AG272" s="10"/>
      <c r="AH272" s="10"/>
      <c r="AI272" s="10"/>
    </row>
    <row r="273" spans="1:35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1"/>
      <c r="V273" s="1"/>
      <c r="W273" s="1"/>
      <c r="X273" s="1"/>
      <c r="AB273" s="9"/>
      <c r="AC273" s="9"/>
      <c r="AD273" s="9"/>
      <c r="AF273" s="10"/>
      <c r="AG273" s="10"/>
      <c r="AH273" s="10"/>
      <c r="AI273" s="10"/>
    </row>
    <row r="274" spans="1:35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1"/>
      <c r="V274" s="1"/>
      <c r="W274" s="1"/>
      <c r="X274" s="1"/>
      <c r="AB274" s="9"/>
      <c r="AC274" s="9"/>
      <c r="AD274" s="9"/>
      <c r="AF274" s="10"/>
      <c r="AG274" s="10"/>
      <c r="AH274" s="10"/>
      <c r="AI274" s="10"/>
    </row>
    <row r="275" spans="1:35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1"/>
      <c r="V275" s="1"/>
      <c r="W275" s="1"/>
      <c r="X275" s="1"/>
      <c r="AB275" s="9"/>
      <c r="AC275" s="9"/>
      <c r="AD275" s="9"/>
      <c r="AF275" s="10"/>
      <c r="AG275" s="10"/>
      <c r="AH275" s="10"/>
      <c r="AI275" s="10"/>
    </row>
    <row r="276" spans="1:35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1"/>
      <c r="V276" s="1"/>
      <c r="W276" s="1"/>
      <c r="X276" s="1"/>
      <c r="AB276" s="9"/>
      <c r="AC276" s="9"/>
      <c r="AD276" s="9"/>
      <c r="AF276" s="10"/>
      <c r="AG276" s="10"/>
      <c r="AH276" s="10"/>
      <c r="AI276" s="10"/>
    </row>
    <row r="277" spans="1:35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1"/>
      <c r="V277" s="1"/>
      <c r="W277" s="1"/>
      <c r="X277" s="1"/>
      <c r="AB277" s="9"/>
      <c r="AC277" s="9"/>
      <c r="AD277" s="9"/>
      <c r="AF277" s="10"/>
      <c r="AG277" s="10"/>
      <c r="AH277" s="10"/>
      <c r="AI277" s="10"/>
    </row>
    <row r="278" spans="1:35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1"/>
      <c r="V278" s="1"/>
      <c r="W278" s="1"/>
      <c r="X278" s="1"/>
      <c r="AB278" s="9"/>
      <c r="AC278" s="9"/>
      <c r="AD278" s="9"/>
      <c r="AF278" s="10"/>
      <c r="AG278" s="10"/>
      <c r="AH278" s="10"/>
      <c r="AI278" s="10"/>
    </row>
    <row r="279" spans="1:35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1"/>
      <c r="V279" s="1"/>
      <c r="W279" s="1"/>
      <c r="X279" s="1"/>
      <c r="AB279" s="9"/>
      <c r="AC279" s="9"/>
      <c r="AD279" s="9"/>
      <c r="AF279" s="10"/>
      <c r="AG279" s="10"/>
      <c r="AH279" s="10"/>
      <c r="AI279" s="10"/>
    </row>
    <row r="280" spans="1:35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1"/>
      <c r="V280" s="1"/>
      <c r="W280" s="1"/>
      <c r="X280" s="1"/>
      <c r="AB280" s="9"/>
      <c r="AC280" s="9"/>
      <c r="AD280" s="9"/>
      <c r="AF280" s="10"/>
      <c r="AG280" s="10"/>
      <c r="AH280" s="10"/>
      <c r="AI280" s="10"/>
    </row>
    <row r="281" spans="1:35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1"/>
      <c r="V281" s="1"/>
      <c r="W281" s="1"/>
      <c r="X281" s="1"/>
      <c r="AB281" s="9"/>
      <c r="AC281" s="9"/>
      <c r="AD281" s="9"/>
      <c r="AF281" s="10"/>
      <c r="AG281" s="10"/>
      <c r="AH281" s="10"/>
      <c r="AI281" s="10"/>
    </row>
    <row r="282" spans="1:35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1"/>
      <c r="V282" s="1"/>
      <c r="W282" s="1"/>
      <c r="X282" s="1"/>
      <c r="AB282" s="9"/>
      <c r="AC282" s="9"/>
      <c r="AD282" s="9"/>
      <c r="AF282" s="10"/>
      <c r="AG282" s="10"/>
      <c r="AH282" s="10"/>
      <c r="AI282" s="10"/>
    </row>
    <row r="283" spans="1:35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1"/>
      <c r="V283" s="1"/>
      <c r="W283" s="1"/>
      <c r="X283" s="1"/>
      <c r="AB283" s="9"/>
      <c r="AC283" s="9"/>
      <c r="AD283" s="9"/>
      <c r="AF283" s="10"/>
      <c r="AG283" s="10"/>
      <c r="AH283" s="10"/>
      <c r="AI283" s="10"/>
    </row>
    <row r="284" spans="1:35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1"/>
      <c r="V284" s="1"/>
      <c r="W284" s="1"/>
      <c r="X284" s="1"/>
      <c r="AB284" s="9"/>
      <c r="AC284" s="9"/>
      <c r="AD284" s="9"/>
      <c r="AF284" s="10"/>
      <c r="AG284" s="10"/>
      <c r="AH284" s="10"/>
      <c r="AI284" s="10"/>
    </row>
    <row r="285" spans="1:35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1"/>
      <c r="V285" s="1"/>
      <c r="W285" s="1"/>
      <c r="X285" s="1"/>
      <c r="AB285" s="9"/>
      <c r="AC285" s="9"/>
      <c r="AD285" s="9"/>
      <c r="AF285" s="10"/>
      <c r="AG285" s="10"/>
      <c r="AH285" s="10"/>
      <c r="AI285" s="10"/>
    </row>
    <row r="286" spans="1:35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1"/>
      <c r="V286" s="1"/>
      <c r="W286" s="1"/>
      <c r="X286" s="1"/>
      <c r="AB286" s="9"/>
      <c r="AC286" s="9"/>
      <c r="AD286" s="9"/>
      <c r="AF286" s="10"/>
      <c r="AG286" s="10"/>
      <c r="AH286" s="10"/>
      <c r="AI286" s="10"/>
    </row>
    <row r="287" spans="1:35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1"/>
      <c r="V287" s="1"/>
      <c r="W287" s="1"/>
      <c r="X287" s="1"/>
      <c r="AB287" s="9"/>
      <c r="AC287" s="9"/>
      <c r="AD287" s="9"/>
      <c r="AF287" s="10"/>
      <c r="AG287" s="10"/>
      <c r="AH287" s="10"/>
      <c r="AI287" s="10"/>
    </row>
    <row r="288" spans="1:35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1"/>
      <c r="V288" s="1"/>
      <c r="W288" s="1"/>
      <c r="X288" s="1"/>
      <c r="AB288" s="9"/>
      <c r="AC288" s="9"/>
      <c r="AD288" s="9"/>
      <c r="AF288" s="10"/>
      <c r="AG288" s="10"/>
      <c r="AH288" s="10"/>
      <c r="AI288" s="10"/>
    </row>
    <row r="289" spans="1:35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1"/>
      <c r="V289" s="1"/>
      <c r="W289" s="1"/>
      <c r="X289" s="1"/>
      <c r="AB289" s="9"/>
      <c r="AC289" s="9"/>
      <c r="AD289" s="9"/>
      <c r="AF289" s="10"/>
      <c r="AG289" s="10"/>
      <c r="AH289" s="10"/>
      <c r="AI289" s="10"/>
    </row>
    <row r="290" spans="1:35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1"/>
      <c r="V290" s="1"/>
      <c r="W290" s="1"/>
      <c r="X290" s="1"/>
      <c r="AB290" s="9"/>
      <c r="AC290" s="9"/>
      <c r="AD290" s="9"/>
      <c r="AF290" s="10"/>
      <c r="AG290" s="10"/>
      <c r="AH290" s="10"/>
      <c r="AI290" s="10"/>
    </row>
    <row r="291" spans="1:35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1"/>
      <c r="V291" s="1"/>
      <c r="W291" s="1"/>
      <c r="X291" s="1"/>
      <c r="AB291" s="9"/>
      <c r="AC291" s="9"/>
      <c r="AD291" s="9"/>
      <c r="AF291" s="10"/>
      <c r="AG291" s="10"/>
      <c r="AH291" s="10"/>
      <c r="AI291" s="10"/>
    </row>
    <row r="292" spans="1:35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1"/>
      <c r="V292" s="1"/>
      <c r="W292" s="1"/>
      <c r="X292" s="1"/>
      <c r="AB292" s="9"/>
      <c r="AC292" s="9"/>
      <c r="AD292" s="9"/>
      <c r="AF292" s="10"/>
      <c r="AG292" s="10"/>
      <c r="AH292" s="10"/>
      <c r="AI292" s="10"/>
    </row>
    <row r="293" spans="1:35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1"/>
      <c r="V293" s="1"/>
      <c r="W293" s="1"/>
      <c r="X293" s="1"/>
      <c r="AB293" s="9"/>
      <c r="AC293" s="9"/>
      <c r="AD293" s="9"/>
      <c r="AF293" s="10"/>
      <c r="AG293" s="10"/>
      <c r="AH293" s="10"/>
      <c r="AI293" s="10"/>
    </row>
    <row r="294" spans="1:35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1"/>
      <c r="V294" s="1"/>
      <c r="W294" s="1"/>
      <c r="X294" s="1"/>
      <c r="AB294" s="9"/>
      <c r="AC294" s="9"/>
      <c r="AD294" s="9"/>
      <c r="AF294" s="10"/>
      <c r="AG294" s="10"/>
      <c r="AH294" s="10"/>
      <c r="AI294" s="10"/>
    </row>
    <row r="295" spans="1:35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1"/>
      <c r="V295" s="1"/>
      <c r="W295" s="1"/>
      <c r="X295" s="1"/>
      <c r="AB295" s="9"/>
      <c r="AC295" s="9"/>
      <c r="AD295" s="9"/>
      <c r="AF295" s="10"/>
      <c r="AG295" s="10"/>
      <c r="AH295" s="10"/>
      <c r="AI295" s="10"/>
    </row>
    <row r="296" spans="1:35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1"/>
      <c r="V296" s="1"/>
      <c r="W296" s="1"/>
      <c r="X296" s="1"/>
      <c r="AB296" s="9"/>
      <c r="AC296" s="9"/>
      <c r="AD296" s="9"/>
      <c r="AF296" s="10"/>
      <c r="AG296" s="10"/>
      <c r="AH296" s="10"/>
      <c r="AI296" s="10"/>
    </row>
    <row r="297" spans="1:35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1"/>
      <c r="V297" s="1"/>
      <c r="W297" s="1"/>
      <c r="X297" s="1"/>
      <c r="AB297" s="9"/>
      <c r="AC297" s="9"/>
      <c r="AD297" s="9"/>
      <c r="AF297" s="10"/>
      <c r="AG297" s="10"/>
      <c r="AH297" s="10"/>
      <c r="AI297" s="10"/>
    </row>
    <row r="298" spans="1:35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1"/>
      <c r="V298" s="1"/>
      <c r="W298" s="1"/>
      <c r="X298" s="1"/>
      <c r="AB298" s="9"/>
      <c r="AC298" s="9"/>
      <c r="AD298" s="9"/>
      <c r="AF298" s="10"/>
      <c r="AG298" s="10"/>
      <c r="AH298" s="10"/>
      <c r="AI298" s="10"/>
    </row>
    <row r="299" spans="1:35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1"/>
      <c r="V299" s="1"/>
      <c r="W299" s="1"/>
      <c r="X299" s="1"/>
      <c r="AB299" s="9"/>
      <c r="AC299" s="9"/>
      <c r="AD299" s="9"/>
      <c r="AF299" s="10"/>
      <c r="AG299" s="10"/>
      <c r="AH299" s="10"/>
      <c r="AI299" s="10"/>
    </row>
    <row r="300" spans="1:35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1"/>
      <c r="V300" s="1"/>
      <c r="W300" s="1"/>
      <c r="X300" s="1"/>
      <c r="AB300" s="9"/>
      <c r="AC300" s="9"/>
      <c r="AD300" s="9"/>
      <c r="AF300" s="10"/>
      <c r="AG300" s="10"/>
      <c r="AH300" s="10"/>
      <c r="AI300" s="10"/>
    </row>
    <row r="301" spans="1:35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1"/>
      <c r="V301" s="1"/>
      <c r="W301" s="1"/>
      <c r="X301" s="1"/>
      <c r="AB301" s="9"/>
      <c r="AC301" s="9"/>
      <c r="AD301" s="9"/>
      <c r="AF301" s="10"/>
      <c r="AG301" s="10"/>
      <c r="AH301" s="10"/>
      <c r="AI301" s="10"/>
    </row>
    <row r="302" spans="1:35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1"/>
      <c r="V302" s="1"/>
      <c r="W302" s="1"/>
      <c r="X302" s="1"/>
      <c r="AB302" s="9"/>
      <c r="AC302" s="9"/>
      <c r="AD302" s="9"/>
      <c r="AF302" s="10"/>
      <c r="AG302" s="10"/>
      <c r="AH302" s="10"/>
      <c r="AI302" s="10"/>
    </row>
    <row r="303" spans="1:35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1"/>
      <c r="V303" s="1"/>
      <c r="W303" s="1"/>
      <c r="X303" s="1"/>
      <c r="AB303" s="9"/>
      <c r="AC303" s="9"/>
      <c r="AD303" s="9"/>
      <c r="AF303" s="10"/>
      <c r="AG303" s="10"/>
      <c r="AH303" s="10"/>
      <c r="AI303" s="10"/>
    </row>
    <row r="304" spans="1:35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1"/>
      <c r="V304" s="1"/>
      <c r="W304" s="1"/>
      <c r="X304" s="1"/>
      <c r="AB304" s="9"/>
      <c r="AC304" s="9"/>
      <c r="AD304" s="9"/>
      <c r="AF304" s="10"/>
      <c r="AG304" s="10"/>
      <c r="AH304" s="10"/>
      <c r="AI304" s="10"/>
    </row>
    <row r="305" spans="1:35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1"/>
      <c r="V305" s="1"/>
      <c r="W305" s="1"/>
      <c r="X305" s="1"/>
      <c r="AB305" s="9"/>
      <c r="AC305" s="9"/>
      <c r="AD305" s="9"/>
      <c r="AF305" s="10"/>
      <c r="AG305" s="10"/>
      <c r="AH305" s="10"/>
      <c r="AI305" s="10"/>
    </row>
    <row r="306" spans="1:35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1"/>
      <c r="V306" s="1"/>
      <c r="W306" s="1"/>
      <c r="X306" s="1"/>
      <c r="AB306" s="9"/>
      <c r="AC306" s="9"/>
      <c r="AD306" s="9"/>
      <c r="AF306" s="10"/>
      <c r="AG306" s="10"/>
      <c r="AH306" s="10"/>
      <c r="AI306" s="10"/>
    </row>
    <row r="307" spans="1:35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1"/>
      <c r="V307" s="1"/>
      <c r="W307" s="1"/>
      <c r="X307" s="1"/>
      <c r="AB307" s="9"/>
      <c r="AC307" s="9"/>
      <c r="AD307" s="9"/>
      <c r="AF307" s="10"/>
      <c r="AG307" s="10"/>
      <c r="AH307" s="10"/>
      <c r="AI307" s="10"/>
    </row>
    <row r="308" spans="1:35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1"/>
      <c r="V308" s="1"/>
      <c r="W308" s="1"/>
      <c r="X308" s="1"/>
      <c r="AB308" s="9"/>
      <c r="AC308" s="9"/>
      <c r="AD308" s="9"/>
      <c r="AF308" s="10"/>
      <c r="AG308" s="10"/>
      <c r="AH308" s="10"/>
      <c r="AI308" s="10"/>
    </row>
    <row r="309" spans="1:35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1"/>
      <c r="V309" s="1"/>
      <c r="W309" s="1"/>
      <c r="X309" s="1"/>
      <c r="AB309" s="9"/>
      <c r="AC309" s="9"/>
      <c r="AD309" s="9"/>
      <c r="AF309" s="10"/>
      <c r="AG309" s="10"/>
      <c r="AH309" s="10"/>
      <c r="AI309" s="10"/>
    </row>
    <row r="310" spans="1:35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1"/>
      <c r="V310" s="1"/>
      <c r="W310" s="1"/>
      <c r="X310" s="1"/>
      <c r="AB310" s="9"/>
      <c r="AC310" s="9"/>
      <c r="AD310" s="9"/>
      <c r="AF310" s="10"/>
      <c r="AG310" s="10"/>
      <c r="AH310" s="10"/>
      <c r="AI310" s="10"/>
    </row>
    <row r="311" spans="1:35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1"/>
      <c r="V311" s="1"/>
      <c r="W311" s="1"/>
      <c r="X311" s="1"/>
      <c r="AB311" s="9"/>
      <c r="AC311" s="9"/>
      <c r="AD311" s="9"/>
      <c r="AF311" s="10"/>
      <c r="AG311" s="10"/>
      <c r="AH311" s="10"/>
      <c r="AI311" s="10"/>
    </row>
    <row r="312" spans="1:35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1"/>
      <c r="V312" s="1"/>
      <c r="W312" s="1"/>
      <c r="X312" s="1"/>
      <c r="AB312" s="9"/>
      <c r="AC312" s="9"/>
      <c r="AD312" s="9"/>
      <c r="AF312" s="10"/>
      <c r="AG312" s="10"/>
      <c r="AH312" s="10"/>
      <c r="AI312" s="10"/>
    </row>
    <row r="313" spans="1:35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1"/>
      <c r="V313" s="1"/>
      <c r="W313" s="1"/>
      <c r="X313" s="1"/>
      <c r="AB313" s="9"/>
      <c r="AC313" s="9"/>
      <c r="AD313" s="9"/>
      <c r="AF313" s="10"/>
      <c r="AG313" s="10"/>
      <c r="AH313" s="10"/>
      <c r="AI313" s="10"/>
    </row>
    <row r="314" spans="1:35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1"/>
      <c r="V314" s="1"/>
      <c r="W314" s="1"/>
      <c r="X314" s="1"/>
      <c r="AB314" s="9"/>
      <c r="AC314" s="9"/>
      <c r="AD314" s="9"/>
      <c r="AF314" s="10"/>
      <c r="AG314" s="10"/>
      <c r="AH314" s="10"/>
      <c r="AI314" s="10"/>
    </row>
    <row r="315" spans="1:35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1"/>
      <c r="V315" s="1"/>
      <c r="W315" s="1"/>
      <c r="X315" s="1"/>
      <c r="AB315" s="9"/>
      <c r="AC315" s="9"/>
      <c r="AD315" s="9"/>
      <c r="AF315" s="10"/>
      <c r="AG315" s="10"/>
      <c r="AH315" s="10"/>
      <c r="AI315" s="10"/>
    </row>
    <row r="316" spans="1:35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1"/>
      <c r="V316" s="1"/>
      <c r="W316" s="1"/>
      <c r="X316" s="1"/>
      <c r="AB316" s="9"/>
      <c r="AC316" s="9"/>
      <c r="AD316" s="9"/>
      <c r="AF316" s="10"/>
      <c r="AG316" s="10"/>
      <c r="AH316" s="10"/>
      <c r="AI316" s="10"/>
    </row>
    <row r="317" spans="1:35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1"/>
      <c r="V317" s="1"/>
      <c r="W317" s="1"/>
      <c r="X317" s="1"/>
      <c r="AB317" s="9"/>
      <c r="AC317" s="9"/>
      <c r="AD317" s="9"/>
      <c r="AF317" s="10"/>
      <c r="AG317" s="10"/>
      <c r="AH317" s="10"/>
      <c r="AI317" s="10"/>
    </row>
    <row r="318" spans="1:35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1"/>
      <c r="V318" s="1"/>
      <c r="W318" s="1"/>
      <c r="X318" s="1"/>
      <c r="AB318" s="9"/>
      <c r="AC318" s="9"/>
      <c r="AD318" s="9"/>
      <c r="AF318" s="10"/>
      <c r="AG318" s="10"/>
      <c r="AH318" s="10"/>
      <c r="AI318" s="10"/>
    </row>
    <row r="319" spans="1:35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1"/>
      <c r="V319" s="1"/>
      <c r="W319" s="1"/>
      <c r="X319" s="1"/>
      <c r="AB319" s="9"/>
      <c r="AC319" s="9"/>
      <c r="AD319" s="9"/>
      <c r="AF319" s="10"/>
      <c r="AG319" s="10"/>
      <c r="AH319" s="10"/>
      <c r="AI319" s="10"/>
    </row>
    <row r="320" spans="1:35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1"/>
      <c r="V320" s="1"/>
      <c r="W320" s="1"/>
      <c r="X320" s="1"/>
      <c r="AB320" s="9"/>
      <c r="AC320" s="9"/>
      <c r="AD320" s="9"/>
      <c r="AF320" s="10"/>
      <c r="AG320" s="10"/>
      <c r="AH320" s="10"/>
      <c r="AI320" s="10"/>
    </row>
    <row r="321" spans="1:35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1"/>
      <c r="V321" s="1"/>
      <c r="W321" s="1"/>
      <c r="X321" s="1"/>
      <c r="AB321" s="9"/>
      <c r="AC321" s="9"/>
      <c r="AD321" s="9"/>
      <c r="AF321" s="10"/>
      <c r="AG321" s="10"/>
      <c r="AH321" s="10"/>
      <c r="AI321" s="10"/>
    </row>
    <row r="322" spans="1:35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1"/>
      <c r="V322" s="1"/>
      <c r="W322" s="1"/>
      <c r="X322" s="1"/>
      <c r="AB322" s="9"/>
      <c r="AC322" s="9"/>
      <c r="AD322" s="9"/>
      <c r="AF322" s="10"/>
      <c r="AG322" s="10"/>
      <c r="AH322" s="10"/>
      <c r="AI322" s="10"/>
    </row>
    <row r="323" spans="1:35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1"/>
      <c r="V323" s="1"/>
      <c r="W323" s="1"/>
      <c r="X323" s="1"/>
      <c r="AB323" s="9"/>
      <c r="AC323" s="9"/>
      <c r="AD323" s="9"/>
      <c r="AF323" s="10"/>
      <c r="AG323" s="10"/>
      <c r="AH323" s="10"/>
      <c r="AI323" s="10"/>
    </row>
    <row r="324" spans="1:35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1"/>
      <c r="V324" s="1"/>
      <c r="W324" s="1"/>
      <c r="X324" s="1"/>
      <c r="AB324" s="9"/>
      <c r="AC324" s="9"/>
      <c r="AD324" s="9"/>
      <c r="AF324" s="10"/>
      <c r="AG324" s="10"/>
      <c r="AH324" s="10"/>
      <c r="AI324" s="10"/>
    </row>
    <row r="325" spans="1:35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1"/>
      <c r="V325" s="1"/>
      <c r="W325" s="1"/>
      <c r="X325" s="1"/>
      <c r="AB325" s="9"/>
      <c r="AC325" s="9"/>
      <c r="AD325" s="9"/>
      <c r="AF325" s="10"/>
      <c r="AG325" s="10"/>
      <c r="AH325" s="10"/>
      <c r="AI325" s="10"/>
    </row>
    <row r="326" spans="1:35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1"/>
      <c r="V326" s="1"/>
      <c r="W326" s="1"/>
      <c r="X326" s="1"/>
      <c r="AB326" s="9"/>
      <c r="AC326" s="9"/>
      <c r="AD326" s="9"/>
      <c r="AF326" s="10"/>
      <c r="AG326" s="10"/>
      <c r="AH326" s="10"/>
      <c r="AI326" s="10"/>
    </row>
    <row r="327" spans="1:35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1"/>
      <c r="V327" s="1"/>
      <c r="W327" s="1"/>
      <c r="X327" s="1"/>
      <c r="AB327" s="9"/>
      <c r="AC327" s="9"/>
      <c r="AD327" s="9"/>
      <c r="AF327" s="10"/>
      <c r="AG327" s="10"/>
      <c r="AH327" s="10"/>
      <c r="AI327" s="10"/>
    </row>
    <row r="328" spans="1:35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1"/>
      <c r="V328" s="1"/>
      <c r="W328" s="1"/>
      <c r="X328" s="1"/>
      <c r="AB328" s="9"/>
      <c r="AC328" s="9"/>
      <c r="AD328" s="9"/>
      <c r="AF328" s="10"/>
      <c r="AG328" s="10"/>
      <c r="AH328" s="10"/>
      <c r="AI328" s="10"/>
    </row>
    <row r="329" spans="1:35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1"/>
      <c r="V329" s="1"/>
      <c r="W329" s="1"/>
      <c r="X329" s="1"/>
      <c r="AB329" s="9"/>
      <c r="AC329" s="9"/>
      <c r="AD329" s="9"/>
      <c r="AF329" s="10"/>
      <c r="AG329" s="10"/>
      <c r="AH329" s="10"/>
      <c r="AI329" s="10"/>
    </row>
    <row r="330" spans="1:35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1"/>
      <c r="V330" s="1"/>
      <c r="W330" s="1"/>
      <c r="X330" s="1"/>
      <c r="AB330" s="9"/>
      <c r="AC330" s="9"/>
      <c r="AD330" s="9"/>
      <c r="AF330" s="10"/>
      <c r="AG330" s="10"/>
      <c r="AH330" s="10"/>
      <c r="AI330" s="10"/>
    </row>
    <row r="331" spans="1:35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1"/>
      <c r="V331" s="1"/>
      <c r="W331" s="1"/>
      <c r="X331" s="1"/>
      <c r="AB331" s="9"/>
      <c r="AC331" s="9"/>
      <c r="AD331" s="9"/>
      <c r="AF331" s="10"/>
      <c r="AG331" s="10"/>
      <c r="AH331" s="10"/>
      <c r="AI331" s="10"/>
    </row>
    <row r="332" spans="1:35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1"/>
      <c r="V332" s="1"/>
      <c r="W332" s="1"/>
      <c r="X332" s="1"/>
      <c r="AB332" s="9"/>
      <c r="AC332" s="9"/>
      <c r="AD332" s="9"/>
      <c r="AF332" s="10"/>
      <c r="AG332" s="10"/>
      <c r="AH332" s="10"/>
      <c r="AI332" s="10"/>
    </row>
    <row r="333" spans="1:35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1"/>
      <c r="V333" s="1"/>
      <c r="W333" s="1"/>
      <c r="X333" s="1"/>
      <c r="AB333" s="9"/>
      <c r="AC333" s="9"/>
      <c r="AD333" s="9"/>
      <c r="AF333" s="10"/>
      <c r="AG333" s="10"/>
      <c r="AH333" s="10"/>
      <c r="AI333" s="10"/>
    </row>
    <row r="334" spans="1:35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1"/>
      <c r="V334" s="1"/>
      <c r="W334" s="1"/>
      <c r="X334" s="1"/>
      <c r="AB334" s="9"/>
      <c r="AC334" s="9"/>
      <c r="AD334" s="9"/>
      <c r="AF334" s="10"/>
      <c r="AG334" s="10"/>
      <c r="AH334" s="10"/>
      <c r="AI334" s="10"/>
    </row>
    <row r="335" spans="1:35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1"/>
      <c r="V335" s="1"/>
      <c r="W335" s="1"/>
      <c r="X335" s="1"/>
      <c r="AB335" s="9"/>
      <c r="AC335" s="9"/>
      <c r="AD335" s="9"/>
      <c r="AF335" s="10"/>
      <c r="AG335" s="10"/>
      <c r="AH335" s="10"/>
      <c r="AI335" s="10"/>
    </row>
    <row r="336" spans="1:35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1"/>
      <c r="V336" s="1"/>
      <c r="W336" s="1"/>
      <c r="X336" s="1"/>
      <c r="AB336" s="9"/>
      <c r="AC336" s="9"/>
      <c r="AD336" s="9"/>
      <c r="AF336" s="10"/>
      <c r="AG336" s="10"/>
      <c r="AH336" s="10"/>
      <c r="AI336" s="10"/>
    </row>
    <row r="337" spans="1:35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1"/>
      <c r="V337" s="1"/>
      <c r="W337" s="1"/>
      <c r="X337" s="1"/>
      <c r="AB337" s="9"/>
      <c r="AC337" s="9"/>
      <c r="AD337" s="9"/>
      <c r="AF337" s="10"/>
      <c r="AG337" s="10"/>
      <c r="AH337" s="10"/>
      <c r="AI337" s="10"/>
    </row>
    <row r="338" spans="1:35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1"/>
      <c r="V338" s="1"/>
      <c r="W338" s="1"/>
      <c r="X338" s="1"/>
      <c r="AB338" s="9"/>
      <c r="AC338" s="9"/>
      <c r="AD338" s="9"/>
      <c r="AF338" s="10"/>
      <c r="AG338" s="10"/>
      <c r="AH338" s="10"/>
      <c r="AI338" s="10"/>
    </row>
    <row r="339" spans="1:35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1"/>
      <c r="V339" s="1"/>
      <c r="W339" s="1"/>
      <c r="X339" s="1"/>
      <c r="AB339" s="9"/>
      <c r="AC339" s="9"/>
      <c r="AD339" s="9"/>
      <c r="AF339" s="10"/>
      <c r="AG339" s="10"/>
      <c r="AH339" s="10"/>
      <c r="AI339" s="10"/>
    </row>
    <row r="340" spans="1:35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1"/>
      <c r="V340" s="1"/>
      <c r="W340" s="1"/>
      <c r="X340" s="1"/>
      <c r="AB340" s="9"/>
      <c r="AC340" s="9"/>
      <c r="AD340" s="9"/>
      <c r="AF340" s="10"/>
      <c r="AG340" s="10"/>
      <c r="AH340" s="10"/>
      <c r="AI340" s="10"/>
    </row>
    <row r="341" spans="1:35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1"/>
      <c r="V341" s="1"/>
      <c r="W341" s="1"/>
      <c r="X341" s="1"/>
      <c r="AB341" s="9"/>
      <c r="AC341" s="9"/>
      <c r="AD341" s="9"/>
      <c r="AF341" s="10"/>
      <c r="AG341" s="10"/>
      <c r="AH341" s="10"/>
      <c r="AI341" s="10"/>
    </row>
    <row r="342" spans="1:35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1"/>
      <c r="V342" s="1"/>
      <c r="W342" s="1"/>
      <c r="X342" s="1"/>
      <c r="AB342" s="9"/>
      <c r="AC342" s="9"/>
      <c r="AD342" s="9"/>
      <c r="AF342" s="10"/>
      <c r="AG342" s="10"/>
      <c r="AH342" s="10"/>
      <c r="AI342" s="10"/>
    </row>
    <row r="343" spans="1:35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1"/>
      <c r="V343" s="1"/>
      <c r="W343" s="1"/>
      <c r="X343" s="1"/>
      <c r="AB343" s="9"/>
      <c r="AC343" s="9"/>
      <c r="AD343" s="9"/>
      <c r="AF343" s="10"/>
      <c r="AG343" s="10"/>
      <c r="AH343" s="10"/>
      <c r="AI343" s="10"/>
    </row>
    <row r="344" spans="1:35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1"/>
      <c r="V344" s="1"/>
      <c r="W344" s="1"/>
      <c r="X344" s="1"/>
      <c r="AB344" s="9"/>
      <c r="AC344" s="9"/>
      <c r="AD344" s="9"/>
      <c r="AF344" s="10"/>
      <c r="AG344" s="10"/>
      <c r="AH344" s="10"/>
      <c r="AI344" s="10"/>
    </row>
    <row r="345" spans="1:35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1"/>
      <c r="V345" s="1"/>
      <c r="W345" s="1"/>
      <c r="X345" s="1"/>
      <c r="AB345" s="9"/>
      <c r="AC345" s="9"/>
      <c r="AD345" s="9"/>
      <c r="AF345" s="10"/>
      <c r="AG345" s="10"/>
      <c r="AH345" s="10"/>
      <c r="AI345" s="10"/>
    </row>
    <row r="346" spans="1:35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1"/>
      <c r="V346" s="1"/>
      <c r="W346" s="1"/>
      <c r="X346" s="1"/>
      <c r="AB346" s="9"/>
      <c r="AC346" s="9"/>
      <c r="AD346" s="9"/>
      <c r="AF346" s="10"/>
      <c r="AG346" s="10"/>
      <c r="AH346" s="10"/>
      <c r="AI346" s="10"/>
    </row>
    <row r="347" spans="1:35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1"/>
      <c r="V347" s="1"/>
      <c r="W347" s="1"/>
      <c r="X347" s="1"/>
      <c r="AB347" s="9"/>
      <c r="AC347" s="9"/>
      <c r="AD347" s="9"/>
      <c r="AF347" s="10"/>
      <c r="AG347" s="10"/>
      <c r="AH347" s="10"/>
      <c r="AI347" s="10"/>
    </row>
    <row r="348" spans="1:35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1"/>
      <c r="V348" s="1"/>
      <c r="W348" s="1"/>
      <c r="X348" s="1"/>
      <c r="AB348" s="9"/>
      <c r="AC348" s="9"/>
      <c r="AD348" s="9"/>
      <c r="AF348" s="10"/>
      <c r="AG348" s="10"/>
      <c r="AH348" s="10"/>
      <c r="AI348" s="10"/>
    </row>
    <row r="349" spans="1:35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1"/>
      <c r="V349" s="1"/>
      <c r="W349" s="1"/>
      <c r="X349" s="1"/>
      <c r="AB349" s="9"/>
      <c r="AC349" s="9"/>
      <c r="AD349" s="9"/>
      <c r="AF349" s="10"/>
      <c r="AG349" s="10"/>
      <c r="AH349" s="10"/>
      <c r="AI349" s="10"/>
    </row>
    <row r="350" spans="1:35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1"/>
      <c r="V350" s="1"/>
      <c r="W350" s="1"/>
      <c r="X350" s="1"/>
      <c r="AB350" s="9"/>
      <c r="AC350" s="9"/>
      <c r="AD350" s="9"/>
      <c r="AF350" s="10"/>
      <c r="AG350" s="10"/>
      <c r="AH350" s="10"/>
      <c r="AI350" s="10"/>
    </row>
    <row r="351" spans="1:35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1"/>
      <c r="V351" s="1"/>
      <c r="W351" s="1"/>
      <c r="X351" s="1"/>
      <c r="AB351" s="9"/>
      <c r="AC351" s="9"/>
      <c r="AD351" s="9"/>
      <c r="AF351" s="10"/>
      <c r="AG351" s="10"/>
      <c r="AH351" s="10"/>
      <c r="AI351" s="10"/>
    </row>
    <row r="352" spans="1:35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1"/>
      <c r="V352" s="1"/>
      <c r="W352" s="1"/>
      <c r="X352" s="1"/>
      <c r="AB352" s="9"/>
      <c r="AC352" s="9"/>
      <c r="AD352" s="9"/>
      <c r="AF352" s="10"/>
      <c r="AG352" s="10"/>
      <c r="AH352" s="10"/>
      <c r="AI352" s="10"/>
    </row>
    <row r="353" spans="1:35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1"/>
      <c r="V353" s="1"/>
      <c r="W353" s="1"/>
      <c r="X353" s="1"/>
      <c r="AB353" s="9"/>
      <c r="AC353" s="9"/>
      <c r="AD353" s="9"/>
      <c r="AF353" s="10"/>
      <c r="AG353" s="10"/>
      <c r="AH353" s="10"/>
      <c r="AI353" s="10"/>
    </row>
    <row r="354" spans="1:35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1"/>
      <c r="V354" s="1"/>
      <c r="W354" s="1"/>
      <c r="X354" s="1"/>
      <c r="AB354" s="9"/>
      <c r="AC354" s="9"/>
      <c r="AD354" s="9"/>
      <c r="AF354" s="10"/>
      <c r="AG354" s="10"/>
      <c r="AH354" s="10"/>
      <c r="AI354" s="10"/>
    </row>
    <row r="355" spans="1:35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1"/>
      <c r="V355" s="1"/>
      <c r="W355" s="1"/>
      <c r="X355" s="1"/>
      <c r="AB355" s="9"/>
      <c r="AC355" s="9"/>
      <c r="AD355" s="9"/>
      <c r="AF355" s="10"/>
      <c r="AG355" s="10"/>
      <c r="AH355" s="10"/>
      <c r="AI355" s="10"/>
    </row>
    <row r="356" spans="1:35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1"/>
      <c r="V356" s="1"/>
      <c r="W356" s="1"/>
      <c r="X356" s="1"/>
      <c r="AB356" s="9"/>
      <c r="AC356" s="9"/>
      <c r="AD356" s="9"/>
      <c r="AF356" s="10"/>
      <c r="AG356" s="10"/>
      <c r="AH356" s="10"/>
      <c r="AI356" s="10"/>
    </row>
    <row r="357" spans="1:35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1"/>
      <c r="V357" s="1"/>
      <c r="W357" s="1"/>
      <c r="X357" s="1"/>
      <c r="AB357" s="9"/>
      <c r="AC357" s="9"/>
      <c r="AD357" s="9"/>
      <c r="AF357" s="10"/>
      <c r="AG357" s="10"/>
      <c r="AH357" s="10"/>
      <c r="AI357" s="10"/>
    </row>
    <row r="358" spans="1:35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1"/>
      <c r="V358" s="1"/>
      <c r="W358" s="1"/>
      <c r="X358" s="1"/>
      <c r="AB358" s="9"/>
      <c r="AC358" s="9"/>
      <c r="AD358" s="9"/>
      <c r="AF358" s="10"/>
      <c r="AG358" s="10"/>
      <c r="AH358" s="10"/>
      <c r="AI358" s="10"/>
    </row>
    <row r="359" spans="1:35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1"/>
      <c r="V359" s="1"/>
      <c r="W359" s="1"/>
      <c r="X359" s="1"/>
      <c r="AB359" s="9"/>
      <c r="AC359" s="9"/>
      <c r="AD359" s="9"/>
      <c r="AF359" s="10"/>
      <c r="AG359" s="10"/>
      <c r="AH359" s="10"/>
      <c r="AI359" s="10"/>
    </row>
    <row r="360" spans="1:35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1"/>
      <c r="V360" s="1"/>
      <c r="W360" s="1"/>
      <c r="X360" s="1"/>
      <c r="AB360" s="9"/>
      <c r="AC360" s="9"/>
      <c r="AD360" s="9"/>
      <c r="AF360" s="10"/>
      <c r="AG360" s="10"/>
      <c r="AH360" s="10"/>
      <c r="AI360" s="10"/>
    </row>
    <row r="361" spans="1:35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1"/>
      <c r="V361" s="1"/>
      <c r="W361" s="1"/>
      <c r="X361" s="1"/>
      <c r="AB361" s="9"/>
      <c r="AC361" s="9"/>
      <c r="AD361" s="9"/>
      <c r="AF361" s="10"/>
      <c r="AG361" s="10"/>
      <c r="AH361" s="10"/>
      <c r="AI361" s="10"/>
    </row>
    <row r="362" spans="1:35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1"/>
      <c r="V362" s="1"/>
      <c r="W362" s="1"/>
      <c r="X362" s="1"/>
      <c r="AB362" s="9"/>
      <c r="AC362" s="9"/>
      <c r="AD362" s="9"/>
      <c r="AF362" s="10"/>
      <c r="AG362" s="10"/>
      <c r="AH362" s="10"/>
      <c r="AI362" s="10"/>
    </row>
    <row r="363" spans="1:35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1"/>
      <c r="V363" s="1"/>
      <c r="W363" s="1"/>
      <c r="X363" s="1"/>
      <c r="AB363" s="9"/>
      <c r="AC363" s="9"/>
      <c r="AD363" s="9"/>
      <c r="AF363" s="10"/>
      <c r="AG363" s="10"/>
      <c r="AH363" s="10"/>
      <c r="AI363" s="10"/>
    </row>
    <row r="364" spans="1:35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1"/>
      <c r="V364" s="1"/>
      <c r="W364" s="1"/>
      <c r="X364" s="1"/>
      <c r="AB364" s="9"/>
      <c r="AC364" s="9"/>
      <c r="AD364" s="9"/>
      <c r="AF364" s="10"/>
      <c r="AG364" s="10"/>
      <c r="AH364" s="10"/>
      <c r="AI364" s="10"/>
    </row>
    <row r="365" spans="1:35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1"/>
      <c r="V365" s="1"/>
      <c r="W365" s="1"/>
      <c r="X365" s="1"/>
      <c r="AB365" s="9"/>
      <c r="AC365" s="9"/>
      <c r="AD365" s="9"/>
      <c r="AF365" s="10"/>
      <c r="AG365" s="10"/>
      <c r="AH365" s="10"/>
      <c r="AI365" s="10"/>
    </row>
    <row r="366" spans="1:35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1"/>
      <c r="V366" s="1"/>
      <c r="W366" s="1"/>
      <c r="X366" s="1"/>
      <c r="AB366" s="9"/>
      <c r="AC366" s="9"/>
      <c r="AD366" s="9"/>
      <c r="AF366" s="10"/>
      <c r="AG366" s="10"/>
      <c r="AH366" s="10"/>
      <c r="AI366" s="10"/>
    </row>
    <row r="367" spans="1:35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1"/>
      <c r="V367" s="1"/>
      <c r="W367" s="1"/>
      <c r="X367" s="1"/>
      <c r="AB367" s="9"/>
      <c r="AC367" s="9"/>
      <c r="AD367" s="9"/>
      <c r="AF367" s="10"/>
      <c r="AG367" s="10"/>
      <c r="AH367" s="10"/>
      <c r="AI367" s="10"/>
    </row>
    <row r="368" spans="1:35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1"/>
      <c r="V368" s="1"/>
      <c r="W368" s="1"/>
      <c r="X368" s="1"/>
      <c r="AB368" s="9"/>
      <c r="AC368" s="9"/>
      <c r="AD368" s="9"/>
      <c r="AF368" s="10"/>
      <c r="AG368" s="10"/>
      <c r="AH368" s="10"/>
      <c r="AI368" s="10"/>
    </row>
    <row r="369" spans="1:35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1"/>
      <c r="V369" s="1"/>
      <c r="W369" s="1"/>
      <c r="X369" s="1"/>
      <c r="AB369" s="9"/>
      <c r="AC369" s="9"/>
      <c r="AD369" s="9"/>
      <c r="AF369" s="10"/>
      <c r="AG369" s="10"/>
      <c r="AH369" s="10"/>
      <c r="AI369" s="10"/>
    </row>
    <row r="370" spans="1:35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1"/>
      <c r="V370" s="1"/>
      <c r="W370" s="1"/>
      <c r="X370" s="1"/>
      <c r="AB370" s="9"/>
      <c r="AC370" s="9"/>
      <c r="AD370" s="9"/>
      <c r="AF370" s="10"/>
      <c r="AG370" s="10"/>
      <c r="AH370" s="10"/>
      <c r="AI370" s="10"/>
    </row>
    <row r="371" spans="1:35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1"/>
      <c r="V371" s="1"/>
      <c r="W371" s="1"/>
      <c r="X371" s="1"/>
      <c r="AB371" s="9"/>
      <c r="AC371" s="9"/>
      <c r="AD371" s="9"/>
      <c r="AF371" s="10"/>
      <c r="AG371" s="10"/>
      <c r="AH371" s="10"/>
      <c r="AI371" s="10"/>
    </row>
    <row r="372" spans="1:35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1"/>
      <c r="V372" s="1"/>
      <c r="W372" s="1"/>
      <c r="X372" s="1"/>
      <c r="AB372" s="9"/>
      <c r="AC372" s="9"/>
      <c r="AD372" s="9"/>
      <c r="AF372" s="10"/>
      <c r="AG372" s="10"/>
      <c r="AH372" s="10"/>
      <c r="AI372" s="10"/>
    </row>
    <row r="373" spans="1:35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1"/>
      <c r="V373" s="1"/>
      <c r="W373" s="1"/>
      <c r="X373" s="1"/>
      <c r="AB373" s="9"/>
      <c r="AC373" s="9"/>
      <c r="AD373" s="9"/>
      <c r="AF373" s="10"/>
      <c r="AG373" s="10"/>
      <c r="AH373" s="10"/>
      <c r="AI373" s="10"/>
    </row>
    <row r="374" spans="1:35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1"/>
      <c r="V374" s="1"/>
      <c r="W374" s="1"/>
      <c r="X374" s="1"/>
      <c r="AB374" s="9"/>
      <c r="AC374" s="9"/>
      <c r="AD374" s="9"/>
      <c r="AF374" s="10"/>
      <c r="AG374" s="10"/>
      <c r="AH374" s="10"/>
      <c r="AI374" s="10"/>
    </row>
    <row r="375" spans="1:35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1"/>
      <c r="V375" s="1"/>
      <c r="W375" s="1"/>
      <c r="X375" s="1"/>
      <c r="AB375" s="9"/>
      <c r="AC375" s="9"/>
      <c r="AD375" s="9"/>
      <c r="AF375" s="10"/>
      <c r="AG375" s="10"/>
      <c r="AH375" s="10"/>
      <c r="AI375" s="10"/>
    </row>
    <row r="376" spans="1:35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1"/>
      <c r="V376" s="1"/>
      <c r="W376" s="1"/>
      <c r="X376" s="1"/>
      <c r="AB376" s="9"/>
      <c r="AC376" s="9"/>
      <c r="AD376" s="9"/>
      <c r="AF376" s="10"/>
      <c r="AG376" s="10"/>
      <c r="AH376" s="10"/>
      <c r="AI376" s="10"/>
    </row>
    <row r="377" spans="1:35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1"/>
      <c r="V377" s="1"/>
      <c r="W377" s="1"/>
      <c r="X377" s="1"/>
      <c r="AB377" s="9"/>
      <c r="AC377" s="9"/>
      <c r="AD377" s="9"/>
      <c r="AF377" s="10"/>
      <c r="AG377" s="10"/>
      <c r="AH377" s="10"/>
      <c r="AI377" s="10"/>
    </row>
    <row r="378" spans="1:35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1"/>
      <c r="V378" s="1"/>
      <c r="W378" s="1"/>
      <c r="X378" s="1"/>
      <c r="AB378" s="9"/>
      <c r="AC378" s="9"/>
      <c r="AD378" s="9"/>
      <c r="AF378" s="10"/>
      <c r="AG378" s="10"/>
      <c r="AH378" s="10"/>
      <c r="AI378" s="10"/>
    </row>
    <row r="379" spans="1:35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1"/>
      <c r="V379" s="1"/>
      <c r="W379" s="1"/>
      <c r="X379" s="1"/>
      <c r="AB379" s="9"/>
      <c r="AC379" s="9"/>
      <c r="AD379" s="9"/>
      <c r="AF379" s="10"/>
      <c r="AG379" s="10"/>
      <c r="AH379" s="10"/>
      <c r="AI379" s="10"/>
    </row>
    <row r="380" spans="1:35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1"/>
      <c r="V380" s="1"/>
      <c r="W380" s="1"/>
      <c r="X380" s="1"/>
      <c r="AB380" s="9"/>
      <c r="AC380" s="9"/>
      <c r="AD380" s="9"/>
      <c r="AF380" s="10"/>
      <c r="AG380" s="10"/>
      <c r="AH380" s="10"/>
      <c r="AI380" s="10"/>
    </row>
    <row r="381" spans="1:35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1"/>
      <c r="V381" s="1"/>
      <c r="W381" s="1"/>
      <c r="X381" s="1"/>
      <c r="AB381" s="9"/>
      <c r="AC381" s="9"/>
      <c r="AD381" s="9"/>
      <c r="AF381" s="10"/>
      <c r="AG381" s="10"/>
      <c r="AH381" s="10"/>
      <c r="AI381" s="10"/>
    </row>
    <row r="382" spans="1:35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1"/>
      <c r="V382" s="1"/>
      <c r="W382" s="1"/>
      <c r="X382" s="1"/>
      <c r="AB382" s="9"/>
      <c r="AC382" s="9"/>
      <c r="AD382" s="9"/>
      <c r="AF382" s="10"/>
      <c r="AG382" s="10"/>
      <c r="AH382" s="10"/>
      <c r="AI382" s="10"/>
    </row>
    <row r="383" spans="1:35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1"/>
      <c r="V383" s="1"/>
      <c r="W383" s="1"/>
      <c r="X383" s="1"/>
      <c r="AB383" s="9"/>
      <c r="AC383" s="9"/>
      <c r="AD383" s="9"/>
      <c r="AF383" s="10"/>
      <c r="AG383" s="10"/>
      <c r="AH383" s="10"/>
      <c r="AI383" s="10"/>
    </row>
    <row r="384" spans="1:35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1"/>
      <c r="V384" s="1"/>
      <c r="W384" s="1"/>
      <c r="X384" s="1"/>
      <c r="AB384" s="9"/>
      <c r="AC384" s="9"/>
      <c r="AD384" s="9"/>
      <c r="AF384" s="10"/>
      <c r="AG384" s="10"/>
      <c r="AH384" s="10"/>
      <c r="AI384" s="10"/>
    </row>
    <row r="385" spans="1:35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1"/>
      <c r="V385" s="1"/>
      <c r="W385" s="1"/>
      <c r="X385" s="1"/>
      <c r="AB385" s="9"/>
      <c r="AC385" s="9"/>
      <c r="AD385" s="9"/>
      <c r="AF385" s="10"/>
      <c r="AG385" s="10"/>
      <c r="AH385" s="10"/>
      <c r="AI385" s="10"/>
    </row>
    <row r="386" spans="1:35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1"/>
      <c r="V386" s="1"/>
      <c r="W386" s="1"/>
      <c r="X386" s="1"/>
      <c r="AB386" s="9"/>
      <c r="AC386" s="9"/>
      <c r="AD386" s="9"/>
      <c r="AF386" s="10"/>
      <c r="AG386" s="10"/>
      <c r="AH386" s="10"/>
      <c r="AI386" s="10"/>
    </row>
    <row r="387" spans="1:35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1"/>
      <c r="V387" s="1"/>
      <c r="W387" s="1"/>
      <c r="X387" s="1"/>
      <c r="AB387" s="9"/>
      <c r="AC387" s="9"/>
      <c r="AD387" s="9"/>
      <c r="AF387" s="10"/>
      <c r="AG387" s="10"/>
      <c r="AH387" s="10"/>
      <c r="AI387" s="10"/>
    </row>
    <row r="388" spans="1:35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1"/>
      <c r="V388" s="1"/>
      <c r="W388" s="1"/>
      <c r="X388" s="1"/>
      <c r="AB388" s="9"/>
      <c r="AC388" s="9"/>
      <c r="AD388" s="9"/>
      <c r="AF388" s="10"/>
      <c r="AG388" s="10"/>
      <c r="AH388" s="10"/>
      <c r="AI388" s="10"/>
    </row>
    <row r="389" spans="1:35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1"/>
      <c r="V389" s="1"/>
      <c r="W389" s="1"/>
      <c r="X389" s="1"/>
      <c r="AB389" s="9"/>
      <c r="AC389" s="9"/>
      <c r="AD389" s="9"/>
      <c r="AF389" s="10"/>
      <c r="AG389" s="10"/>
      <c r="AH389" s="10"/>
      <c r="AI389" s="10"/>
    </row>
    <row r="390" spans="1:35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1"/>
      <c r="V390" s="1"/>
      <c r="W390" s="1"/>
      <c r="X390" s="1"/>
      <c r="AB390" s="9"/>
      <c r="AC390" s="9"/>
      <c r="AD390" s="9"/>
      <c r="AF390" s="10"/>
      <c r="AG390" s="10"/>
      <c r="AH390" s="10"/>
      <c r="AI390" s="10"/>
    </row>
    <row r="391" spans="1:35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1"/>
      <c r="V391" s="1"/>
      <c r="W391" s="1"/>
      <c r="X391" s="1"/>
      <c r="AB391" s="9"/>
      <c r="AC391" s="9"/>
      <c r="AD391" s="9"/>
      <c r="AF391" s="10"/>
      <c r="AG391" s="10"/>
      <c r="AH391" s="10"/>
      <c r="AI391" s="10"/>
    </row>
    <row r="392" spans="1:35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1"/>
      <c r="V392" s="1"/>
      <c r="W392" s="1"/>
      <c r="X392" s="1"/>
      <c r="AB392" s="9"/>
      <c r="AC392" s="9"/>
      <c r="AD392" s="9"/>
      <c r="AF392" s="10"/>
      <c r="AG392" s="10"/>
      <c r="AH392" s="10"/>
      <c r="AI392" s="10"/>
    </row>
    <row r="393" spans="1:35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1"/>
      <c r="V393" s="1"/>
      <c r="W393" s="1"/>
      <c r="X393" s="1"/>
      <c r="AB393" s="9"/>
      <c r="AC393" s="9"/>
      <c r="AD393" s="9"/>
      <c r="AF393" s="10"/>
      <c r="AG393" s="10"/>
      <c r="AH393" s="10"/>
      <c r="AI393" s="10"/>
    </row>
    <row r="394" spans="1:35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1"/>
      <c r="V394" s="1"/>
      <c r="W394" s="1"/>
      <c r="X394" s="1"/>
      <c r="AB394" s="9"/>
      <c r="AC394" s="9"/>
      <c r="AD394" s="9"/>
      <c r="AF394" s="10"/>
      <c r="AG394" s="10"/>
      <c r="AH394" s="10"/>
      <c r="AI394" s="10"/>
    </row>
    <row r="395" spans="1:35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1"/>
      <c r="V395" s="1"/>
      <c r="W395" s="1"/>
      <c r="X395" s="1"/>
      <c r="AB395" s="9"/>
      <c r="AC395" s="9"/>
      <c r="AD395" s="9"/>
      <c r="AF395" s="10"/>
      <c r="AG395" s="10"/>
      <c r="AH395" s="10"/>
      <c r="AI395" s="10"/>
    </row>
    <row r="396" spans="1:35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1"/>
      <c r="V396" s="1"/>
      <c r="W396" s="1"/>
      <c r="X396" s="1"/>
      <c r="AB396" s="9"/>
      <c r="AC396" s="9"/>
      <c r="AD396" s="9"/>
      <c r="AF396" s="10"/>
      <c r="AG396" s="10"/>
      <c r="AH396" s="10"/>
      <c r="AI396" s="10"/>
    </row>
    <row r="397" spans="1:35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1"/>
      <c r="V397" s="1"/>
      <c r="W397" s="1"/>
      <c r="X397" s="1"/>
      <c r="AB397" s="9"/>
      <c r="AC397" s="9"/>
      <c r="AD397" s="9"/>
      <c r="AF397" s="10"/>
      <c r="AG397" s="10"/>
      <c r="AH397" s="10"/>
      <c r="AI397" s="10"/>
    </row>
    <row r="398" spans="1:35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1"/>
      <c r="V398" s="1"/>
      <c r="W398" s="1"/>
      <c r="X398" s="1"/>
      <c r="AB398" s="9"/>
      <c r="AC398" s="9"/>
      <c r="AD398" s="9"/>
      <c r="AF398" s="10"/>
      <c r="AG398" s="10"/>
      <c r="AH398" s="10"/>
      <c r="AI398" s="10"/>
    </row>
    <row r="399" spans="1:35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1"/>
      <c r="V399" s="1"/>
      <c r="W399" s="1"/>
      <c r="X399" s="1"/>
      <c r="AB399" s="9"/>
      <c r="AC399" s="9"/>
      <c r="AD399" s="9"/>
      <c r="AF399" s="10"/>
      <c r="AG399" s="10"/>
      <c r="AH399" s="10"/>
      <c r="AI399" s="10"/>
    </row>
    <row r="400" spans="1:35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1"/>
      <c r="V400" s="1"/>
      <c r="W400" s="1"/>
      <c r="X400" s="1"/>
      <c r="AB400" s="9"/>
      <c r="AC400" s="9"/>
      <c r="AD400" s="9"/>
      <c r="AF400" s="10"/>
      <c r="AG400" s="10"/>
      <c r="AH400" s="10"/>
      <c r="AI400" s="10"/>
    </row>
    <row r="401" spans="1:35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1"/>
      <c r="V401" s="1"/>
      <c r="W401" s="1"/>
      <c r="X401" s="1"/>
      <c r="AB401" s="9"/>
      <c r="AC401" s="9"/>
      <c r="AD401" s="9"/>
      <c r="AF401" s="10"/>
      <c r="AG401" s="10"/>
      <c r="AH401" s="10"/>
      <c r="AI401" s="10"/>
    </row>
    <row r="402" spans="1:35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1"/>
      <c r="V402" s="1"/>
      <c r="W402" s="1"/>
      <c r="X402" s="1"/>
      <c r="AB402" s="9"/>
      <c r="AC402" s="9"/>
      <c r="AD402" s="9"/>
      <c r="AF402" s="10"/>
      <c r="AG402" s="10"/>
      <c r="AH402" s="10"/>
      <c r="AI402" s="10"/>
    </row>
    <row r="403" spans="1:35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1"/>
      <c r="V403" s="1"/>
      <c r="W403" s="1"/>
      <c r="X403" s="1"/>
      <c r="AB403" s="9"/>
      <c r="AC403" s="9"/>
      <c r="AD403" s="9"/>
      <c r="AF403" s="10"/>
      <c r="AG403" s="10"/>
      <c r="AH403" s="10"/>
      <c r="AI403" s="10"/>
    </row>
    <row r="404" spans="1:35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1"/>
      <c r="V404" s="1"/>
      <c r="W404" s="1"/>
      <c r="X404" s="1"/>
      <c r="AB404" s="9"/>
      <c r="AC404" s="9"/>
      <c r="AD404" s="9"/>
      <c r="AF404" s="10"/>
      <c r="AG404" s="10"/>
      <c r="AH404" s="10"/>
      <c r="AI404" s="10"/>
    </row>
    <row r="405" spans="1:35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1"/>
      <c r="V405" s="1"/>
      <c r="W405" s="1"/>
      <c r="X405" s="1"/>
      <c r="AB405" s="9"/>
      <c r="AC405" s="9"/>
      <c r="AD405" s="9"/>
      <c r="AF405" s="10"/>
      <c r="AG405" s="10"/>
      <c r="AH405" s="10"/>
      <c r="AI405" s="10"/>
    </row>
    <row r="406" spans="1:35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1"/>
      <c r="V406" s="1"/>
      <c r="W406" s="1"/>
      <c r="X406" s="1"/>
      <c r="AB406" s="9"/>
      <c r="AC406" s="9"/>
      <c r="AD406" s="9"/>
      <c r="AF406" s="10"/>
      <c r="AG406" s="10"/>
      <c r="AH406" s="10"/>
      <c r="AI406" s="10"/>
    </row>
    <row r="407" spans="1:35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1"/>
      <c r="V407" s="1"/>
      <c r="W407" s="1"/>
      <c r="X407" s="1"/>
      <c r="AB407" s="9"/>
      <c r="AC407" s="9"/>
      <c r="AD407" s="9"/>
      <c r="AF407" s="10"/>
      <c r="AG407" s="10"/>
      <c r="AH407" s="10"/>
      <c r="AI407" s="10"/>
    </row>
    <row r="408" spans="1:35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1"/>
      <c r="V408" s="1"/>
      <c r="W408" s="1"/>
      <c r="X408" s="1"/>
      <c r="AB408" s="9"/>
      <c r="AC408" s="9"/>
      <c r="AD408" s="9"/>
      <c r="AF408" s="10"/>
      <c r="AG408" s="10"/>
      <c r="AH408" s="10"/>
      <c r="AI408" s="10"/>
    </row>
    <row r="409" spans="1:35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1"/>
      <c r="V409" s="1"/>
      <c r="W409" s="1"/>
      <c r="X409" s="1"/>
      <c r="AB409" s="9"/>
      <c r="AC409" s="9"/>
      <c r="AD409" s="9"/>
      <c r="AF409" s="10"/>
      <c r="AG409" s="10"/>
      <c r="AH409" s="10"/>
      <c r="AI409" s="10"/>
    </row>
    <row r="410" spans="1:35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1"/>
      <c r="V410" s="1"/>
      <c r="W410" s="1"/>
      <c r="X410" s="1"/>
      <c r="AB410" s="9"/>
      <c r="AC410" s="9"/>
      <c r="AD410" s="9"/>
      <c r="AF410" s="10"/>
      <c r="AG410" s="10"/>
      <c r="AH410" s="10"/>
      <c r="AI410" s="10"/>
    </row>
    <row r="411" spans="1:35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1"/>
      <c r="V411" s="1"/>
      <c r="W411" s="1"/>
      <c r="X411" s="1"/>
      <c r="AB411" s="9"/>
      <c r="AC411" s="9"/>
      <c r="AD411" s="9"/>
      <c r="AF411" s="10"/>
      <c r="AG411" s="10"/>
      <c r="AH411" s="10"/>
      <c r="AI411" s="10"/>
    </row>
    <row r="412" spans="1:35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1"/>
      <c r="V412" s="1"/>
      <c r="W412" s="1"/>
      <c r="X412" s="1"/>
      <c r="AB412" s="9"/>
      <c r="AC412" s="9"/>
      <c r="AD412" s="9"/>
      <c r="AF412" s="10"/>
      <c r="AG412" s="10"/>
      <c r="AH412" s="10"/>
      <c r="AI412" s="10"/>
    </row>
    <row r="413" spans="1:35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1"/>
      <c r="V413" s="1"/>
      <c r="W413" s="1"/>
      <c r="X413" s="1"/>
      <c r="AB413" s="9"/>
      <c r="AC413" s="9"/>
      <c r="AD413" s="9"/>
      <c r="AF413" s="10"/>
      <c r="AG413" s="10"/>
      <c r="AH413" s="10"/>
      <c r="AI413" s="10"/>
    </row>
    <row r="414" spans="1:35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1"/>
      <c r="V414" s="1"/>
      <c r="W414" s="1"/>
      <c r="X414" s="1"/>
      <c r="AB414" s="9"/>
      <c r="AC414" s="9"/>
      <c r="AD414" s="9"/>
      <c r="AF414" s="10"/>
      <c r="AG414" s="10"/>
      <c r="AH414" s="10"/>
      <c r="AI414" s="10"/>
    </row>
    <row r="415" spans="1:35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1"/>
      <c r="V415" s="1"/>
      <c r="W415" s="1"/>
      <c r="X415" s="1"/>
      <c r="AB415" s="9"/>
      <c r="AC415" s="9"/>
      <c r="AD415" s="9"/>
      <c r="AF415" s="10"/>
      <c r="AG415" s="10"/>
      <c r="AH415" s="10"/>
      <c r="AI415" s="10"/>
    </row>
    <row r="416" spans="1:35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1"/>
      <c r="V416" s="1"/>
      <c r="W416" s="1"/>
      <c r="X416" s="1"/>
      <c r="AB416" s="9"/>
      <c r="AC416" s="9"/>
      <c r="AD416" s="9"/>
      <c r="AF416" s="10"/>
      <c r="AG416" s="10"/>
      <c r="AH416" s="10"/>
      <c r="AI416" s="10"/>
    </row>
    <row r="417" spans="1:35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1"/>
      <c r="V417" s="1"/>
      <c r="W417" s="1"/>
      <c r="X417" s="1"/>
      <c r="AB417" s="9"/>
      <c r="AC417" s="9"/>
      <c r="AD417" s="9"/>
      <c r="AF417" s="10"/>
      <c r="AG417" s="10"/>
      <c r="AH417" s="10"/>
      <c r="AI417" s="10"/>
    </row>
    <row r="418" spans="1:35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1"/>
      <c r="V418" s="1"/>
      <c r="W418" s="1"/>
      <c r="X418" s="1"/>
      <c r="AB418" s="9"/>
      <c r="AC418" s="9"/>
      <c r="AD418" s="9"/>
      <c r="AF418" s="10"/>
      <c r="AG418" s="10"/>
      <c r="AH418" s="10"/>
      <c r="AI418" s="10"/>
    </row>
    <row r="419" spans="1:35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1"/>
      <c r="V419" s="1"/>
      <c r="W419" s="1"/>
      <c r="X419" s="1"/>
      <c r="AB419" s="9"/>
      <c r="AC419" s="9"/>
      <c r="AD419" s="9"/>
      <c r="AF419" s="10"/>
      <c r="AG419" s="10"/>
      <c r="AH419" s="10"/>
      <c r="AI419" s="10"/>
    </row>
    <row r="420" spans="1:35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1"/>
      <c r="V420" s="1"/>
      <c r="W420" s="1"/>
      <c r="X420" s="1"/>
      <c r="AB420" s="9"/>
      <c r="AC420" s="9"/>
      <c r="AD420" s="9"/>
      <c r="AF420" s="10"/>
      <c r="AG420" s="10"/>
      <c r="AH420" s="10"/>
      <c r="AI420" s="10"/>
    </row>
    <row r="421" spans="1:35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1"/>
      <c r="V421" s="1"/>
      <c r="W421" s="1"/>
      <c r="X421" s="1"/>
      <c r="AB421" s="9"/>
      <c r="AC421" s="9"/>
      <c r="AD421" s="9"/>
      <c r="AF421" s="10"/>
      <c r="AG421" s="10"/>
      <c r="AH421" s="10"/>
      <c r="AI421" s="10"/>
    </row>
    <row r="422" spans="1:35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1"/>
      <c r="V422" s="1"/>
      <c r="W422" s="1"/>
      <c r="X422" s="1"/>
      <c r="AB422" s="9"/>
      <c r="AC422" s="9"/>
      <c r="AD422" s="9"/>
      <c r="AF422" s="10"/>
      <c r="AG422" s="10"/>
      <c r="AH422" s="10"/>
      <c r="AI422" s="10"/>
    </row>
    <row r="423" spans="1:35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1"/>
      <c r="V423" s="1"/>
      <c r="W423" s="1"/>
      <c r="X423" s="1"/>
      <c r="AB423" s="9"/>
      <c r="AC423" s="9"/>
      <c r="AD423" s="9"/>
      <c r="AF423" s="10"/>
      <c r="AG423" s="10"/>
      <c r="AH423" s="10"/>
      <c r="AI423" s="10"/>
    </row>
    <row r="424" spans="1:35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1"/>
      <c r="V424" s="1"/>
      <c r="W424" s="1"/>
      <c r="X424" s="1"/>
      <c r="AB424" s="9"/>
      <c r="AC424" s="9"/>
      <c r="AD424" s="9"/>
      <c r="AF424" s="10"/>
      <c r="AG424" s="10"/>
      <c r="AH424" s="10"/>
      <c r="AI424" s="10"/>
    </row>
    <row r="425" spans="1:35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1"/>
      <c r="V425" s="1"/>
      <c r="W425" s="1"/>
      <c r="X425" s="1"/>
      <c r="AB425" s="9"/>
      <c r="AC425" s="9"/>
      <c r="AD425" s="9"/>
      <c r="AF425" s="10"/>
      <c r="AG425" s="10"/>
      <c r="AH425" s="10"/>
      <c r="AI425" s="10"/>
    </row>
    <row r="426" spans="1:35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1"/>
      <c r="V426" s="1"/>
      <c r="W426" s="1"/>
      <c r="X426" s="1"/>
      <c r="AB426" s="9"/>
      <c r="AC426" s="9"/>
      <c r="AD426" s="9"/>
      <c r="AF426" s="10"/>
      <c r="AG426" s="10"/>
      <c r="AH426" s="10"/>
      <c r="AI426" s="10"/>
    </row>
    <row r="427" spans="1:35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1"/>
      <c r="V427" s="1"/>
      <c r="W427" s="1"/>
      <c r="X427" s="1"/>
      <c r="AB427" s="9"/>
      <c r="AC427" s="9"/>
      <c r="AD427" s="9"/>
      <c r="AF427" s="10"/>
      <c r="AG427" s="10"/>
      <c r="AH427" s="10"/>
      <c r="AI427" s="10"/>
    </row>
    <row r="428" spans="1:35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1"/>
      <c r="V428" s="1"/>
      <c r="W428" s="1"/>
      <c r="X428" s="1"/>
      <c r="AB428" s="9"/>
      <c r="AC428" s="9"/>
      <c r="AD428" s="9"/>
      <c r="AF428" s="10"/>
      <c r="AG428" s="10"/>
      <c r="AH428" s="10"/>
      <c r="AI428" s="10"/>
    </row>
    <row r="429" spans="1:35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1"/>
      <c r="V429" s="1"/>
      <c r="W429" s="1"/>
      <c r="X429" s="1"/>
      <c r="AB429" s="9"/>
      <c r="AC429" s="9"/>
      <c r="AD429" s="9"/>
      <c r="AF429" s="10"/>
      <c r="AG429" s="10"/>
      <c r="AH429" s="10"/>
      <c r="AI429" s="10"/>
    </row>
    <row r="430" spans="1:35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1"/>
      <c r="V430" s="1"/>
      <c r="W430" s="1"/>
      <c r="X430" s="1"/>
      <c r="AB430" s="9"/>
      <c r="AC430" s="9"/>
      <c r="AD430" s="9"/>
      <c r="AF430" s="10"/>
      <c r="AG430" s="10"/>
      <c r="AH430" s="10"/>
      <c r="AI430" s="10"/>
    </row>
    <row r="431" spans="1:35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1"/>
      <c r="V431" s="1"/>
      <c r="W431" s="1"/>
      <c r="X431" s="1"/>
      <c r="AB431" s="9"/>
      <c r="AC431" s="9"/>
      <c r="AD431" s="9"/>
      <c r="AF431" s="10"/>
      <c r="AG431" s="10"/>
      <c r="AH431" s="10"/>
      <c r="AI431" s="10"/>
    </row>
    <row r="432" spans="1:35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1"/>
      <c r="V432" s="1"/>
      <c r="W432" s="1"/>
      <c r="X432" s="1"/>
      <c r="AB432" s="9"/>
      <c r="AC432" s="9"/>
      <c r="AD432" s="9"/>
      <c r="AF432" s="10"/>
      <c r="AG432" s="10"/>
      <c r="AH432" s="10"/>
      <c r="AI432" s="10"/>
    </row>
    <row r="433" spans="1:35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1"/>
      <c r="V433" s="1"/>
      <c r="W433" s="1"/>
      <c r="X433" s="1"/>
      <c r="AB433" s="9"/>
      <c r="AC433" s="9"/>
      <c r="AD433" s="9"/>
      <c r="AF433" s="10"/>
      <c r="AG433" s="10"/>
      <c r="AH433" s="10"/>
      <c r="AI433" s="10"/>
    </row>
    <row r="434" spans="1:35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1"/>
      <c r="V434" s="1"/>
      <c r="W434" s="1"/>
      <c r="X434" s="1"/>
      <c r="AB434" s="9"/>
      <c r="AC434" s="9"/>
      <c r="AD434" s="9"/>
      <c r="AF434" s="10"/>
      <c r="AG434" s="10"/>
      <c r="AH434" s="10"/>
      <c r="AI434" s="10"/>
    </row>
    <row r="435" spans="1:35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1"/>
      <c r="V435" s="1"/>
      <c r="W435" s="1"/>
      <c r="X435" s="1"/>
      <c r="AB435" s="9"/>
      <c r="AC435" s="9"/>
      <c r="AD435" s="9"/>
      <c r="AF435" s="10"/>
      <c r="AG435" s="10"/>
      <c r="AH435" s="10"/>
      <c r="AI435" s="10"/>
    </row>
    <row r="436" spans="1:35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1"/>
      <c r="V436" s="1"/>
      <c r="W436" s="1"/>
      <c r="X436" s="1"/>
      <c r="AB436" s="9"/>
      <c r="AC436" s="9"/>
      <c r="AD436" s="9"/>
      <c r="AF436" s="10"/>
      <c r="AG436" s="10"/>
      <c r="AH436" s="10"/>
      <c r="AI436" s="10"/>
    </row>
    <row r="437" spans="1:35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1"/>
      <c r="V437" s="1"/>
      <c r="W437" s="1"/>
      <c r="X437" s="1"/>
      <c r="AB437" s="9"/>
      <c r="AC437" s="9"/>
      <c r="AD437" s="9"/>
      <c r="AF437" s="10"/>
      <c r="AG437" s="10"/>
      <c r="AH437" s="10"/>
      <c r="AI437" s="10"/>
    </row>
    <row r="438" spans="1:35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1"/>
      <c r="V438" s="1"/>
      <c r="W438" s="1"/>
      <c r="X438" s="1"/>
      <c r="AB438" s="9"/>
      <c r="AC438" s="9"/>
      <c r="AD438" s="9"/>
      <c r="AF438" s="10"/>
      <c r="AG438" s="10"/>
      <c r="AH438" s="10"/>
      <c r="AI438" s="10"/>
    </row>
    <row r="439" spans="1:35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1"/>
      <c r="V439" s="1"/>
      <c r="W439" s="1"/>
      <c r="X439" s="1"/>
      <c r="AB439" s="9"/>
      <c r="AC439" s="9"/>
      <c r="AD439" s="9"/>
      <c r="AF439" s="10"/>
      <c r="AG439" s="10"/>
      <c r="AH439" s="10"/>
      <c r="AI439" s="10"/>
    </row>
    <row r="440" spans="1:35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1"/>
      <c r="V440" s="1"/>
      <c r="W440" s="1"/>
      <c r="X440" s="1"/>
      <c r="AB440" s="9"/>
      <c r="AC440" s="9"/>
      <c r="AD440" s="9"/>
      <c r="AF440" s="10"/>
      <c r="AG440" s="10"/>
      <c r="AH440" s="10"/>
      <c r="AI440" s="10"/>
    </row>
    <row r="441" spans="1:35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1"/>
      <c r="V441" s="1"/>
      <c r="W441" s="1"/>
      <c r="X441" s="1"/>
      <c r="AB441" s="9"/>
      <c r="AC441" s="9"/>
      <c r="AD441" s="9"/>
      <c r="AF441" s="10"/>
      <c r="AG441" s="10"/>
      <c r="AH441" s="10"/>
      <c r="AI441" s="10"/>
    </row>
    <row r="442" spans="1:35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1"/>
      <c r="V442" s="1"/>
      <c r="W442" s="1"/>
      <c r="X442" s="1"/>
      <c r="AB442" s="9"/>
      <c r="AC442" s="9"/>
      <c r="AD442" s="9"/>
      <c r="AF442" s="10"/>
      <c r="AG442" s="10"/>
      <c r="AH442" s="10"/>
      <c r="AI442" s="10"/>
    </row>
    <row r="443" spans="1:35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1"/>
      <c r="V443" s="1"/>
      <c r="W443" s="1"/>
      <c r="X443" s="1"/>
      <c r="AB443" s="9"/>
      <c r="AC443" s="9"/>
      <c r="AD443" s="9"/>
      <c r="AF443" s="10"/>
      <c r="AG443" s="10"/>
      <c r="AH443" s="10"/>
      <c r="AI443" s="10"/>
    </row>
    <row r="444" spans="1:35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1"/>
      <c r="V444" s="1"/>
      <c r="W444" s="1"/>
      <c r="X444" s="1"/>
      <c r="AB444" s="9"/>
      <c r="AC444" s="9"/>
      <c r="AD444" s="9"/>
      <c r="AF444" s="10"/>
      <c r="AG444" s="10"/>
      <c r="AH444" s="10"/>
      <c r="AI444" s="10"/>
    </row>
    <row r="445" spans="1:35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1"/>
      <c r="V445" s="1"/>
      <c r="W445" s="1"/>
      <c r="X445" s="1"/>
      <c r="AB445" s="9"/>
      <c r="AC445" s="9"/>
      <c r="AD445" s="9"/>
      <c r="AF445" s="10"/>
      <c r="AG445" s="10"/>
      <c r="AH445" s="10"/>
      <c r="AI445" s="10"/>
    </row>
    <row r="446" spans="1:35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1"/>
      <c r="V446" s="1"/>
      <c r="W446" s="1"/>
      <c r="X446" s="1"/>
      <c r="AB446" s="9"/>
      <c r="AC446" s="9"/>
      <c r="AD446" s="9"/>
      <c r="AF446" s="10"/>
      <c r="AG446" s="10"/>
      <c r="AH446" s="10"/>
      <c r="AI446" s="10"/>
    </row>
    <row r="447" spans="1:35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1"/>
      <c r="V447" s="1"/>
      <c r="W447" s="1"/>
      <c r="X447" s="1"/>
      <c r="AB447" s="9"/>
      <c r="AC447" s="9"/>
      <c r="AD447" s="9"/>
      <c r="AF447" s="10"/>
      <c r="AG447" s="10"/>
      <c r="AH447" s="10"/>
      <c r="AI447" s="10"/>
    </row>
    <row r="448" spans="1:35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1"/>
      <c r="V448" s="1"/>
      <c r="W448" s="1"/>
      <c r="X448" s="1"/>
      <c r="AB448" s="9"/>
      <c r="AC448" s="9"/>
      <c r="AD448" s="9"/>
      <c r="AF448" s="10"/>
      <c r="AG448" s="10"/>
      <c r="AH448" s="10"/>
      <c r="AI448" s="10"/>
    </row>
    <row r="449" spans="1:35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1"/>
      <c r="V449" s="1"/>
      <c r="W449" s="1"/>
      <c r="X449" s="1"/>
      <c r="AB449" s="9"/>
      <c r="AC449" s="9"/>
      <c r="AD449" s="9"/>
      <c r="AF449" s="10"/>
      <c r="AG449" s="10"/>
      <c r="AH449" s="10"/>
      <c r="AI449" s="10"/>
    </row>
    <row r="450" spans="1:35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1"/>
      <c r="V450" s="1"/>
      <c r="W450" s="1"/>
      <c r="X450" s="1"/>
      <c r="AB450" s="9"/>
      <c r="AC450" s="9"/>
      <c r="AD450" s="9"/>
      <c r="AF450" s="10"/>
      <c r="AG450" s="10"/>
      <c r="AH450" s="10"/>
      <c r="AI450" s="10"/>
    </row>
    <row r="451" spans="1:35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1"/>
      <c r="V451" s="1"/>
      <c r="W451" s="1"/>
      <c r="X451" s="1"/>
      <c r="AB451" s="9"/>
      <c r="AC451" s="9"/>
      <c r="AD451" s="9"/>
      <c r="AF451" s="10"/>
      <c r="AG451" s="10"/>
      <c r="AH451" s="10"/>
      <c r="AI451" s="10"/>
    </row>
    <row r="452" spans="1:35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1"/>
      <c r="V452" s="1"/>
      <c r="W452" s="1"/>
      <c r="X452" s="1"/>
      <c r="AB452" s="9"/>
      <c r="AC452" s="9"/>
      <c r="AD452" s="9"/>
      <c r="AF452" s="10"/>
      <c r="AG452" s="10"/>
      <c r="AH452" s="10"/>
      <c r="AI452" s="10"/>
    </row>
    <row r="453" spans="1:35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1"/>
      <c r="V453" s="1"/>
      <c r="W453" s="1"/>
      <c r="X453" s="1"/>
      <c r="AB453" s="9"/>
      <c r="AC453" s="9"/>
      <c r="AD453" s="9"/>
      <c r="AF453" s="10"/>
      <c r="AG453" s="10"/>
      <c r="AH453" s="10"/>
      <c r="AI453" s="10"/>
    </row>
    <row r="454" spans="1:35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1"/>
      <c r="V454" s="1"/>
      <c r="W454" s="1"/>
      <c r="X454" s="1"/>
      <c r="AB454" s="9"/>
      <c r="AC454" s="9"/>
      <c r="AD454" s="9"/>
      <c r="AF454" s="10"/>
      <c r="AG454" s="10"/>
      <c r="AH454" s="10"/>
      <c r="AI454" s="10"/>
    </row>
    <row r="455" spans="1:35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1"/>
      <c r="V455" s="1"/>
      <c r="W455" s="1"/>
      <c r="X455" s="1"/>
      <c r="AB455" s="9"/>
      <c r="AC455" s="9"/>
      <c r="AD455" s="9"/>
      <c r="AF455" s="10"/>
      <c r="AG455" s="10"/>
      <c r="AH455" s="10"/>
      <c r="AI455" s="10"/>
    </row>
    <row r="456" spans="1:35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1"/>
      <c r="V456" s="1"/>
      <c r="W456" s="1"/>
      <c r="X456" s="1"/>
      <c r="AB456" s="9"/>
      <c r="AC456" s="9"/>
      <c r="AD456" s="9"/>
      <c r="AF456" s="10"/>
      <c r="AG456" s="10"/>
      <c r="AH456" s="10"/>
      <c r="AI456" s="10"/>
    </row>
    <row r="457" spans="1:35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1"/>
      <c r="V457" s="1"/>
      <c r="W457" s="1"/>
      <c r="X457" s="1"/>
      <c r="AB457" s="9"/>
      <c r="AC457" s="9"/>
      <c r="AD457" s="9"/>
      <c r="AF457" s="10"/>
      <c r="AG457" s="10"/>
      <c r="AH457" s="10"/>
      <c r="AI457" s="10"/>
    </row>
    <row r="458" spans="1:35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1"/>
      <c r="V458" s="1"/>
      <c r="W458" s="1"/>
      <c r="X458" s="1"/>
      <c r="AB458" s="9"/>
      <c r="AC458" s="9"/>
      <c r="AD458" s="9"/>
      <c r="AF458" s="10"/>
      <c r="AG458" s="10"/>
      <c r="AH458" s="10"/>
      <c r="AI458" s="10"/>
    </row>
    <row r="459" spans="1:35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1"/>
      <c r="V459" s="1"/>
      <c r="W459" s="1"/>
      <c r="X459" s="1"/>
      <c r="AB459" s="9"/>
      <c r="AC459" s="9"/>
      <c r="AD459" s="9"/>
      <c r="AF459" s="10"/>
      <c r="AG459" s="10"/>
      <c r="AH459" s="10"/>
      <c r="AI459" s="10"/>
    </row>
    <row r="460" spans="1:35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1"/>
      <c r="V460" s="1"/>
      <c r="W460" s="1"/>
      <c r="X460" s="1"/>
      <c r="AB460" s="9"/>
      <c r="AC460" s="9"/>
      <c r="AD460" s="9"/>
      <c r="AF460" s="10"/>
      <c r="AG460" s="10"/>
      <c r="AH460" s="10"/>
      <c r="AI460" s="10"/>
    </row>
    <row r="461" spans="1:35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1"/>
      <c r="V461" s="1"/>
      <c r="W461" s="1"/>
      <c r="X461" s="1"/>
      <c r="AB461" s="9"/>
      <c r="AC461" s="9"/>
      <c r="AD461" s="9"/>
      <c r="AF461" s="10"/>
      <c r="AG461" s="10"/>
      <c r="AH461" s="10"/>
      <c r="AI461" s="10"/>
    </row>
    <row r="462" spans="1:35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1"/>
      <c r="V462" s="1"/>
      <c r="W462" s="1"/>
      <c r="X462" s="1"/>
      <c r="AB462" s="9"/>
      <c r="AC462" s="9"/>
      <c r="AD462" s="9"/>
      <c r="AF462" s="10"/>
      <c r="AG462" s="10"/>
      <c r="AH462" s="10"/>
      <c r="AI462" s="10"/>
    </row>
    <row r="463" spans="1:35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1"/>
      <c r="V463" s="1"/>
      <c r="W463" s="1"/>
      <c r="X463" s="1"/>
      <c r="AB463" s="9"/>
      <c r="AC463" s="9"/>
      <c r="AD463" s="9"/>
      <c r="AF463" s="10"/>
      <c r="AG463" s="10"/>
      <c r="AH463" s="10"/>
      <c r="AI463" s="10"/>
    </row>
    <row r="464" spans="1:35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1"/>
      <c r="V464" s="1"/>
      <c r="W464" s="1"/>
      <c r="X464" s="1"/>
      <c r="AB464" s="9"/>
      <c r="AC464" s="9"/>
      <c r="AD464" s="9"/>
      <c r="AF464" s="10"/>
      <c r="AG464" s="10"/>
      <c r="AH464" s="10"/>
      <c r="AI464" s="10"/>
    </row>
    <row r="465" spans="1:35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1"/>
      <c r="V465" s="1"/>
      <c r="W465" s="1"/>
      <c r="X465" s="1"/>
      <c r="AB465" s="9"/>
      <c r="AC465" s="9"/>
      <c r="AD465" s="9"/>
      <c r="AF465" s="10"/>
      <c r="AG465" s="10"/>
      <c r="AH465" s="10"/>
      <c r="AI465" s="10"/>
    </row>
    <row r="466" spans="1:35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1"/>
      <c r="V466" s="1"/>
      <c r="W466" s="1"/>
      <c r="X466" s="1"/>
      <c r="AB466" s="9"/>
      <c r="AC466" s="9"/>
      <c r="AD466" s="9"/>
      <c r="AF466" s="10"/>
      <c r="AG466" s="10"/>
      <c r="AH466" s="10"/>
      <c r="AI466" s="10"/>
    </row>
    <row r="467" spans="1:35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1"/>
      <c r="V467" s="1"/>
      <c r="W467" s="1"/>
      <c r="X467" s="1"/>
      <c r="AB467" s="9"/>
      <c r="AC467" s="9"/>
      <c r="AD467" s="9"/>
      <c r="AF467" s="10"/>
      <c r="AG467" s="10"/>
      <c r="AH467" s="10"/>
      <c r="AI467" s="10"/>
    </row>
    <row r="468" spans="1:35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1"/>
      <c r="V468" s="1"/>
      <c r="W468" s="1"/>
      <c r="X468" s="1"/>
      <c r="AB468" s="9"/>
      <c r="AC468" s="9"/>
      <c r="AD468" s="9"/>
      <c r="AF468" s="10"/>
      <c r="AG468" s="10"/>
      <c r="AH468" s="10"/>
      <c r="AI468" s="10"/>
    </row>
    <row r="469" spans="1:35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1"/>
      <c r="V469" s="1"/>
      <c r="W469" s="1"/>
      <c r="X469" s="1"/>
      <c r="AB469" s="9"/>
      <c r="AC469" s="9"/>
      <c r="AD469" s="9"/>
      <c r="AF469" s="10"/>
      <c r="AG469" s="10"/>
      <c r="AH469" s="10"/>
      <c r="AI469" s="10"/>
    </row>
    <row r="470" spans="1:35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1"/>
      <c r="V470" s="1"/>
      <c r="W470" s="1"/>
      <c r="X470" s="1"/>
      <c r="AB470" s="9"/>
      <c r="AC470" s="9"/>
      <c r="AD470" s="9"/>
      <c r="AF470" s="10"/>
      <c r="AG470" s="10"/>
      <c r="AH470" s="10"/>
      <c r="AI470" s="10"/>
    </row>
    <row r="471" spans="1:35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1"/>
      <c r="V471" s="1"/>
      <c r="W471" s="1"/>
      <c r="X471" s="1"/>
      <c r="AB471" s="9"/>
      <c r="AC471" s="9"/>
      <c r="AD471" s="9"/>
      <c r="AF471" s="10"/>
      <c r="AG471" s="10"/>
      <c r="AH471" s="10"/>
      <c r="AI471" s="10"/>
    </row>
    <row r="472" spans="1:35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1"/>
      <c r="V472" s="1"/>
      <c r="W472" s="1"/>
      <c r="X472" s="1"/>
      <c r="AB472" s="9"/>
      <c r="AC472" s="9"/>
      <c r="AD472" s="9"/>
      <c r="AF472" s="10"/>
      <c r="AG472" s="10"/>
      <c r="AH472" s="10"/>
      <c r="AI472" s="10"/>
    </row>
    <row r="473" spans="1:35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1"/>
      <c r="V473" s="1"/>
      <c r="W473" s="1"/>
      <c r="X473" s="1"/>
      <c r="AB473" s="9"/>
      <c r="AC473" s="9"/>
      <c r="AD473" s="9"/>
      <c r="AF473" s="10"/>
      <c r="AG473" s="10"/>
      <c r="AH473" s="10"/>
      <c r="AI473" s="10"/>
    </row>
    <row r="474" spans="1:35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1"/>
      <c r="V474" s="1"/>
      <c r="W474" s="1"/>
      <c r="X474" s="1"/>
      <c r="AB474" s="9"/>
      <c r="AC474" s="9"/>
      <c r="AD474" s="9"/>
      <c r="AF474" s="10"/>
      <c r="AG474" s="10"/>
      <c r="AH474" s="10"/>
      <c r="AI474" s="10"/>
    </row>
    <row r="475" spans="1:35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1"/>
      <c r="V475" s="1"/>
      <c r="W475" s="1"/>
      <c r="X475" s="1"/>
      <c r="AB475" s="9"/>
      <c r="AC475" s="9"/>
      <c r="AD475" s="9"/>
      <c r="AF475" s="10"/>
      <c r="AG475" s="10"/>
      <c r="AH475" s="10"/>
      <c r="AI475" s="10"/>
    </row>
    <row r="476" spans="1:35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1"/>
      <c r="V476" s="1"/>
      <c r="W476" s="1"/>
      <c r="X476" s="1"/>
      <c r="AB476" s="9"/>
      <c r="AC476" s="9"/>
      <c r="AD476" s="9"/>
      <c r="AF476" s="10"/>
      <c r="AG476" s="10"/>
      <c r="AH476" s="10"/>
      <c r="AI476" s="10"/>
    </row>
    <row r="477" spans="1:35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1"/>
      <c r="V477" s="1"/>
      <c r="W477" s="1"/>
      <c r="X477" s="1"/>
      <c r="AB477" s="9"/>
      <c r="AC477" s="9"/>
      <c r="AD477" s="9"/>
      <c r="AF477" s="10"/>
      <c r="AG477" s="10"/>
      <c r="AH477" s="10"/>
      <c r="AI477" s="10"/>
    </row>
    <row r="478" spans="1:35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1"/>
      <c r="V478" s="1"/>
      <c r="W478" s="1"/>
      <c r="X478" s="1"/>
      <c r="AB478" s="9"/>
      <c r="AC478" s="9"/>
      <c r="AD478" s="9"/>
      <c r="AF478" s="10"/>
      <c r="AG478" s="10"/>
      <c r="AH478" s="10"/>
      <c r="AI478" s="10"/>
    </row>
    <row r="479" spans="1:35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1"/>
      <c r="V479" s="1"/>
      <c r="W479" s="1"/>
      <c r="X479" s="1"/>
      <c r="AB479" s="9"/>
      <c r="AC479" s="9"/>
      <c r="AD479" s="9"/>
      <c r="AF479" s="10"/>
      <c r="AG479" s="10"/>
      <c r="AH479" s="10"/>
      <c r="AI479" s="10"/>
    </row>
    <row r="480" spans="1:35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1"/>
      <c r="V480" s="1"/>
      <c r="W480" s="1"/>
      <c r="X480" s="1"/>
      <c r="AB480" s="9"/>
      <c r="AC480" s="9"/>
      <c r="AD480" s="9"/>
      <c r="AF480" s="10"/>
      <c r="AG480" s="10"/>
      <c r="AH480" s="10"/>
      <c r="AI480" s="10"/>
    </row>
    <row r="481" spans="1:35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1"/>
      <c r="V481" s="1"/>
      <c r="W481" s="1"/>
      <c r="X481" s="1"/>
      <c r="AB481" s="9"/>
      <c r="AC481" s="9"/>
      <c r="AD481" s="9"/>
      <c r="AF481" s="10"/>
      <c r="AG481" s="10"/>
      <c r="AH481" s="10"/>
      <c r="AI481" s="10"/>
    </row>
    <row r="482" spans="1:35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1"/>
      <c r="V482" s="1"/>
      <c r="W482" s="1"/>
      <c r="X482" s="1"/>
      <c r="AB482" s="9"/>
      <c r="AC482" s="9"/>
      <c r="AD482" s="9"/>
      <c r="AF482" s="10"/>
      <c r="AG482" s="10"/>
      <c r="AH482" s="10"/>
      <c r="AI482" s="10"/>
    </row>
    <row r="483" spans="1:35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1"/>
      <c r="V483" s="1"/>
      <c r="W483" s="1"/>
      <c r="X483" s="1"/>
      <c r="AB483" s="9"/>
      <c r="AC483" s="9"/>
      <c r="AD483" s="9"/>
      <c r="AF483" s="10"/>
      <c r="AG483" s="10"/>
      <c r="AH483" s="10"/>
      <c r="AI483" s="10"/>
    </row>
    <row r="484" spans="1:35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1"/>
      <c r="V484" s="1"/>
      <c r="W484" s="1"/>
      <c r="X484" s="1"/>
      <c r="AB484" s="9"/>
      <c r="AC484" s="9"/>
      <c r="AD484" s="9"/>
      <c r="AF484" s="10"/>
      <c r="AG484" s="10"/>
      <c r="AH484" s="10"/>
      <c r="AI484" s="10"/>
    </row>
    <row r="485" spans="1:35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1"/>
      <c r="V485" s="1"/>
      <c r="W485" s="1"/>
      <c r="X485" s="1"/>
      <c r="AB485" s="9"/>
      <c r="AC485" s="9"/>
      <c r="AD485" s="9"/>
      <c r="AF485" s="10"/>
      <c r="AG485" s="10"/>
      <c r="AH485" s="10"/>
      <c r="AI485" s="10"/>
    </row>
    <row r="486" spans="1:35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1"/>
      <c r="V486" s="1"/>
      <c r="W486" s="1"/>
      <c r="X486" s="1"/>
      <c r="AB486" s="9"/>
      <c r="AC486" s="9"/>
      <c r="AD486" s="9"/>
      <c r="AF486" s="10"/>
      <c r="AG486" s="10"/>
      <c r="AH486" s="10"/>
      <c r="AI486" s="10"/>
    </row>
    <row r="487" spans="1:35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1"/>
      <c r="V487" s="1"/>
      <c r="W487" s="1"/>
      <c r="X487" s="1"/>
      <c r="AB487" s="9"/>
      <c r="AC487" s="9"/>
      <c r="AD487" s="9"/>
      <c r="AF487" s="10"/>
      <c r="AG487" s="10"/>
      <c r="AH487" s="10"/>
      <c r="AI487" s="10"/>
    </row>
    <row r="488" spans="1:35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1"/>
      <c r="V488" s="1"/>
      <c r="W488" s="1"/>
      <c r="X488" s="1"/>
      <c r="AB488" s="9"/>
      <c r="AC488" s="9"/>
      <c r="AD488" s="9"/>
      <c r="AF488" s="10"/>
      <c r="AG488" s="10"/>
      <c r="AH488" s="10"/>
      <c r="AI488" s="10"/>
    </row>
    <row r="489" spans="1:35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1"/>
      <c r="V489" s="1"/>
      <c r="W489" s="1"/>
      <c r="X489" s="1"/>
      <c r="AB489" s="9"/>
      <c r="AC489" s="9"/>
      <c r="AD489" s="9"/>
      <c r="AF489" s="10"/>
      <c r="AG489" s="10"/>
      <c r="AH489" s="10"/>
      <c r="AI489" s="10"/>
    </row>
    <row r="490" spans="1:35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1"/>
      <c r="V490" s="1"/>
      <c r="W490" s="1"/>
      <c r="X490" s="1"/>
      <c r="AB490" s="9"/>
      <c r="AC490" s="9"/>
      <c r="AD490" s="9"/>
      <c r="AF490" s="10"/>
      <c r="AG490" s="10"/>
      <c r="AH490" s="10"/>
      <c r="AI490" s="10"/>
    </row>
    <row r="491" spans="1:35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1"/>
      <c r="V491" s="1"/>
      <c r="W491" s="1"/>
      <c r="X491" s="1"/>
      <c r="AB491" s="9"/>
      <c r="AC491" s="9"/>
      <c r="AD491" s="9"/>
      <c r="AF491" s="10"/>
      <c r="AG491" s="10"/>
      <c r="AH491" s="10"/>
      <c r="AI491" s="10"/>
    </row>
    <row r="492" spans="1:35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1"/>
      <c r="V492" s="1"/>
      <c r="W492" s="1"/>
      <c r="X492" s="1"/>
      <c r="AB492" s="9"/>
      <c r="AC492" s="9"/>
      <c r="AD492" s="9"/>
      <c r="AF492" s="10"/>
      <c r="AG492" s="10"/>
      <c r="AH492" s="10"/>
      <c r="AI492" s="10"/>
    </row>
    <row r="493" spans="1:35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1"/>
      <c r="V493" s="1"/>
      <c r="W493" s="1"/>
      <c r="X493" s="1"/>
      <c r="AB493" s="9"/>
      <c r="AC493" s="9"/>
      <c r="AD493" s="9"/>
      <c r="AF493" s="10"/>
      <c r="AG493" s="10"/>
      <c r="AH493" s="10"/>
      <c r="AI493" s="10"/>
    </row>
    <row r="494" spans="1:35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1"/>
      <c r="V494" s="1"/>
      <c r="W494" s="1"/>
      <c r="X494" s="1"/>
      <c r="AB494" s="9"/>
      <c r="AC494" s="9"/>
      <c r="AD494" s="9"/>
      <c r="AF494" s="10"/>
      <c r="AG494" s="10"/>
      <c r="AH494" s="10"/>
      <c r="AI494" s="10"/>
    </row>
    <row r="495" spans="1:35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1"/>
      <c r="V495" s="1"/>
      <c r="W495" s="1"/>
      <c r="X495" s="1"/>
      <c r="AB495" s="9"/>
      <c r="AC495" s="9"/>
      <c r="AD495" s="9"/>
      <c r="AF495" s="10"/>
      <c r="AG495" s="10"/>
      <c r="AH495" s="10"/>
      <c r="AI495" s="10"/>
    </row>
    <row r="496" spans="1:35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1"/>
      <c r="V496" s="1"/>
      <c r="W496" s="1"/>
      <c r="X496" s="1"/>
      <c r="AB496" s="9"/>
      <c r="AC496" s="9"/>
      <c r="AD496" s="9"/>
      <c r="AF496" s="10"/>
      <c r="AG496" s="10"/>
      <c r="AH496" s="10"/>
      <c r="AI496" s="10"/>
    </row>
    <row r="497" spans="1:35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1"/>
      <c r="V497" s="1"/>
      <c r="W497" s="1"/>
      <c r="X497" s="1"/>
      <c r="AB497" s="9"/>
      <c r="AC497" s="9"/>
      <c r="AD497" s="9"/>
      <c r="AF497" s="10"/>
      <c r="AG497" s="10"/>
      <c r="AH497" s="10"/>
      <c r="AI497" s="10"/>
    </row>
    <row r="498" spans="1:35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1"/>
      <c r="V498" s="1"/>
      <c r="W498" s="1"/>
      <c r="X498" s="1"/>
      <c r="AB498" s="9"/>
      <c r="AC498" s="9"/>
      <c r="AD498" s="9"/>
      <c r="AF498" s="10"/>
      <c r="AG498" s="10"/>
      <c r="AH498" s="10"/>
      <c r="AI498" s="10"/>
    </row>
    <row r="499" spans="1:35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1"/>
      <c r="V499" s="1"/>
      <c r="W499" s="1"/>
      <c r="X499" s="1"/>
      <c r="AB499" s="9"/>
      <c r="AC499" s="9"/>
      <c r="AD499" s="9"/>
      <c r="AF499" s="10"/>
      <c r="AG499" s="10"/>
      <c r="AH499" s="10"/>
      <c r="AI499" s="10"/>
    </row>
    <row r="500" spans="1:35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1"/>
      <c r="V500" s="1"/>
      <c r="W500" s="1"/>
      <c r="X500" s="1"/>
      <c r="AB500" s="9"/>
      <c r="AC500" s="9"/>
      <c r="AD500" s="9"/>
      <c r="AF500" s="10"/>
      <c r="AG500" s="10"/>
      <c r="AH500" s="10"/>
      <c r="AI500" s="10"/>
    </row>
    <row r="501" spans="1:35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1"/>
      <c r="V501" s="1"/>
      <c r="W501" s="1"/>
      <c r="X501" s="1"/>
      <c r="AB501" s="9"/>
      <c r="AC501" s="9"/>
      <c r="AD501" s="9"/>
      <c r="AF501" s="10"/>
      <c r="AG501" s="10"/>
      <c r="AH501" s="10"/>
      <c r="AI501" s="10"/>
    </row>
    <row r="502" spans="1:35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1"/>
      <c r="V502" s="1"/>
      <c r="W502" s="1"/>
      <c r="X502" s="1"/>
      <c r="AB502" s="9"/>
      <c r="AC502" s="9"/>
      <c r="AD502" s="9"/>
      <c r="AF502" s="10"/>
      <c r="AG502" s="10"/>
      <c r="AH502" s="10"/>
      <c r="AI502" s="10"/>
    </row>
    <row r="503" spans="1:35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1"/>
      <c r="V503" s="1"/>
      <c r="W503" s="1"/>
      <c r="X503" s="1"/>
      <c r="AB503" s="9"/>
      <c r="AC503" s="9"/>
      <c r="AD503" s="9"/>
      <c r="AF503" s="10"/>
      <c r="AG503" s="10"/>
      <c r="AH503" s="10"/>
      <c r="AI503" s="10"/>
    </row>
    <row r="504" spans="1:35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1"/>
      <c r="V504" s="1"/>
      <c r="W504" s="1"/>
      <c r="X504" s="1"/>
      <c r="AB504" s="9"/>
      <c r="AC504" s="9"/>
      <c r="AD504" s="9"/>
      <c r="AF504" s="10"/>
      <c r="AG504" s="10"/>
      <c r="AH504" s="10"/>
      <c r="AI504" s="10"/>
    </row>
    <row r="505" spans="1:35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1"/>
      <c r="V505" s="1"/>
      <c r="W505" s="1"/>
      <c r="X505" s="1"/>
      <c r="AB505" s="9"/>
      <c r="AC505" s="9"/>
      <c r="AD505" s="9"/>
      <c r="AF505" s="10"/>
      <c r="AG505" s="10"/>
      <c r="AH505" s="10"/>
      <c r="AI505" s="10"/>
    </row>
    <row r="506" spans="1:35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1"/>
      <c r="V506" s="1"/>
      <c r="W506" s="1"/>
      <c r="X506" s="1"/>
      <c r="AB506" s="9"/>
      <c r="AC506" s="9"/>
      <c r="AD506" s="9"/>
      <c r="AF506" s="10"/>
      <c r="AG506" s="10"/>
      <c r="AH506" s="10"/>
      <c r="AI506" s="10"/>
    </row>
    <row r="507" spans="1:35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1"/>
      <c r="V507" s="1"/>
      <c r="W507" s="1"/>
      <c r="X507" s="1"/>
      <c r="AB507" s="9"/>
      <c r="AC507" s="9"/>
      <c r="AD507" s="9"/>
      <c r="AF507" s="10"/>
      <c r="AG507" s="10"/>
      <c r="AH507" s="10"/>
      <c r="AI507" s="10"/>
    </row>
    <row r="508" spans="1:35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1"/>
      <c r="V508" s="1"/>
      <c r="W508" s="1"/>
      <c r="X508" s="1"/>
      <c r="AB508" s="9"/>
      <c r="AC508" s="9"/>
      <c r="AD508" s="9"/>
      <c r="AF508" s="10"/>
      <c r="AG508" s="10"/>
      <c r="AH508" s="10"/>
      <c r="AI508" s="10"/>
    </row>
    <row r="509" spans="1:35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1"/>
      <c r="V509" s="1"/>
      <c r="W509" s="1"/>
      <c r="X509" s="1"/>
      <c r="AB509" s="9"/>
      <c r="AC509" s="9"/>
      <c r="AD509" s="9"/>
      <c r="AF509" s="10"/>
      <c r="AG509" s="10"/>
      <c r="AH509" s="10"/>
      <c r="AI509" s="10"/>
    </row>
    <row r="510" spans="1:35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1"/>
      <c r="V510" s="1"/>
      <c r="W510" s="1"/>
      <c r="X510" s="1"/>
      <c r="AB510" s="9"/>
      <c r="AC510" s="9"/>
      <c r="AD510" s="9"/>
      <c r="AF510" s="10"/>
      <c r="AG510" s="10"/>
      <c r="AH510" s="10"/>
      <c r="AI510" s="10"/>
    </row>
    <row r="511" spans="1:35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1"/>
      <c r="V511" s="1"/>
      <c r="W511" s="1"/>
      <c r="X511" s="1"/>
      <c r="AB511" s="9"/>
      <c r="AC511" s="9"/>
      <c r="AD511" s="9"/>
      <c r="AF511" s="10"/>
      <c r="AG511" s="10"/>
      <c r="AH511" s="10"/>
      <c r="AI511" s="10"/>
    </row>
    <row r="512" spans="1:35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1"/>
      <c r="V512" s="1"/>
      <c r="W512" s="1"/>
      <c r="X512" s="1"/>
      <c r="AB512" s="9"/>
      <c r="AC512" s="9"/>
      <c r="AD512" s="9"/>
      <c r="AF512" s="10"/>
      <c r="AG512" s="10"/>
      <c r="AH512" s="10"/>
      <c r="AI512" s="10"/>
    </row>
    <row r="513" spans="1:35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1"/>
      <c r="V513" s="1"/>
      <c r="W513" s="1"/>
      <c r="X513" s="1"/>
      <c r="AB513" s="9"/>
      <c r="AC513" s="9"/>
      <c r="AD513" s="9"/>
      <c r="AF513" s="10"/>
      <c r="AG513" s="10"/>
      <c r="AH513" s="10"/>
      <c r="AI513" s="10"/>
    </row>
    <row r="514" spans="1:35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1"/>
      <c r="V514" s="1"/>
      <c r="W514" s="1"/>
      <c r="X514" s="1"/>
      <c r="AB514" s="9"/>
      <c r="AC514" s="9"/>
      <c r="AD514" s="9"/>
      <c r="AF514" s="10"/>
      <c r="AG514" s="10"/>
      <c r="AH514" s="10"/>
      <c r="AI514" s="10"/>
    </row>
    <row r="515" spans="1:35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1"/>
      <c r="V515" s="1"/>
      <c r="W515" s="1"/>
      <c r="X515" s="1"/>
      <c r="AB515" s="9"/>
      <c r="AC515" s="9"/>
      <c r="AD515" s="9"/>
      <c r="AF515" s="10"/>
      <c r="AG515" s="10"/>
      <c r="AH515" s="10"/>
      <c r="AI515" s="10"/>
    </row>
    <row r="516" spans="1:35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1"/>
      <c r="V516" s="1"/>
      <c r="W516" s="1"/>
      <c r="X516" s="1"/>
      <c r="AB516" s="9"/>
      <c r="AC516" s="9"/>
      <c r="AD516" s="9"/>
      <c r="AF516" s="10"/>
      <c r="AG516" s="10"/>
      <c r="AH516" s="10"/>
      <c r="AI516" s="10"/>
    </row>
    <row r="517" spans="1:35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1"/>
      <c r="V517" s="1"/>
      <c r="W517" s="1"/>
      <c r="X517" s="1"/>
      <c r="AB517" s="9"/>
      <c r="AC517" s="9"/>
      <c r="AD517" s="9"/>
      <c r="AF517" s="10"/>
      <c r="AG517" s="10"/>
      <c r="AH517" s="10"/>
      <c r="AI517" s="10"/>
    </row>
    <row r="518" spans="1:35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1"/>
      <c r="V518" s="1"/>
      <c r="W518" s="1"/>
      <c r="X518" s="1"/>
      <c r="AB518" s="9"/>
      <c r="AC518" s="9"/>
      <c r="AD518" s="9"/>
      <c r="AF518" s="10"/>
      <c r="AG518" s="10"/>
      <c r="AH518" s="10"/>
      <c r="AI518" s="10"/>
    </row>
    <row r="519" spans="1:35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1"/>
      <c r="V519" s="1"/>
      <c r="W519" s="1"/>
      <c r="X519" s="1"/>
      <c r="AB519" s="9"/>
      <c r="AC519" s="9"/>
      <c r="AD519" s="9"/>
      <c r="AF519" s="10"/>
      <c r="AG519" s="10"/>
      <c r="AH519" s="10"/>
      <c r="AI519" s="10"/>
    </row>
    <row r="520" spans="1:35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1"/>
      <c r="V520" s="1"/>
      <c r="W520" s="1"/>
      <c r="X520" s="1"/>
      <c r="AB520" s="9"/>
      <c r="AC520" s="9"/>
      <c r="AD520" s="9"/>
      <c r="AF520" s="10"/>
      <c r="AG520" s="10"/>
      <c r="AH520" s="10"/>
      <c r="AI520" s="10"/>
    </row>
    <row r="521" spans="1:35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1"/>
      <c r="V521" s="1"/>
      <c r="W521" s="1"/>
      <c r="X521" s="1"/>
      <c r="AB521" s="9"/>
      <c r="AC521" s="9"/>
      <c r="AD521" s="9"/>
      <c r="AF521" s="10"/>
      <c r="AG521" s="10"/>
      <c r="AH521" s="10"/>
      <c r="AI521" s="10"/>
    </row>
    <row r="522" spans="1:35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1"/>
      <c r="V522" s="1"/>
      <c r="W522" s="1"/>
      <c r="X522" s="1"/>
      <c r="AB522" s="9"/>
      <c r="AC522" s="9"/>
      <c r="AD522" s="9"/>
      <c r="AF522" s="10"/>
      <c r="AG522" s="10"/>
      <c r="AH522" s="10"/>
      <c r="AI522" s="10"/>
    </row>
    <row r="523" spans="1:35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1"/>
      <c r="V523" s="1"/>
      <c r="W523" s="1"/>
      <c r="X523" s="1"/>
      <c r="AB523" s="9"/>
      <c r="AC523" s="9"/>
      <c r="AD523" s="9"/>
      <c r="AF523" s="10"/>
      <c r="AG523" s="10"/>
      <c r="AH523" s="10"/>
      <c r="AI523" s="10"/>
    </row>
    <row r="524" spans="1:35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1"/>
      <c r="V524" s="1"/>
      <c r="W524" s="1"/>
      <c r="X524" s="1"/>
      <c r="AB524" s="9"/>
      <c r="AC524" s="9"/>
      <c r="AD524" s="9"/>
      <c r="AF524" s="10"/>
      <c r="AG524" s="10"/>
      <c r="AH524" s="10"/>
      <c r="AI524" s="10"/>
    </row>
    <row r="525" spans="1:35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1"/>
      <c r="V525" s="1"/>
      <c r="W525" s="1"/>
      <c r="X525" s="1"/>
      <c r="AB525" s="9"/>
      <c r="AC525" s="9"/>
      <c r="AD525" s="9"/>
      <c r="AF525" s="10"/>
      <c r="AG525" s="10"/>
      <c r="AH525" s="10"/>
      <c r="AI525" s="10"/>
    </row>
    <row r="526" spans="1:35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1"/>
      <c r="V526" s="1"/>
      <c r="W526" s="1"/>
      <c r="X526" s="1"/>
      <c r="AB526" s="9"/>
      <c r="AC526" s="9"/>
      <c r="AD526" s="9"/>
      <c r="AF526" s="10"/>
      <c r="AG526" s="10"/>
      <c r="AH526" s="10"/>
      <c r="AI526" s="10"/>
    </row>
    <row r="527" spans="1:35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1"/>
      <c r="V527" s="1"/>
      <c r="W527" s="1"/>
      <c r="X527" s="1"/>
      <c r="AB527" s="9"/>
      <c r="AC527" s="9"/>
      <c r="AD527" s="9"/>
      <c r="AF527" s="10"/>
      <c r="AG527" s="10"/>
      <c r="AH527" s="10"/>
      <c r="AI527" s="10"/>
    </row>
    <row r="528" spans="1:35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1"/>
      <c r="V528" s="1"/>
      <c r="W528" s="1"/>
      <c r="X528" s="1"/>
      <c r="AB528" s="9"/>
      <c r="AC528" s="9"/>
      <c r="AD528" s="9"/>
      <c r="AF528" s="10"/>
      <c r="AG528" s="10"/>
      <c r="AH528" s="10"/>
      <c r="AI528" s="10"/>
    </row>
    <row r="529" spans="1:35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1"/>
      <c r="V529" s="1"/>
      <c r="W529" s="1"/>
      <c r="X529" s="1"/>
      <c r="AB529" s="9"/>
      <c r="AC529" s="9"/>
      <c r="AD529" s="9"/>
      <c r="AF529" s="10"/>
      <c r="AG529" s="10"/>
      <c r="AH529" s="10"/>
      <c r="AI529" s="10"/>
    </row>
    <row r="530" spans="1:35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1"/>
      <c r="V530" s="1"/>
      <c r="W530" s="1"/>
      <c r="X530" s="1"/>
      <c r="AB530" s="9"/>
      <c r="AC530" s="9"/>
      <c r="AD530" s="9"/>
      <c r="AF530" s="10"/>
      <c r="AG530" s="10"/>
      <c r="AH530" s="10"/>
      <c r="AI530" s="10"/>
    </row>
    <row r="531" spans="1:35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1"/>
      <c r="V531" s="1"/>
      <c r="W531" s="1"/>
      <c r="X531" s="1"/>
      <c r="AB531" s="9"/>
      <c r="AC531" s="9"/>
      <c r="AD531" s="9"/>
      <c r="AF531" s="10"/>
      <c r="AG531" s="10"/>
      <c r="AH531" s="10"/>
      <c r="AI531" s="10"/>
    </row>
    <row r="532" spans="1:35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1"/>
      <c r="V532" s="1"/>
      <c r="W532" s="1"/>
      <c r="X532" s="1"/>
      <c r="AB532" s="9"/>
      <c r="AC532" s="9"/>
      <c r="AD532" s="9"/>
      <c r="AF532" s="10"/>
      <c r="AG532" s="10"/>
      <c r="AH532" s="10"/>
      <c r="AI532" s="10"/>
    </row>
    <row r="533" spans="1:35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1"/>
      <c r="V533" s="1"/>
      <c r="W533" s="1"/>
      <c r="X533" s="1"/>
      <c r="AB533" s="9"/>
      <c r="AC533" s="9"/>
      <c r="AD533" s="9"/>
      <c r="AF533" s="10"/>
      <c r="AG533" s="10"/>
      <c r="AH533" s="10"/>
      <c r="AI533" s="10"/>
    </row>
    <row r="534" spans="1:35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1"/>
      <c r="V534" s="1"/>
      <c r="W534" s="1"/>
      <c r="X534" s="1"/>
      <c r="AB534" s="9"/>
      <c r="AC534" s="9"/>
      <c r="AD534" s="9"/>
      <c r="AF534" s="10"/>
      <c r="AG534" s="10"/>
      <c r="AH534" s="10"/>
      <c r="AI534" s="10"/>
    </row>
    <row r="535" spans="1:35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1"/>
      <c r="V535" s="1"/>
      <c r="W535" s="1"/>
      <c r="X535" s="1"/>
      <c r="AB535" s="9"/>
      <c r="AC535" s="9"/>
      <c r="AD535" s="9"/>
      <c r="AF535" s="10"/>
      <c r="AG535" s="10"/>
      <c r="AH535" s="10"/>
      <c r="AI535" s="10"/>
    </row>
    <row r="536" spans="1:35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1"/>
      <c r="V536" s="1"/>
      <c r="W536" s="1"/>
      <c r="X536" s="1"/>
      <c r="AB536" s="9"/>
      <c r="AC536" s="9"/>
      <c r="AD536" s="9"/>
      <c r="AF536" s="10"/>
      <c r="AG536" s="10"/>
      <c r="AH536" s="10"/>
      <c r="AI536" s="10"/>
    </row>
    <row r="537" spans="1:35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1"/>
      <c r="V537" s="1"/>
      <c r="W537" s="1"/>
      <c r="X537" s="1"/>
      <c r="AB537" s="9"/>
      <c r="AC537" s="9"/>
      <c r="AD537" s="9"/>
      <c r="AF537" s="10"/>
      <c r="AG537" s="10"/>
      <c r="AH537" s="10"/>
      <c r="AI537" s="10"/>
    </row>
    <row r="538" spans="1:35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1"/>
      <c r="V538" s="1"/>
      <c r="W538" s="1"/>
      <c r="X538" s="1"/>
      <c r="AB538" s="9"/>
      <c r="AC538" s="9"/>
      <c r="AD538" s="9"/>
      <c r="AF538" s="10"/>
      <c r="AG538" s="10"/>
      <c r="AH538" s="10"/>
      <c r="AI538" s="10"/>
    </row>
    <row r="539" spans="1:35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1"/>
      <c r="V539" s="1"/>
      <c r="W539" s="1"/>
      <c r="X539" s="1"/>
      <c r="AB539" s="9"/>
      <c r="AC539" s="9"/>
      <c r="AD539" s="9"/>
      <c r="AF539" s="10"/>
      <c r="AG539" s="10"/>
      <c r="AH539" s="10"/>
      <c r="AI539" s="10"/>
    </row>
    <row r="540" spans="1:35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1"/>
      <c r="V540" s="1"/>
      <c r="W540" s="1"/>
      <c r="X540" s="1"/>
      <c r="AB540" s="9"/>
      <c r="AC540" s="9"/>
      <c r="AD540" s="9"/>
      <c r="AF540" s="10"/>
      <c r="AG540" s="10"/>
      <c r="AH540" s="10"/>
      <c r="AI540" s="10"/>
    </row>
    <row r="541" spans="1:35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1"/>
      <c r="V541" s="1"/>
      <c r="W541" s="1"/>
      <c r="X541" s="1"/>
      <c r="AB541" s="9"/>
      <c r="AC541" s="9"/>
      <c r="AD541" s="9"/>
      <c r="AF541" s="10"/>
      <c r="AG541" s="10"/>
      <c r="AH541" s="10"/>
      <c r="AI541" s="10"/>
    </row>
    <row r="542" spans="1:35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1"/>
      <c r="V542" s="1"/>
      <c r="W542" s="1"/>
      <c r="X542" s="1"/>
      <c r="AB542" s="9"/>
      <c r="AC542" s="9"/>
      <c r="AD542" s="9"/>
      <c r="AF542" s="10"/>
      <c r="AG542" s="10"/>
      <c r="AH542" s="10"/>
      <c r="AI542" s="10"/>
    </row>
    <row r="543" spans="1:35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1"/>
      <c r="V543" s="1"/>
      <c r="W543" s="1"/>
      <c r="X543" s="1"/>
      <c r="AB543" s="9"/>
      <c r="AC543" s="9"/>
      <c r="AD543" s="9"/>
      <c r="AF543" s="10"/>
      <c r="AG543" s="10"/>
      <c r="AH543" s="10"/>
      <c r="AI543" s="10"/>
    </row>
    <row r="544" spans="1:35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1"/>
      <c r="V544" s="1"/>
      <c r="W544" s="1"/>
      <c r="X544" s="1"/>
      <c r="AB544" s="9"/>
      <c r="AC544" s="9"/>
      <c r="AD544" s="9"/>
      <c r="AF544" s="10"/>
      <c r="AG544" s="10"/>
      <c r="AH544" s="10"/>
      <c r="AI544" s="10"/>
    </row>
    <row r="545" spans="1:35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1"/>
      <c r="V545" s="1"/>
      <c r="W545" s="1"/>
      <c r="X545" s="1"/>
      <c r="AB545" s="9"/>
      <c r="AC545" s="9"/>
      <c r="AD545" s="9"/>
      <c r="AF545" s="10"/>
      <c r="AG545" s="10"/>
      <c r="AH545" s="10"/>
      <c r="AI545" s="10"/>
    </row>
    <row r="546" spans="1:35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1"/>
      <c r="V546" s="1"/>
      <c r="W546" s="1"/>
      <c r="X546" s="1"/>
      <c r="AB546" s="9"/>
      <c r="AC546" s="9"/>
      <c r="AD546" s="9"/>
      <c r="AF546" s="10"/>
      <c r="AG546" s="10"/>
      <c r="AH546" s="10"/>
      <c r="AI546" s="10"/>
    </row>
    <row r="547" spans="1:35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1"/>
      <c r="V547" s="1"/>
      <c r="W547" s="1"/>
      <c r="X547" s="1"/>
      <c r="AB547" s="9"/>
      <c r="AC547" s="9"/>
      <c r="AD547" s="9"/>
      <c r="AF547" s="10"/>
      <c r="AG547" s="10"/>
      <c r="AH547" s="10"/>
      <c r="AI547" s="10"/>
    </row>
    <row r="548" spans="1:35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1"/>
      <c r="V548" s="1"/>
      <c r="W548" s="1"/>
      <c r="X548" s="1"/>
      <c r="AB548" s="9"/>
      <c r="AC548" s="9"/>
      <c r="AD548" s="9"/>
      <c r="AF548" s="10"/>
      <c r="AG548" s="10"/>
      <c r="AH548" s="10"/>
      <c r="AI548" s="10"/>
    </row>
    <row r="549" spans="1:35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1"/>
      <c r="V549" s="1"/>
      <c r="W549" s="1"/>
      <c r="X549" s="1"/>
      <c r="AB549" s="9"/>
      <c r="AC549" s="9"/>
      <c r="AD549" s="9"/>
      <c r="AF549" s="10"/>
      <c r="AG549" s="10"/>
      <c r="AH549" s="10"/>
      <c r="AI549" s="10"/>
    </row>
    <row r="550" spans="1:35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1"/>
      <c r="V550" s="1"/>
      <c r="W550" s="1"/>
      <c r="X550" s="1"/>
      <c r="AB550" s="9"/>
      <c r="AC550" s="9"/>
      <c r="AD550" s="9"/>
      <c r="AF550" s="10"/>
      <c r="AG550" s="10"/>
      <c r="AH550" s="10"/>
      <c r="AI550" s="10"/>
    </row>
    <row r="551" spans="1:35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1"/>
      <c r="V551" s="1"/>
      <c r="W551" s="1"/>
      <c r="X551" s="1"/>
      <c r="AB551" s="9"/>
      <c r="AC551" s="9"/>
      <c r="AD551" s="9"/>
      <c r="AF551" s="10"/>
      <c r="AG551" s="10"/>
      <c r="AH551" s="10"/>
      <c r="AI551" s="10"/>
    </row>
    <row r="552" spans="1:35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1"/>
      <c r="V552" s="1"/>
      <c r="W552" s="1"/>
      <c r="X552" s="1"/>
      <c r="AB552" s="9"/>
      <c r="AC552" s="9"/>
      <c r="AD552" s="9"/>
      <c r="AF552" s="10"/>
      <c r="AG552" s="10"/>
      <c r="AH552" s="10"/>
      <c r="AI552" s="10"/>
    </row>
    <row r="553" spans="1:35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1"/>
      <c r="V553" s="1"/>
      <c r="W553" s="1"/>
      <c r="X553" s="1"/>
      <c r="AB553" s="9"/>
      <c r="AC553" s="9"/>
      <c r="AD553" s="9"/>
      <c r="AF553" s="10"/>
      <c r="AG553" s="10"/>
      <c r="AH553" s="10"/>
      <c r="AI553" s="10"/>
    </row>
    <row r="554" spans="1:35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1"/>
      <c r="V554" s="1"/>
      <c r="W554" s="1"/>
      <c r="X554" s="1"/>
      <c r="AB554" s="9"/>
      <c r="AC554" s="9"/>
      <c r="AD554" s="9"/>
      <c r="AF554" s="10"/>
      <c r="AG554" s="10"/>
      <c r="AH554" s="10"/>
      <c r="AI554" s="10"/>
    </row>
    <row r="555" spans="1:35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1"/>
      <c r="V555" s="1"/>
      <c r="W555" s="1"/>
      <c r="X555" s="1"/>
      <c r="AB555" s="9"/>
      <c r="AC555" s="9"/>
      <c r="AD555" s="9"/>
      <c r="AF555" s="10"/>
      <c r="AG555" s="10"/>
      <c r="AH555" s="10"/>
      <c r="AI555" s="10"/>
    </row>
    <row r="556" spans="1:35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1"/>
      <c r="V556" s="1"/>
      <c r="W556" s="1"/>
      <c r="X556" s="1"/>
      <c r="AB556" s="9"/>
      <c r="AC556" s="9"/>
      <c r="AD556" s="9"/>
      <c r="AF556" s="10"/>
      <c r="AG556" s="10"/>
      <c r="AH556" s="10"/>
      <c r="AI556" s="10"/>
    </row>
    <row r="557" spans="1:35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1"/>
      <c r="V557" s="1"/>
      <c r="W557" s="1"/>
      <c r="X557" s="1"/>
      <c r="AB557" s="9"/>
      <c r="AC557" s="9"/>
      <c r="AD557" s="9"/>
      <c r="AF557" s="10"/>
      <c r="AG557" s="10"/>
      <c r="AH557" s="10"/>
      <c r="AI557" s="10"/>
    </row>
    <row r="558" spans="1:35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1"/>
      <c r="V558" s="1"/>
      <c r="W558" s="1"/>
      <c r="X558" s="1"/>
      <c r="AB558" s="9"/>
      <c r="AC558" s="9"/>
      <c r="AD558" s="9"/>
      <c r="AF558" s="10"/>
      <c r="AG558" s="10"/>
      <c r="AH558" s="10"/>
      <c r="AI558" s="10"/>
    </row>
    <row r="559" spans="1:35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1"/>
      <c r="V559" s="1"/>
      <c r="W559" s="1"/>
      <c r="X559" s="1"/>
      <c r="AB559" s="9"/>
      <c r="AC559" s="9"/>
      <c r="AD559" s="9"/>
      <c r="AF559" s="10"/>
      <c r="AG559" s="10"/>
      <c r="AH559" s="10"/>
      <c r="AI559" s="10"/>
    </row>
    <row r="560" spans="1:35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1"/>
      <c r="V560" s="1"/>
      <c r="W560" s="1"/>
      <c r="X560" s="1"/>
      <c r="AB560" s="9"/>
      <c r="AC560" s="9"/>
      <c r="AD560" s="9"/>
      <c r="AF560" s="10"/>
      <c r="AG560" s="10"/>
      <c r="AH560" s="10"/>
      <c r="AI560" s="10"/>
    </row>
    <row r="561" spans="1:35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1"/>
      <c r="V561" s="1"/>
      <c r="W561" s="1"/>
      <c r="X561" s="1"/>
      <c r="AB561" s="9"/>
      <c r="AC561" s="9"/>
      <c r="AD561" s="9"/>
      <c r="AF561" s="10"/>
      <c r="AG561" s="10"/>
      <c r="AH561" s="10"/>
      <c r="AI561" s="10"/>
    </row>
    <row r="562" spans="1:35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1"/>
      <c r="V562" s="1"/>
      <c r="W562" s="1"/>
      <c r="X562" s="1"/>
      <c r="AB562" s="9"/>
      <c r="AC562" s="9"/>
      <c r="AD562" s="9"/>
      <c r="AF562" s="10"/>
      <c r="AG562" s="10"/>
      <c r="AH562" s="10"/>
      <c r="AI562" s="10"/>
    </row>
    <row r="563" spans="1:35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1"/>
      <c r="V563" s="1"/>
      <c r="W563" s="1"/>
      <c r="X563" s="1"/>
      <c r="AB563" s="9"/>
      <c r="AC563" s="9"/>
      <c r="AD563" s="9"/>
      <c r="AF563" s="10"/>
      <c r="AG563" s="10"/>
      <c r="AH563" s="10"/>
      <c r="AI563" s="10"/>
    </row>
    <row r="564" spans="1:35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1"/>
      <c r="V564" s="1"/>
      <c r="W564" s="1"/>
      <c r="X564" s="1"/>
      <c r="AB564" s="9"/>
      <c r="AC564" s="9"/>
      <c r="AD564" s="9"/>
      <c r="AF564" s="10"/>
      <c r="AG564" s="10"/>
      <c r="AH564" s="10"/>
      <c r="AI564" s="10"/>
    </row>
    <row r="565" spans="1:35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1"/>
      <c r="V565" s="1"/>
      <c r="W565" s="1"/>
      <c r="X565" s="1"/>
      <c r="AB565" s="9"/>
      <c r="AC565" s="9"/>
      <c r="AD565" s="9"/>
      <c r="AF565" s="10"/>
      <c r="AG565" s="10"/>
      <c r="AH565" s="10"/>
      <c r="AI565" s="10"/>
    </row>
    <row r="566" spans="1:35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1"/>
      <c r="V566" s="1"/>
      <c r="W566" s="1"/>
      <c r="X566" s="1"/>
      <c r="AB566" s="9"/>
      <c r="AC566" s="9"/>
      <c r="AD566" s="9"/>
      <c r="AF566" s="10"/>
      <c r="AG566" s="10"/>
      <c r="AH566" s="10"/>
      <c r="AI566" s="10"/>
    </row>
    <row r="567" spans="1:35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1"/>
      <c r="V567" s="1"/>
      <c r="W567" s="1"/>
      <c r="X567" s="1"/>
      <c r="AB567" s="9"/>
      <c r="AC567" s="9"/>
      <c r="AD567" s="9"/>
      <c r="AF567" s="10"/>
      <c r="AG567" s="10"/>
      <c r="AH567" s="10"/>
      <c r="AI567" s="10"/>
    </row>
    <row r="568" spans="1:35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1"/>
      <c r="V568" s="1"/>
      <c r="W568" s="1"/>
      <c r="X568" s="1"/>
      <c r="AB568" s="9"/>
      <c r="AC568" s="9"/>
      <c r="AD568" s="9"/>
      <c r="AF568" s="10"/>
      <c r="AG568" s="10"/>
      <c r="AH568" s="10"/>
      <c r="AI568" s="10"/>
    </row>
    <row r="569" spans="1:35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1"/>
      <c r="V569" s="1"/>
      <c r="W569" s="1"/>
      <c r="X569" s="1"/>
      <c r="AB569" s="9"/>
      <c r="AC569" s="9"/>
      <c r="AD569" s="9"/>
      <c r="AF569" s="10"/>
      <c r="AG569" s="10"/>
      <c r="AH569" s="10"/>
      <c r="AI569" s="10"/>
    </row>
    <row r="570" spans="1:35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1"/>
      <c r="V570" s="1"/>
      <c r="W570" s="1"/>
      <c r="X570" s="1"/>
      <c r="AB570" s="9"/>
      <c r="AC570" s="9"/>
      <c r="AD570" s="9"/>
      <c r="AF570" s="10"/>
      <c r="AG570" s="10"/>
      <c r="AH570" s="10"/>
      <c r="AI570" s="10"/>
    </row>
    <row r="571" spans="1:35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1"/>
      <c r="V571" s="1"/>
      <c r="W571" s="1"/>
      <c r="X571" s="1"/>
      <c r="AB571" s="9"/>
      <c r="AC571" s="9"/>
      <c r="AD571" s="9"/>
      <c r="AF571" s="10"/>
      <c r="AG571" s="10"/>
      <c r="AH571" s="10"/>
      <c r="AI571" s="10"/>
    </row>
    <row r="572" spans="1:35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1"/>
      <c r="V572" s="1"/>
      <c r="W572" s="1"/>
      <c r="X572" s="1"/>
      <c r="AB572" s="9"/>
      <c r="AC572" s="9"/>
      <c r="AD572" s="9"/>
      <c r="AF572" s="10"/>
      <c r="AG572" s="10"/>
      <c r="AH572" s="10"/>
      <c r="AI572" s="10"/>
    </row>
    <row r="573" spans="1:35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1"/>
      <c r="V573" s="1"/>
      <c r="W573" s="1"/>
      <c r="X573" s="1"/>
      <c r="AB573" s="9"/>
      <c r="AC573" s="9"/>
      <c r="AD573" s="9"/>
      <c r="AF573" s="10"/>
      <c r="AG573" s="10"/>
      <c r="AH573" s="10"/>
      <c r="AI573" s="10"/>
    </row>
    <row r="574" spans="1:35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1"/>
      <c r="V574" s="1"/>
      <c r="W574" s="1"/>
      <c r="X574" s="1"/>
      <c r="AB574" s="9"/>
      <c r="AC574" s="9"/>
      <c r="AD574" s="9"/>
      <c r="AF574" s="10"/>
      <c r="AG574" s="10"/>
      <c r="AH574" s="10"/>
      <c r="AI574" s="10"/>
    </row>
    <row r="575" spans="1:35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1"/>
      <c r="V575" s="1"/>
      <c r="W575" s="1"/>
      <c r="X575" s="1"/>
      <c r="AB575" s="9"/>
      <c r="AC575" s="9"/>
      <c r="AD575" s="9"/>
      <c r="AF575" s="10"/>
      <c r="AG575" s="10"/>
      <c r="AH575" s="10"/>
      <c r="AI575" s="10"/>
    </row>
    <row r="576" spans="1:35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1"/>
      <c r="V576" s="1"/>
      <c r="W576" s="1"/>
      <c r="X576" s="1"/>
      <c r="AB576" s="9"/>
      <c r="AC576" s="9"/>
      <c r="AD576" s="9"/>
      <c r="AF576" s="10"/>
      <c r="AG576" s="10"/>
      <c r="AH576" s="10"/>
      <c r="AI576" s="10"/>
    </row>
    <row r="577" spans="1:35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1"/>
      <c r="V577" s="1"/>
      <c r="W577" s="1"/>
      <c r="X577" s="1"/>
      <c r="AB577" s="9"/>
      <c r="AC577" s="9"/>
      <c r="AD577" s="9"/>
      <c r="AF577" s="10"/>
      <c r="AG577" s="10"/>
      <c r="AH577" s="10"/>
      <c r="AI577" s="10"/>
    </row>
    <row r="578" spans="1:35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1"/>
      <c r="V578" s="1"/>
      <c r="W578" s="1"/>
      <c r="X578" s="1"/>
      <c r="AB578" s="9"/>
      <c r="AC578" s="9"/>
      <c r="AD578" s="9"/>
      <c r="AF578" s="10"/>
      <c r="AG578" s="10"/>
      <c r="AH578" s="10"/>
      <c r="AI578" s="10"/>
    </row>
    <row r="579" spans="1:35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1"/>
      <c r="V579" s="1"/>
      <c r="W579" s="1"/>
      <c r="X579" s="1"/>
      <c r="AB579" s="9"/>
      <c r="AC579" s="9"/>
      <c r="AD579" s="9"/>
      <c r="AF579" s="10"/>
      <c r="AG579" s="10"/>
      <c r="AH579" s="10"/>
      <c r="AI579" s="10"/>
    </row>
    <row r="580" spans="1:35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1"/>
      <c r="V580" s="1"/>
      <c r="W580" s="1"/>
      <c r="X580" s="1"/>
      <c r="AB580" s="9"/>
      <c r="AC580" s="9"/>
      <c r="AD580" s="9"/>
      <c r="AF580" s="10"/>
      <c r="AG580" s="10"/>
      <c r="AH580" s="10"/>
      <c r="AI580" s="10"/>
    </row>
    <row r="581" spans="1:35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1"/>
      <c r="V581" s="1"/>
      <c r="W581" s="1"/>
      <c r="X581" s="1"/>
      <c r="AB581" s="9"/>
      <c r="AC581" s="9"/>
      <c r="AD581" s="9"/>
      <c r="AF581" s="10"/>
      <c r="AG581" s="10"/>
      <c r="AH581" s="10"/>
      <c r="AI581" s="10"/>
    </row>
    <row r="582" spans="1:35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1"/>
      <c r="V582" s="1"/>
      <c r="W582" s="1"/>
      <c r="X582" s="1"/>
      <c r="AB582" s="9"/>
      <c r="AC582" s="9"/>
      <c r="AD582" s="9"/>
      <c r="AF582" s="10"/>
      <c r="AG582" s="10"/>
      <c r="AH582" s="10"/>
      <c r="AI582" s="10"/>
    </row>
    <row r="583" spans="1:35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1"/>
      <c r="V583" s="1"/>
      <c r="W583" s="1"/>
      <c r="X583" s="1"/>
      <c r="AB583" s="9"/>
      <c r="AC583" s="9"/>
      <c r="AD583" s="9"/>
      <c r="AF583" s="10"/>
      <c r="AG583" s="10"/>
      <c r="AH583" s="10"/>
      <c r="AI583" s="10"/>
    </row>
    <row r="584" spans="1:35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1"/>
      <c r="V584" s="1"/>
      <c r="W584" s="1"/>
      <c r="X584" s="1"/>
      <c r="AB584" s="9"/>
      <c r="AC584" s="9"/>
      <c r="AD584" s="9"/>
      <c r="AF584" s="10"/>
      <c r="AG584" s="10"/>
      <c r="AH584" s="10"/>
      <c r="AI584" s="10"/>
    </row>
    <row r="585" spans="1:35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1"/>
      <c r="V585" s="1"/>
      <c r="W585" s="1"/>
      <c r="X585" s="1"/>
      <c r="AB585" s="9"/>
      <c r="AC585" s="9"/>
      <c r="AD585" s="9"/>
      <c r="AF585" s="10"/>
      <c r="AG585" s="10"/>
      <c r="AH585" s="10"/>
      <c r="AI585" s="10"/>
    </row>
    <row r="586" spans="1:35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1"/>
      <c r="V586" s="1"/>
      <c r="W586" s="1"/>
      <c r="X586" s="1"/>
      <c r="AB586" s="9"/>
      <c r="AC586" s="9"/>
      <c r="AD586" s="9"/>
      <c r="AF586" s="10"/>
      <c r="AG586" s="10"/>
      <c r="AH586" s="10"/>
      <c r="AI586" s="10"/>
    </row>
    <row r="587" spans="1:35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1"/>
      <c r="V587" s="1"/>
      <c r="W587" s="1"/>
      <c r="X587" s="1"/>
      <c r="AB587" s="9"/>
      <c r="AC587" s="9"/>
      <c r="AD587" s="9"/>
      <c r="AF587" s="10"/>
      <c r="AG587" s="10"/>
      <c r="AH587" s="10"/>
      <c r="AI587" s="10"/>
    </row>
    <row r="588" spans="1:35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1"/>
      <c r="V588" s="1"/>
      <c r="W588" s="1"/>
      <c r="X588" s="1"/>
      <c r="AB588" s="9"/>
      <c r="AC588" s="9"/>
      <c r="AD588" s="9"/>
      <c r="AF588" s="10"/>
      <c r="AG588" s="10"/>
      <c r="AH588" s="10"/>
      <c r="AI588" s="10"/>
    </row>
    <row r="589" spans="1:35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1"/>
      <c r="V589" s="1"/>
      <c r="W589" s="1"/>
      <c r="X589" s="1"/>
      <c r="AB589" s="9"/>
      <c r="AC589" s="9"/>
      <c r="AD589" s="9"/>
      <c r="AF589" s="10"/>
      <c r="AG589" s="10"/>
      <c r="AH589" s="10"/>
      <c r="AI589" s="10"/>
    </row>
    <row r="590" spans="1:35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1"/>
      <c r="V590" s="1"/>
      <c r="W590" s="1"/>
      <c r="X590" s="1"/>
      <c r="AB590" s="9"/>
      <c r="AC590" s="9"/>
      <c r="AD590" s="9"/>
      <c r="AF590" s="10"/>
      <c r="AG590" s="10"/>
      <c r="AH590" s="10"/>
      <c r="AI590" s="10"/>
    </row>
    <row r="591" spans="1:35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1"/>
      <c r="V591" s="1"/>
      <c r="W591" s="1"/>
      <c r="X591" s="1"/>
      <c r="AB591" s="9"/>
      <c r="AC591" s="9"/>
      <c r="AD591" s="9"/>
      <c r="AF591" s="10"/>
      <c r="AG591" s="10"/>
      <c r="AH591" s="10"/>
      <c r="AI591" s="10"/>
    </row>
    <row r="592" spans="1:35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1"/>
      <c r="V592" s="1"/>
      <c r="W592" s="1"/>
      <c r="X592" s="1"/>
      <c r="AB592" s="9"/>
      <c r="AC592" s="9"/>
      <c r="AD592" s="9"/>
      <c r="AF592" s="10"/>
      <c r="AG592" s="10"/>
      <c r="AH592" s="10"/>
      <c r="AI592" s="10"/>
    </row>
    <row r="593" spans="1:35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1"/>
      <c r="V593" s="1"/>
      <c r="W593" s="1"/>
      <c r="X593" s="1"/>
      <c r="AB593" s="9"/>
      <c r="AC593" s="9"/>
      <c r="AD593" s="9"/>
      <c r="AF593" s="10"/>
      <c r="AG593" s="10"/>
      <c r="AH593" s="10"/>
      <c r="AI593" s="10"/>
    </row>
    <row r="594" spans="1:35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1"/>
      <c r="V594" s="1"/>
      <c r="W594" s="1"/>
      <c r="X594" s="1"/>
      <c r="AB594" s="9"/>
      <c r="AC594" s="9"/>
      <c r="AD594" s="9"/>
      <c r="AF594" s="10"/>
      <c r="AG594" s="10"/>
      <c r="AH594" s="10"/>
      <c r="AI594" s="10"/>
    </row>
    <row r="595" spans="1:35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1"/>
      <c r="V595" s="1"/>
      <c r="W595" s="1"/>
      <c r="X595" s="1"/>
      <c r="AB595" s="9"/>
      <c r="AC595" s="9"/>
      <c r="AD595" s="9"/>
      <c r="AF595" s="10"/>
      <c r="AG595" s="10"/>
      <c r="AH595" s="10"/>
      <c r="AI595" s="10"/>
    </row>
    <row r="596" spans="1:35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1"/>
      <c r="V596" s="1"/>
      <c r="W596" s="1"/>
      <c r="X596" s="1"/>
      <c r="AB596" s="9"/>
      <c r="AC596" s="9"/>
      <c r="AD596" s="9"/>
      <c r="AF596" s="10"/>
      <c r="AG596" s="10"/>
      <c r="AH596" s="10"/>
      <c r="AI596" s="10"/>
    </row>
    <row r="597" spans="1:35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1"/>
      <c r="V597" s="1"/>
      <c r="W597" s="1"/>
      <c r="X597" s="1"/>
      <c r="AB597" s="9"/>
      <c r="AC597" s="9"/>
      <c r="AD597" s="9"/>
      <c r="AF597" s="10"/>
      <c r="AG597" s="10"/>
      <c r="AH597" s="10"/>
      <c r="AI597" s="10"/>
    </row>
    <row r="598" spans="1:35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1"/>
      <c r="V598" s="1"/>
      <c r="W598" s="1"/>
      <c r="X598" s="1"/>
      <c r="AB598" s="9"/>
      <c r="AC598" s="9"/>
      <c r="AD598" s="9"/>
      <c r="AF598" s="10"/>
      <c r="AG598" s="10"/>
      <c r="AH598" s="10"/>
      <c r="AI598" s="10"/>
    </row>
    <row r="599" spans="1:35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1"/>
      <c r="V599" s="1"/>
      <c r="W599" s="1"/>
      <c r="X599" s="1"/>
      <c r="AB599" s="9"/>
      <c r="AC599" s="9"/>
      <c r="AD599" s="9"/>
      <c r="AF599" s="10"/>
      <c r="AG599" s="10"/>
      <c r="AH599" s="10"/>
      <c r="AI599" s="10"/>
    </row>
    <row r="600" spans="1:35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1"/>
      <c r="V600" s="1"/>
      <c r="W600" s="1"/>
      <c r="X600" s="1"/>
      <c r="AB600" s="9"/>
      <c r="AC600" s="9"/>
      <c r="AD600" s="9"/>
      <c r="AF600" s="10"/>
      <c r="AG600" s="10"/>
      <c r="AH600" s="10"/>
      <c r="AI600" s="10"/>
    </row>
    <row r="601" spans="1:35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1"/>
      <c r="V601" s="1"/>
      <c r="W601" s="1"/>
      <c r="X601" s="1"/>
      <c r="AB601" s="9"/>
      <c r="AC601" s="9"/>
      <c r="AD601" s="9"/>
      <c r="AF601" s="10"/>
      <c r="AG601" s="10"/>
      <c r="AH601" s="10"/>
      <c r="AI601" s="10"/>
    </row>
    <row r="602" spans="1:35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1"/>
      <c r="V602" s="1"/>
      <c r="W602" s="1"/>
      <c r="X602" s="1"/>
      <c r="AB602" s="9"/>
      <c r="AC602" s="9"/>
      <c r="AD602" s="9"/>
      <c r="AF602" s="10"/>
      <c r="AG602" s="10"/>
      <c r="AH602" s="10"/>
      <c r="AI602" s="10"/>
    </row>
    <row r="603" spans="1:35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1"/>
      <c r="V603" s="1"/>
      <c r="W603" s="1"/>
      <c r="X603" s="1"/>
      <c r="AB603" s="9"/>
      <c r="AC603" s="9"/>
      <c r="AD603" s="9"/>
      <c r="AF603" s="10"/>
      <c r="AG603" s="10"/>
      <c r="AH603" s="10"/>
      <c r="AI603" s="10"/>
    </row>
    <row r="604" spans="1:35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1"/>
      <c r="V604" s="1"/>
      <c r="W604" s="1"/>
      <c r="X604" s="1"/>
      <c r="AB604" s="9"/>
      <c r="AC604" s="9"/>
      <c r="AD604" s="9"/>
      <c r="AF604" s="10"/>
      <c r="AG604" s="10"/>
      <c r="AH604" s="10"/>
      <c r="AI604" s="10"/>
    </row>
    <row r="605" spans="1:35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1"/>
      <c r="V605" s="1"/>
      <c r="W605" s="1"/>
      <c r="X605" s="1"/>
      <c r="AB605" s="9"/>
      <c r="AC605" s="9"/>
      <c r="AD605" s="9"/>
      <c r="AF605" s="10"/>
      <c r="AG605" s="10"/>
      <c r="AH605" s="10"/>
      <c r="AI605" s="10"/>
    </row>
    <row r="606" spans="1:35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1"/>
      <c r="V606" s="1"/>
      <c r="W606" s="1"/>
      <c r="X606" s="1"/>
      <c r="AB606" s="9"/>
      <c r="AC606" s="9"/>
      <c r="AD606" s="9"/>
      <c r="AF606" s="10"/>
      <c r="AG606" s="10"/>
      <c r="AH606" s="10"/>
      <c r="AI606" s="10"/>
    </row>
    <row r="607" spans="1:35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1"/>
      <c r="V607" s="1"/>
      <c r="W607" s="1"/>
      <c r="X607" s="1"/>
      <c r="AB607" s="9"/>
      <c r="AC607" s="9"/>
      <c r="AD607" s="9"/>
      <c r="AF607" s="10"/>
      <c r="AG607" s="10"/>
      <c r="AH607" s="10"/>
      <c r="AI607" s="10"/>
    </row>
    <row r="608" spans="1:35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1"/>
      <c r="V608" s="1"/>
      <c r="W608" s="1"/>
      <c r="X608" s="1"/>
      <c r="AB608" s="9"/>
      <c r="AC608" s="9"/>
      <c r="AD608" s="9"/>
      <c r="AF608" s="10"/>
      <c r="AG608" s="10"/>
      <c r="AH608" s="10"/>
      <c r="AI608" s="10"/>
    </row>
    <row r="609" spans="1:35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1"/>
      <c r="V609" s="1"/>
      <c r="W609" s="1"/>
      <c r="X609" s="1"/>
      <c r="AB609" s="9"/>
      <c r="AC609" s="9"/>
      <c r="AD609" s="9"/>
      <c r="AF609" s="10"/>
      <c r="AG609" s="10"/>
      <c r="AH609" s="10"/>
      <c r="AI609" s="10"/>
    </row>
    <row r="610" spans="1:35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1"/>
      <c r="V610" s="1"/>
      <c r="W610" s="1"/>
      <c r="X610" s="1"/>
      <c r="AB610" s="9"/>
      <c r="AC610" s="9"/>
      <c r="AD610" s="9"/>
      <c r="AF610" s="10"/>
      <c r="AG610" s="10"/>
      <c r="AH610" s="10"/>
      <c r="AI610" s="10"/>
    </row>
    <row r="611" spans="1:35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1"/>
      <c r="V611" s="1"/>
      <c r="W611" s="1"/>
      <c r="X611" s="1"/>
      <c r="AB611" s="9"/>
      <c r="AC611" s="9"/>
      <c r="AD611" s="9"/>
      <c r="AF611" s="10"/>
      <c r="AG611" s="10"/>
      <c r="AH611" s="10"/>
      <c r="AI611" s="10"/>
    </row>
    <row r="612" spans="1:35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1"/>
      <c r="V612" s="1"/>
      <c r="W612" s="1"/>
      <c r="X612" s="1"/>
      <c r="AB612" s="9"/>
      <c r="AC612" s="9"/>
      <c r="AD612" s="9"/>
      <c r="AF612" s="10"/>
      <c r="AG612" s="10"/>
      <c r="AH612" s="10"/>
      <c r="AI612" s="10"/>
    </row>
    <row r="613" spans="1:35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1"/>
      <c r="V613" s="1"/>
      <c r="W613" s="1"/>
      <c r="X613" s="1"/>
      <c r="AB613" s="9"/>
      <c r="AC613" s="9"/>
      <c r="AD613" s="9"/>
      <c r="AF613" s="10"/>
      <c r="AG613" s="10"/>
      <c r="AH613" s="10"/>
      <c r="AI613" s="10"/>
    </row>
    <row r="614" spans="1:35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1"/>
      <c r="V614" s="1"/>
      <c r="W614" s="1"/>
      <c r="X614" s="1"/>
      <c r="AB614" s="9"/>
      <c r="AC614" s="9"/>
      <c r="AD614" s="9"/>
      <c r="AF614" s="10"/>
      <c r="AG614" s="10"/>
      <c r="AH614" s="10"/>
      <c r="AI614" s="10"/>
    </row>
    <row r="615" spans="1:35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1"/>
      <c r="V615" s="1"/>
      <c r="W615" s="1"/>
      <c r="X615" s="1"/>
      <c r="AB615" s="9"/>
      <c r="AC615" s="9"/>
      <c r="AD615" s="9"/>
      <c r="AF615" s="10"/>
      <c r="AG615" s="10"/>
      <c r="AH615" s="10"/>
      <c r="AI615" s="10"/>
    </row>
    <row r="616" spans="1:35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1"/>
      <c r="V616" s="1"/>
      <c r="W616" s="1"/>
      <c r="X616" s="1"/>
      <c r="AB616" s="9"/>
      <c r="AC616" s="9"/>
      <c r="AD616" s="9"/>
      <c r="AF616" s="10"/>
      <c r="AG616" s="10"/>
      <c r="AH616" s="10"/>
      <c r="AI616" s="10"/>
    </row>
    <row r="617" spans="1:35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1"/>
      <c r="V617" s="1"/>
      <c r="W617" s="1"/>
      <c r="X617" s="1"/>
      <c r="AB617" s="9"/>
      <c r="AC617" s="9"/>
      <c r="AD617" s="9"/>
      <c r="AF617" s="10"/>
      <c r="AG617" s="10"/>
      <c r="AH617" s="10"/>
      <c r="AI617" s="10"/>
    </row>
    <row r="618" spans="1:35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1"/>
      <c r="V618" s="1"/>
      <c r="W618" s="1"/>
      <c r="X618" s="1"/>
      <c r="AB618" s="9"/>
      <c r="AC618" s="9"/>
      <c r="AD618" s="9"/>
      <c r="AF618" s="10"/>
      <c r="AG618" s="10"/>
      <c r="AH618" s="10"/>
      <c r="AI618" s="10"/>
    </row>
    <row r="619" spans="1:35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1"/>
      <c r="V619" s="1"/>
      <c r="W619" s="1"/>
      <c r="X619" s="1"/>
      <c r="AB619" s="9"/>
      <c r="AC619" s="9"/>
      <c r="AD619" s="9"/>
      <c r="AF619" s="10"/>
      <c r="AG619" s="10"/>
      <c r="AH619" s="10"/>
      <c r="AI619" s="10"/>
    </row>
    <row r="620" spans="1:35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1"/>
      <c r="V620" s="1"/>
      <c r="W620" s="1"/>
      <c r="X620" s="1"/>
      <c r="AB620" s="9"/>
      <c r="AC620" s="9"/>
      <c r="AD620" s="9"/>
      <c r="AF620" s="10"/>
      <c r="AG620" s="10"/>
      <c r="AH620" s="10"/>
      <c r="AI620" s="10"/>
    </row>
    <row r="621" spans="1:35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1"/>
      <c r="V621" s="1"/>
      <c r="W621" s="1"/>
      <c r="X621" s="1"/>
      <c r="AB621" s="9"/>
      <c r="AC621" s="9"/>
      <c r="AD621" s="9"/>
      <c r="AF621" s="10"/>
      <c r="AG621" s="10"/>
      <c r="AH621" s="10"/>
      <c r="AI621" s="10"/>
    </row>
    <row r="622" spans="1:35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1"/>
      <c r="V622" s="1"/>
      <c r="W622" s="1"/>
      <c r="X622" s="1"/>
      <c r="AB622" s="9"/>
      <c r="AC622" s="9"/>
      <c r="AD622" s="9"/>
      <c r="AF622" s="10"/>
      <c r="AG622" s="10"/>
      <c r="AH622" s="10"/>
      <c r="AI622" s="10"/>
    </row>
    <row r="623" spans="1:35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1"/>
      <c r="V623" s="1"/>
      <c r="W623" s="1"/>
      <c r="X623" s="1"/>
      <c r="AB623" s="9"/>
      <c r="AC623" s="9"/>
      <c r="AD623" s="9"/>
      <c r="AF623" s="10"/>
      <c r="AG623" s="10"/>
      <c r="AH623" s="10"/>
      <c r="AI623" s="10"/>
    </row>
    <row r="624" spans="1:35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1"/>
      <c r="V624" s="1"/>
      <c r="W624" s="1"/>
      <c r="X624" s="1"/>
      <c r="AB624" s="9"/>
      <c r="AC624" s="9"/>
      <c r="AD624" s="9"/>
      <c r="AF624" s="10"/>
      <c r="AG624" s="10"/>
      <c r="AH624" s="10"/>
      <c r="AI624" s="10"/>
    </row>
    <row r="625" spans="1:35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1"/>
      <c r="V625" s="1"/>
      <c r="W625" s="1"/>
      <c r="X625" s="1"/>
      <c r="AB625" s="9"/>
      <c r="AC625" s="9"/>
      <c r="AD625" s="9"/>
      <c r="AF625" s="10"/>
      <c r="AG625" s="10"/>
      <c r="AH625" s="10"/>
      <c r="AI625" s="10"/>
    </row>
    <row r="626" spans="1:35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1"/>
      <c r="V626" s="1"/>
      <c r="W626" s="1"/>
      <c r="X626" s="1"/>
      <c r="AB626" s="9"/>
      <c r="AC626" s="9"/>
      <c r="AD626" s="9"/>
      <c r="AF626" s="10"/>
      <c r="AG626" s="10"/>
      <c r="AH626" s="10"/>
      <c r="AI626" s="10"/>
    </row>
    <row r="627" spans="1:35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1"/>
      <c r="V627" s="1"/>
      <c r="W627" s="1"/>
      <c r="X627" s="1"/>
      <c r="AB627" s="9"/>
      <c r="AC627" s="9"/>
      <c r="AD627" s="9"/>
      <c r="AF627" s="10"/>
      <c r="AG627" s="10"/>
      <c r="AH627" s="10"/>
      <c r="AI627" s="10"/>
    </row>
    <row r="628" spans="1:35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1"/>
      <c r="V628" s="1"/>
      <c r="W628" s="1"/>
      <c r="X628" s="1"/>
      <c r="AB628" s="9"/>
      <c r="AC628" s="9"/>
      <c r="AD628" s="9"/>
      <c r="AF628" s="10"/>
      <c r="AG628" s="10"/>
      <c r="AH628" s="10"/>
      <c r="AI628" s="10"/>
    </row>
    <row r="629" spans="1:35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1"/>
      <c r="V629" s="1"/>
      <c r="W629" s="1"/>
      <c r="X629" s="1"/>
      <c r="AB629" s="9"/>
      <c r="AC629" s="9"/>
      <c r="AD629" s="9"/>
      <c r="AF629" s="10"/>
      <c r="AG629" s="10"/>
      <c r="AH629" s="10"/>
      <c r="AI629" s="10"/>
    </row>
    <row r="630" spans="1:35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1"/>
      <c r="V630" s="1"/>
      <c r="W630" s="1"/>
      <c r="X630" s="1"/>
      <c r="AB630" s="9"/>
      <c r="AC630" s="9"/>
      <c r="AD630" s="9"/>
      <c r="AF630" s="10"/>
      <c r="AG630" s="10"/>
      <c r="AH630" s="10"/>
      <c r="AI630" s="10"/>
    </row>
    <row r="631" spans="1:35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1"/>
      <c r="V631" s="1"/>
      <c r="W631" s="1"/>
      <c r="X631" s="1"/>
      <c r="AB631" s="9"/>
      <c r="AC631" s="9"/>
      <c r="AD631" s="9"/>
      <c r="AF631" s="10"/>
      <c r="AG631" s="10"/>
      <c r="AH631" s="10"/>
      <c r="AI631" s="10"/>
    </row>
    <row r="632" spans="1:35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1"/>
      <c r="V632" s="1"/>
      <c r="W632" s="1"/>
      <c r="X632" s="1"/>
      <c r="AB632" s="9"/>
      <c r="AC632" s="9"/>
      <c r="AD632" s="9"/>
      <c r="AF632" s="10"/>
      <c r="AG632" s="10"/>
      <c r="AH632" s="10"/>
      <c r="AI632" s="10"/>
    </row>
    <row r="633" spans="1:35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1"/>
      <c r="V633" s="1"/>
      <c r="W633" s="1"/>
      <c r="X633" s="1"/>
      <c r="AB633" s="9"/>
      <c r="AC633" s="9"/>
      <c r="AD633" s="9"/>
      <c r="AF633" s="10"/>
      <c r="AG633" s="10"/>
      <c r="AH633" s="10"/>
      <c r="AI633" s="10"/>
    </row>
    <row r="634" spans="1:35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1"/>
      <c r="V634" s="1"/>
      <c r="W634" s="1"/>
      <c r="X634" s="1"/>
      <c r="AB634" s="9"/>
      <c r="AC634" s="9"/>
      <c r="AD634" s="9"/>
      <c r="AF634" s="10"/>
      <c r="AG634" s="10"/>
      <c r="AH634" s="10"/>
      <c r="AI634" s="10"/>
    </row>
    <row r="635" spans="1:35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1"/>
      <c r="V635" s="1"/>
      <c r="W635" s="1"/>
      <c r="X635" s="1"/>
      <c r="AB635" s="9"/>
      <c r="AC635" s="9"/>
      <c r="AD635" s="9"/>
      <c r="AF635" s="10"/>
      <c r="AG635" s="10"/>
      <c r="AH635" s="10"/>
      <c r="AI635" s="10"/>
    </row>
    <row r="636" spans="1:35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1"/>
      <c r="V636" s="1"/>
      <c r="W636" s="1"/>
      <c r="X636" s="1"/>
      <c r="AB636" s="9"/>
      <c r="AC636" s="9"/>
      <c r="AD636" s="9"/>
      <c r="AF636" s="10"/>
      <c r="AG636" s="10"/>
      <c r="AH636" s="10"/>
      <c r="AI636" s="10"/>
    </row>
    <row r="637" spans="1:35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1"/>
      <c r="V637" s="1"/>
      <c r="W637" s="1"/>
      <c r="X637" s="1"/>
      <c r="AB637" s="9"/>
      <c r="AC637" s="9"/>
      <c r="AD637" s="9"/>
      <c r="AF637" s="10"/>
      <c r="AG637" s="10"/>
      <c r="AH637" s="10"/>
      <c r="AI637" s="10"/>
    </row>
    <row r="638" spans="1:35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1"/>
      <c r="V638" s="1"/>
      <c r="W638" s="1"/>
      <c r="X638" s="1"/>
      <c r="AB638" s="9"/>
      <c r="AC638" s="9"/>
      <c r="AD638" s="9"/>
      <c r="AF638" s="10"/>
      <c r="AG638" s="10"/>
      <c r="AH638" s="10"/>
      <c r="AI638" s="10"/>
    </row>
    <row r="639" spans="1:35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1"/>
      <c r="V639" s="1"/>
      <c r="W639" s="1"/>
      <c r="X639" s="1"/>
      <c r="AB639" s="9"/>
      <c r="AC639" s="9"/>
      <c r="AD639" s="9"/>
      <c r="AF639" s="10"/>
      <c r="AG639" s="10"/>
      <c r="AH639" s="10"/>
      <c r="AI639" s="10"/>
    </row>
    <row r="640" spans="1:35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1"/>
      <c r="V640" s="1"/>
      <c r="W640" s="1"/>
      <c r="X640" s="1"/>
      <c r="AB640" s="9"/>
      <c r="AC640" s="9"/>
      <c r="AD640" s="9"/>
      <c r="AF640" s="10"/>
      <c r="AG640" s="10"/>
      <c r="AH640" s="10"/>
      <c r="AI640" s="10"/>
    </row>
    <row r="641" spans="1:35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1"/>
      <c r="V641" s="1"/>
      <c r="W641" s="1"/>
      <c r="X641" s="1"/>
      <c r="AB641" s="9"/>
      <c r="AC641" s="9"/>
      <c r="AD641" s="9"/>
      <c r="AF641" s="10"/>
      <c r="AG641" s="10"/>
      <c r="AH641" s="10"/>
      <c r="AI641" s="10"/>
    </row>
    <row r="642" spans="1:35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1"/>
      <c r="V642" s="1"/>
      <c r="W642" s="1"/>
      <c r="X642" s="1"/>
      <c r="AB642" s="9"/>
      <c r="AC642" s="9"/>
      <c r="AD642" s="9"/>
      <c r="AF642" s="10"/>
      <c r="AG642" s="10"/>
      <c r="AH642" s="10"/>
      <c r="AI642" s="10"/>
    </row>
    <row r="643" spans="1:35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1"/>
      <c r="V643" s="1"/>
      <c r="W643" s="1"/>
      <c r="X643" s="1"/>
      <c r="AB643" s="9"/>
      <c r="AC643" s="9"/>
      <c r="AD643" s="9"/>
      <c r="AF643" s="10"/>
      <c r="AG643" s="10"/>
      <c r="AH643" s="10"/>
      <c r="AI643" s="10"/>
    </row>
    <row r="644" spans="1:35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1"/>
      <c r="V644" s="1"/>
      <c r="W644" s="1"/>
      <c r="X644" s="1"/>
      <c r="AB644" s="9"/>
      <c r="AC644" s="9"/>
      <c r="AD644" s="9"/>
      <c r="AF644" s="10"/>
      <c r="AG644" s="10"/>
      <c r="AH644" s="10"/>
      <c r="AI644" s="10"/>
    </row>
    <row r="645" spans="1:35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1"/>
      <c r="V645" s="1"/>
      <c r="W645" s="1"/>
      <c r="X645" s="1"/>
      <c r="AB645" s="9"/>
      <c r="AC645" s="9"/>
      <c r="AD645" s="9"/>
      <c r="AF645" s="10"/>
      <c r="AG645" s="10"/>
      <c r="AH645" s="10"/>
      <c r="AI645" s="10"/>
    </row>
    <row r="646" spans="1:35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1"/>
      <c r="V646" s="1"/>
      <c r="W646" s="1"/>
      <c r="X646" s="1"/>
      <c r="AB646" s="9"/>
      <c r="AC646" s="9"/>
      <c r="AD646" s="9"/>
      <c r="AF646" s="10"/>
      <c r="AG646" s="10"/>
      <c r="AH646" s="10"/>
      <c r="AI646" s="10"/>
    </row>
    <row r="647" spans="1:35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1"/>
      <c r="V647" s="1"/>
      <c r="W647" s="1"/>
      <c r="X647" s="1"/>
      <c r="AB647" s="9"/>
      <c r="AC647" s="9"/>
      <c r="AD647" s="9"/>
      <c r="AF647" s="10"/>
      <c r="AG647" s="10"/>
      <c r="AH647" s="10"/>
      <c r="AI647" s="10"/>
    </row>
    <row r="648" spans="1:35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1"/>
      <c r="V648" s="1"/>
      <c r="W648" s="1"/>
      <c r="X648" s="1"/>
      <c r="AB648" s="9"/>
      <c r="AC648" s="9"/>
      <c r="AD648" s="9"/>
      <c r="AF648" s="10"/>
      <c r="AG648" s="10"/>
      <c r="AH648" s="10"/>
      <c r="AI648" s="10"/>
    </row>
    <row r="649" spans="1:35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1"/>
      <c r="V649" s="1"/>
      <c r="W649" s="1"/>
      <c r="X649" s="1"/>
      <c r="AB649" s="9"/>
      <c r="AC649" s="9"/>
      <c r="AD649" s="9"/>
      <c r="AF649" s="10"/>
      <c r="AG649" s="10"/>
      <c r="AH649" s="10"/>
      <c r="AI649" s="10"/>
    </row>
    <row r="650" spans="1:35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1"/>
      <c r="V650" s="1"/>
      <c r="W650" s="1"/>
      <c r="X650" s="1"/>
      <c r="AB650" s="9"/>
      <c r="AC650" s="9"/>
      <c r="AD650" s="9"/>
      <c r="AF650" s="10"/>
      <c r="AG650" s="10"/>
      <c r="AH650" s="10"/>
      <c r="AI650" s="10"/>
    </row>
    <row r="651" spans="1:35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1"/>
      <c r="V651" s="1"/>
      <c r="W651" s="1"/>
      <c r="X651" s="1"/>
      <c r="AB651" s="9"/>
      <c r="AC651" s="9"/>
      <c r="AD651" s="9"/>
      <c r="AF651" s="10"/>
      <c r="AG651" s="10"/>
      <c r="AH651" s="10"/>
      <c r="AI651" s="10"/>
    </row>
    <row r="652" spans="1:35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1"/>
      <c r="V652" s="1"/>
      <c r="W652" s="1"/>
      <c r="X652" s="1"/>
      <c r="AB652" s="9"/>
      <c r="AC652" s="9"/>
      <c r="AD652" s="9"/>
      <c r="AF652" s="10"/>
      <c r="AG652" s="10"/>
      <c r="AH652" s="10"/>
      <c r="AI652" s="10"/>
    </row>
    <row r="653" spans="1:35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1"/>
      <c r="V653" s="1"/>
      <c r="W653" s="1"/>
      <c r="X653" s="1"/>
      <c r="AB653" s="9"/>
      <c r="AC653" s="9"/>
      <c r="AD653" s="9"/>
      <c r="AF653" s="10"/>
      <c r="AG653" s="10"/>
      <c r="AH653" s="10"/>
      <c r="AI653" s="10"/>
    </row>
    <row r="654" spans="1:35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1"/>
      <c r="V654" s="1"/>
      <c r="W654" s="1"/>
      <c r="X654" s="1"/>
      <c r="AB654" s="9"/>
      <c r="AC654" s="9"/>
      <c r="AD654" s="9"/>
      <c r="AF654" s="10"/>
      <c r="AG654" s="10"/>
      <c r="AH654" s="10"/>
      <c r="AI654" s="10"/>
    </row>
    <row r="655" spans="1:35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1"/>
      <c r="V655" s="1"/>
      <c r="W655" s="1"/>
      <c r="X655" s="1"/>
      <c r="AB655" s="9"/>
      <c r="AC655" s="9"/>
      <c r="AD655" s="9"/>
      <c r="AF655" s="10"/>
      <c r="AG655" s="10"/>
      <c r="AH655" s="10"/>
      <c r="AI655" s="10"/>
    </row>
    <row r="656" spans="1:35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1"/>
      <c r="V656" s="1"/>
      <c r="W656" s="1"/>
      <c r="X656" s="1"/>
      <c r="AB656" s="9"/>
      <c r="AC656" s="9"/>
      <c r="AD656" s="9"/>
      <c r="AF656" s="10"/>
      <c r="AG656" s="10"/>
      <c r="AH656" s="10"/>
      <c r="AI656" s="10"/>
    </row>
    <row r="657" spans="1:35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1"/>
      <c r="V657" s="1"/>
      <c r="W657" s="1"/>
      <c r="X657" s="1"/>
      <c r="AB657" s="9"/>
      <c r="AC657" s="9"/>
      <c r="AD657" s="9"/>
      <c r="AF657" s="10"/>
      <c r="AG657" s="10"/>
      <c r="AH657" s="10"/>
      <c r="AI657" s="10"/>
    </row>
    <row r="658" spans="1:35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1"/>
      <c r="V658" s="1"/>
      <c r="W658" s="1"/>
      <c r="X658" s="1"/>
      <c r="AB658" s="9"/>
      <c r="AC658" s="9"/>
      <c r="AD658" s="9"/>
      <c r="AF658" s="10"/>
      <c r="AG658" s="10"/>
      <c r="AH658" s="10"/>
      <c r="AI658" s="10"/>
    </row>
    <row r="659" spans="1:35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1"/>
      <c r="V659" s="1"/>
      <c r="W659" s="1"/>
      <c r="X659" s="1"/>
      <c r="AB659" s="9"/>
      <c r="AC659" s="9"/>
      <c r="AD659" s="9"/>
      <c r="AF659" s="10"/>
      <c r="AG659" s="10"/>
      <c r="AH659" s="10"/>
      <c r="AI659" s="10"/>
    </row>
    <row r="660" spans="1:35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1"/>
      <c r="V660" s="1"/>
      <c r="W660" s="1"/>
      <c r="X660" s="1"/>
      <c r="AB660" s="9"/>
      <c r="AC660" s="9"/>
      <c r="AD660" s="9"/>
      <c r="AF660" s="10"/>
      <c r="AG660" s="10"/>
      <c r="AH660" s="10"/>
      <c r="AI660" s="10"/>
    </row>
    <row r="661" spans="1:35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1"/>
      <c r="V661" s="1"/>
      <c r="W661" s="1"/>
      <c r="X661" s="1"/>
      <c r="AB661" s="9"/>
      <c r="AC661" s="9"/>
      <c r="AD661" s="9"/>
      <c r="AF661" s="10"/>
      <c r="AG661" s="10"/>
      <c r="AH661" s="10"/>
      <c r="AI661" s="10"/>
    </row>
    <row r="662" spans="1:35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1"/>
      <c r="V662" s="1"/>
      <c r="W662" s="1"/>
      <c r="X662" s="1"/>
      <c r="AB662" s="9"/>
      <c r="AC662" s="9"/>
      <c r="AD662" s="9"/>
      <c r="AF662" s="10"/>
      <c r="AG662" s="10"/>
      <c r="AH662" s="10"/>
      <c r="AI662" s="10"/>
    </row>
    <row r="663" spans="1:35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1"/>
      <c r="V663" s="1"/>
      <c r="W663" s="1"/>
      <c r="X663" s="1"/>
      <c r="AB663" s="9"/>
      <c r="AC663" s="9"/>
      <c r="AD663" s="9"/>
      <c r="AF663" s="10"/>
      <c r="AG663" s="10"/>
      <c r="AH663" s="10"/>
      <c r="AI663" s="10"/>
    </row>
    <row r="664" spans="1:35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1"/>
      <c r="V664" s="1"/>
      <c r="W664" s="1"/>
      <c r="X664" s="1"/>
      <c r="AB664" s="9"/>
      <c r="AC664" s="9"/>
      <c r="AD664" s="9"/>
      <c r="AF664" s="10"/>
      <c r="AG664" s="10"/>
      <c r="AH664" s="10"/>
      <c r="AI664" s="10"/>
    </row>
    <row r="665" spans="1:35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1"/>
      <c r="V665" s="1"/>
      <c r="W665" s="1"/>
      <c r="X665" s="1"/>
      <c r="AB665" s="9"/>
      <c r="AC665" s="9"/>
      <c r="AD665" s="9"/>
      <c r="AF665" s="10"/>
      <c r="AG665" s="10"/>
      <c r="AH665" s="10"/>
      <c r="AI665" s="10"/>
    </row>
    <row r="666" spans="1:35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1"/>
      <c r="V666" s="1"/>
      <c r="W666" s="1"/>
      <c r="X666" s="1"/>
      <c r="AB666" s="9"/>
      <c r="AC666" s="9"/>
      <c r="AD666" s="9"/>
      <c r="AF666" s="10"/>
      <c r="AG666" s="10"/>
      <c r="AH666" s="10"/>
      <c r="AI666" s="10"/>
    </row>
    <row r="667" spans="1:35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1"/>
      <c r="V667" s="1"/>
      <c r="W667" s="1"/>
      <c r="X667" s="1"/>
      <c r="AB667" s="9"/>
      <c r="AC667" s="9"/>
      <c r="AD667" s="9"/>
      <c r="AF667" s="10"/>
      <c r="AG667" s="10"/>
      <c r="AH667" s="10"/>
      <c r="AI667" s="10"/>
    </row>
    <row r="668" spans="1:35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1"/>
      <c r="V668" s="1"/>
      <c r="W668" s="1"/>
      <c r="X668" s="1"/>
      <c r="AB668" s="9"/>
      <c r="AC668" s="9"/>
      <c r="AD668" s="9"/>
      <c r="AF668" s="10"/>
      <c r="AG668" s="10"/>
      <c r="AH668" s="10"/>
      <c r="AI668" s="10"/>
    </row>
    <row r="669" spans="1:35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1"/>
      <c r="V669" s="1"/>
      <c r="W669" s="1"/>
      <c r="X669" s="1"/>
      <c r="AB669" s="9"/>
      <c r="AC669" s="9"/>
      <c r="AD669" s="9"/>
      <c r="AF669" s="10"/>
      <c r="AG669" s="10"/>
      <c r="AH669" s="10"/>
      <c r="AI669" s="10"/>
    </row>
    <row r="670" spans="1:35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1"/>
      <c r="V670" s="1"/>
      <c r="W670" s="1"/>
      <c r="X670" s="1"/>
      <c r="AB670" s="9"/>
      <c r="AC670" s="9"/>
      <c r="AD670" s="9"/>
      <c r="AF670" s="10"/>
      <c r="AG670" s="10"/>
      <c r="AH670" s="10"/>
      <c r="AI670" s="10"/>
    </row>
    <row r="671" spans="1:35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1"/>
      <c r="V671" s="1"/>
      <c r="W671" s="1"/>
      <c r="X671" s="1"/>
      <c r="AB671" s="9"/>
      <c r="AC671" s="9"/>
      <c r="AD671" s="9"/>
      <c r="AF671" s="10"/>
      <c r="AG671" s="10"/>
      <c r="AH671" s="10"/>
      <c r="AI671" s="10"/>
    </row>
    <row r="672" spans="1:35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1"/>
      <c r="V672" s="1"/>
      <c r="W672" s="1"/>
      <c r="X672" s="1"/>
      <c r="AB672" s="9"/>
      <c r="AC672" s="9"/>
      <c r="AD672" s="9"/>
      <c r="AF672" s="10"/>
      <c r="AG672" s="10"/>
      <c r="AH672" s="10"/>
      <c r="AI672" s="10"/>
    </row>
    <row r="673" spans="1:35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1"/>
      <c r="V673" s="1"/>
      <c r="W673" s="1"/>
      <c r="X673" s="1"/>
      <c r="AB673" s="9"/>
      <c r="AC673" s="9"/>
      <c r="AD673" s="9"/>
      <c r="AF673" s="10"/>
      <c r="AG673" s="10"/>
      <c r="AH673" s="10"/>
      <c r="AI673" s="10"/>
    </row>
    <row r="674" spans="1:35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1"/>
      <c r="V674" s="1"/>
      <c r="W674" s="1"/>
      <c r="X674" s="1"/>
      <c r="AB674" s="9"/>
      <c r="AC674" s="9"/>
      <c r="AD674" s="9"/>
      <c r="AF674" s="10"/>
      <c r="AG674" s="10"/>
      <c r="AH674" s="10"/>
      <c r="AI674" s="10"/>
    </row>
    <row r="675" spans="1:35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1"/>
      <c r="V675" s="1"/>
      <c r="W675" s="1"/>
      <c r="X675" s="1"/>
      <c r="AB675" s="9"/>
      <c r="AC675" s="9"/>
      <c r="AD675" s="9"/>
      <c r="AF675" s="10"/>
      <c r="AG675" s="10"/>
      <c r="AH675" s="10"/>
      <c r="AI675" s="10"/>
    </row>
    <row r="676" spans="1:35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1"/>
      <c r="V676" s="1"/>
      <c r="W676" s="1"/>
      <c r="X676" s="1"/>
      <c r="AB676" s="9"/>
      <c r="AC676" s="9"/>
      <c r="AD676" s="9"/>
      <c r="AF676" s="10"/>
      <c r="AG676" s="10"/>
      <c r="AH676" s="10"/>
      <c r="AI676" s="10"/>
    </row>
    <row r="677" spans="1:35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1"/>
      <c r="V677" s="1"/>
      <c r="W677" s="1"/>
      <c r="X677" s="1"/>
      <c r="AB677" s="9"/>
      <c r="AC677" s="9"/>
      <c r="AD677" s="9"/>
      <c r="AF677" s="10"/>
      <c r="AG677" s="10"/>
      <c r="AH677" s="10"/>
      <c r="AI677" s="10"/>
    </row>
    <row r="678" spans="1:35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1"/>
      <c r="V678" s="1"/>
      <c r="W678" s="1"/>
      <c r="X678" s="1"/>
      <c r="AB678" s="9"/>
      <c r="AC678" s="9"/>
      <c r="AD678" s="9"/>
      <c r="AF678" s="10"/>
      <c r="AG678" s="10"/>
      <c r="AH678" s="10"/>
      <c r="AI678" s="10"/>
    </row>
    <row r="679" spans="1:35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1"/>
      <c r="V679" s="1"/>
      <c r="W679" s="1"/>
      <c r="X679" s="1"/>
      <c r="AB679" s="9"/>
      <c r="AC679" s="9"/>
      <c r="AD679" s="9"/>
      <c r="AF679" s="10"/>
      <c r="AG679" s="10"/>
      <c r="AH679" s="10"/>
      <c r="AI679" s="10"/>
    </row>
    <row r="680" spans="1:35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1"/>
      <c r="V680" s="1"/>
      <c r="W680" s="1"/>
      <c r="X680" s="1"/>
      <c r="AB680" s="9"/>
      <c r="AC680" s="9"/>
      <c r="AD680" s="9"/>
      <c r="AF680" s="10"/>
      <c r="AG680" s="10"/>
      <c r="AH680" s="10"/>
      <c r="AI680" s="10"/>
    </row>
    <row r="681" spans="1:35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1"/>
      <c r="V681" s="1"/>
      <c r="W681" s="1"/>
      <c r="X681" s="1"/>
      <c r="AB681" s="9"/>
      <c r="AC681" s="9"/>
      <c r="AD681" s="9"/>
      <c r="AF681" s="10"/>
      <c r="AG681" s="10"/>
      <c r="AH681" s="10"/>
      <c r="AI681" s="10"/>
    </row>
    <row r="682" spans="1:35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1"/>
      <c r="V682" s="1"/>
      <c r="W682" s="1"/>
      <c r="X682" s="1"/>
      <c r="AB682" s="9"/>
      <c r="AC682" s="9"/>
      <c r="AD682" s="9"/>
      <c r="AF682" s="10"/>
      <c r="AG682" s="10"/>
      <c r="AH682" s="10"/>
      <c r="AI682" s="10"/>
    </row>
    <row r="683" spans="1:35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1"/>
      <c r="V683" s="1"/>
      <c r="W683" s="1"/>
      <c r="X683" s="1"/>
      <c r="AB683" s="9"/>
      <c r="AC683" s="9"/>
      <c r="AD683" s="9"/>
      <c r="AF683" s="10"/>
      <c r="AG683" s="10"/>
      <c r="AH683" s="10"/>
      <c r="AI683" s="10"/>
    </row>
    <row r="684" spans="1:35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1"/>
      <c r="V684" s="1"/>
      <c r="W684" s="1"/>
      <c r="X684" s="1"/>
      <c r="AB684" s="9"/>
      <c r="AC684" s="9"/>
      <c r="AD684" s="9"/>
      <c r="AF684" s="10"/>
      <c r="AG684" s="10"/>
      <c r="AH684" s="10"/>
      <c r="AI684" s="10"/>
    </row>
    <row r="685" spans="1:35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1"/>
      <c r="V685" s="1"/>
      <c r="W685" s="1"/>
      <c r="X685" s="1"/>
      <c r="AB685" s="9"/>
      <c r="AC685" s="9"/>
      <c r="AD685" s="9"/>
      <c r="AF685" s="10"/>
      <c r="AG685" s="10"/>
      <c r="AH685" s="10"/>
      <c r="AI685" s="10"/>
    </row>
    <row r="686" spans="1:35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1"/>
      <c r="V686" s="1"/>
      <c r="W686" s="1"/>
      <c r="X686" s="1"/>
      <c r="AB686" s="9"/>
      <c r="AC686" s="9"/>
      <c r="AD686" s="9"/>
      <c r="AF686" s="10"/>
      <c r="AG686" s="10"/>
      <c r="AH686" s="10"/>
      <c r="AI686" s="10"/>
    </row>
    <row r="687" spans="1:35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1"/>
      <c r="V687" s="1"/>
      <c r="W687" s="1"/>
      <c r="X687" s="1"/>
      <c r="AB687" s="9"/>
      <c r="AC687" s="9"/>
      <c r="AD687" s="9"/>
      <c r="AF687" s="10"/>
      <c r="AG687" s="10"/>
      <c r="AH687" s="10"/>
      <c r="AI687" s="10"/>
    </row>
    <row r="688" spans="1:35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1"/>
      <c r="V688" s="1"/>
      <c r="W688" s="1"/>
      <c r="X688" s="1"/>
      <c r="AB688" s="9"/>
      <c r="AC688" s="9"/>
      <c r="AD688" s="9"/>
      <c r="AF688" s="10"/>
      <c r="AG688" s="10"/>
      <c r="AH688" s="10"/>
      <c r="AI688" s="10"/>
    </row>
    <row r="689" spans="1:35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1"/>
      <c r="V689" s="1"/>
      <c r="W689" s="1"/>
      <c r="X689" s="1"/>
      <c r="AB689" s="9"/>
      <c r="AC689" s="9"/>
      <c r="AD689" s="9"/>
      <c r="AF689" s="10"/>
      <c r="AG689" s="10"/>
      <c r="AH689" s="10"/>
      <c r="AI689" s="10"/>
    </row>
    <row r="690" spans="1:35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1"/>
      <c r="V690" s="1"/>
      <c r="W690" s="1"/>
      <c r="X690" s="1"/>
      <c r="AB690" s="9"/>
      <c r="AC690" s="9"/>
      <c r="AD690" s="9"/>
      <c r="AF690" s="10"/>
      <c r="AG690" s="10"/>
      <c r="AH690" s="10"/>
      <c r="AI690" s="10"/>
    </row>
    <row r="691" spans="1:35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1"/>
      <c r="V691" s="1"/>
      <c r="W691" s="1"/>
      <c r="X691" s="1"/>
      <c r="AB691" s="9"/>
      <c r="AC691" s="9"/>
      <c r="AD691" s="9"/>
      <c r="AF691" s="10"/>
      <c r="AG691" s="10"/>
      <c r="AH691" s="10"/>
      <c r="AI691" s="10"/>
    </row>
    <row r="692" spans="1:35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1"/>
      <c r="V692" s="1"/>
      <c r="W692" s="1"/>
      <c r="X692" s="1"/>
      <c r="AB692" s="9"/>
      <c r="AC692" s="9"/>
      <c r="AD692" s="9"/>
      <c r="AF692" s="10"/>
      <c r="AG692" s="10"/>
      <c r="AH692" s="10"/>
      <c r="AI692" s="10"/>
    </row>
    <row r="693" spans="1:35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1"/>
      <c r="V693" s="1"/>
      <c r="W693" s="1"/>
      <c r="X693" s="1"/>
      <c r="AB693" s="9"/>
      <c r="AC693" s="9"/>
      <c r="AD693" s="9"/>
      <c r="AF693" s="10"/>
      <c r="AG693" s="10"/>
      <c r="AH693" s="10"/>
      <c r="AI693" s="10"/>
    </row>
    <row r="694" spans="1:35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1"/>
      <c r="V694" s="1"/>
      <c r="W694" s="1"/>
      <c r="X694" s="1"/>
      <c r="AB694" s="9"/>
      <c r="AC694" s="9"/>
      <c r="AD694" s="9"/>
      <c r="AF694" s="10"/>
      <c r="AG694" s="10"/>
      <c r="AH694" s="10"/>
      <c r="AI694" s="10"/>
    </row>
    <row r="695" spans="1:35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1"/>
      <c r="V695" s="1"/>
      <c r="W695" s="1"/>
      <c r="X695" s="1"/>
      <c r="AB695" s="9"/>
      <c r="AC695" s="9"/>
      <c r="AD695" s="9"/>
      <c r="AF695" s="10"/>
      <c r="AG695" s="10"/>
      <c r="AH695" s="10"/>
      <c r="AI695" s="10"/>
    </row>
    <row r="696" spans="1:35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1"/>
      <c r="V696" s="1"/>
      <c r="W696" s="1"/>
      <c r="X696" s="1"/>
      <c r="AB696" s="9"/>
      <c r="AC696" s="9"/>
      <c r="AD696" s="9"/>
      <c r="AF696" s="10"/>
      <c r="AG696" s="10"/>
      <c r="AH696" s="10"/>
      <c r="AI696" s="10"/>
    </row>
    <row r="697" spans="1:35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1"/>
      <c r="V697" s="1"/>
      <c r="W697" s="1"/>
      <c r="X697" s="1"/>
      <c r="AB697" s="9"/>
      <c r="AC697" s="9"/>
      <c r="AD697" s="9"/>
      <c r="AF697" s="10"/>
      <c r="AG697" s="10"/>
      <c r="AH697" s="10"/>
      <c r="AI697" s="10"/>
    </row>
    <row r="698" spans="1:35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1"/>
      <c r="V698" s="1"/>
      <c r="W698" s="1"/>
      <c r="X698" s="1"/>
      <c r="AB698" s="9"/>
      <c r="AC698" s="9"/>
      <c r="AD698" s="9"/>
      <c r="AF698" s="10"/>
      <c r="AG698" s="10"/>
      <c r="AH698" s="10"/>
      <c r="AI698" s="10"/>
    </row>
    <row r="699" spans="1:35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1"/>
      <c r="V699" s="1"/>
      <c r="W699" s="1"/>
      <c r="X699" s="1"/>
      <c r="AB699" s="9"/>
      <c r="AC699" s="9"/>
      <c r="AD699" s="9"/>
      <c r="AF699" s="10"/>
      <c r="AG699" s="10"/>
      <c r="AH699" s="10"/>
      <c r="AI699" s="10"/>
    </row>
    <row r="700" spans="1:35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1"/>
      <c r="V700" s="1"/>
      <c r="W700" s="1"/>
      <c r="X700" s="1"/>
      <c r="AB700" s="9"/>
      <c r="AC700" s="9"/>
      <c r="AD700" s="9"/>
      <c r="AF700" s="10"/>
      <c r="AG700" s="10"/>
      <c r="AH700" s="10"/>
      <c r="AI700" s="10"/>
    </row>
    <row r="701" spans="1:35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1"/>
      <c r="V701" s="1"/>
      <c r="W701" s="1"/>
      <c r="X701" s="1"/>
      <c r="AB701" s="9"/>
      <c r="AC701" s="9"/>
      <c r="AD701" s="9"/>
      <c r="AF701" s="10"/>
      <c r="AG701" s="10"/>
      <c r="AH701" s="10"/>
      <c r="AI701" s="10"/>
    </row>
    <row r="702" spans="1:35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1"/>
      <c r="V702" s="1"/>
      <c r="W702" s="1"/>
      <c r="X702" s="1"/>
      <c r="AB702" s="9"/>
      <c r="AC702" s="9"/>
      <c r="AD702" s="9"/>
      <c r="AF702" s="10"/>
      <c r="AG702" s="10"/>
      <c r="AH702" s="10"/>
      <c r="AI702" s="10"/>
    </row>
    <row r="703" spans="1:35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1"/>
      <c r="V703" s="1"/>
      <c r="W703" s="1"/>
      <c r="X703" s="1"/>
      <c r="AB703" s="9"/>
      <c r="AC703" s="9"/>
      <c r="AD703" s="9"/>
      <c r="AF703" s="10"/>
      <c r="AG703" s="10"/>
      <c r="AH703" s="10"/>
      <c r="AI703" s="10"/>
    </row>
    <row r="704" spans="1:35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1"/>
      <c r="V704" s="1"/>
      <c r="W704" s="1"/>
      <c r="X704" s="1"/>
      <c r="AB704" s="9"/>
      <c r="AC704" s="9"/>
      <c r="AD704" s="9"/>
      <c r="AF704" s="10"/>
      <c r="AG704" s="10"/>
      <c r="AH704" s="10"/>
      <c r="AI704" s="10"/>
    </row>
    <row r="705" spans="1:35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1"/>
      <c r="V705" s="1"/>
      <c r="W705" s="1"/>
      <c r="X705" s="1"/>
      <c r="AB705" s="9"/>
      <c r="AC705" s="9"/>
      <c r="AD705" s="9"/>
      <c r="AF705" s="10"/>
      <c r="AG705" s="10"/>
      <c r="AH705" s="10"/>
      <c r="AI705" s="10"/>
    </row>
    <row r="706" spans="1:35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1"/>
      <c r="V706" s="1"/>
      <c r="W706" s="1"/>
      <c r="X706" s="1"/>
      <c r="AB706" s="9"/>
      <c r="AC706" s="9"/>
      <c r="AD706" s="9"/>
      <c r="AF706" s="10"/>
      <c r="AG706" s="10"/>
      <c r="AH706" s="10"/>
      <c r="AI706" s="10"/>
    </row>
    <row r="707" spans="1:35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1"/>
      <c r="V707" s="1"/>
      <c r="W707" s="1"/>
      <c r="X707" s="1"/>
      <c r="AB707" s="9"/>
      <c r="AC707" s="9"/>
      <c r="AD707" s="9"/>
      <c r="AF707" s="10"/>
      <c r="AG707" s="10"/>
      <c r="AH707" s="10"/>
      <c r="AI707" s="10"/>
    </row>
    <row r="708" spans="1:35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1"/>
      <c r="V708" s="1"/>
      <c r="W708" s="1"/>
      <c r="X708" s="1"/>
      <c r="AB708" s="9"/>
      <c r="AC708" s="9"/>
      <c r="AD708" s="9"/>
      <c r="AF708" s="10"/>
      <c r="AG708" s="10"/>
      <c r="AH708" s="10"/>
      <c r="AI708" s="10"/>
    </row>
    <row r="709" spans="1:35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1"/>
      <c r="V709" s="1"/>
      <c r="W709" s="1"/>
      <c r="X709" s="1"/>
      <c r="AB709" s="9"/>
      <c r="AC709" s="9"/>
      <c r="AD709" s="9"/>
      <c r="AF709" s="10"/>
      <c r="AG709" s="10"/>
      <c r="AH709" s="10"/>
      <c r="AI709" s="10"/>
    </row>
    <row r="710" spans="1:35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1"/>
      <c r="V710" s="1"/>
      <c r="W710" s="1"/>
      <c r="X710" s="1"/>
      <c r="AB710" s="9"/>
      <c r="AC710" s="9"/>
      <c r="AD710" s="9"/>
      <c r="AF710" s="10"/>
      <c r="AG710" s="10"/>
      <c r="AH710" s="10"/>
      <c r="AI710" s="10"/>
    </row>
    <row r="711" spans="1:35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1"/>
      <c r="V711" s="1"/>
      <c r="W711" s="1"/>
      <c r="X711" s="1"/>
      <c r="AB711" s="9"/>
      <c r="AC711" s="9"/>
      <c r="AD711" s="9"/>
      <c r="AF711" s="10"/>
      <c r="AG711" s="10"/>
      <c r="AH711" s="10"/>
      <c r="AI711" s="10"/>
    </row>
    <row r="712" spans="1:35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1"/>
      <c r="V712" s="1"/>
      <c r="W712" s="1"/>
      <c r="X712" s="1"/>
      <c r="AB712" s="9"/>
      <c r="AC712" s="9"/>
      <c r="AD712" s="9"/>
      <c r="AF712" s="10"/>
      <c r="AG712" s="10"/>
      <c r="AH712" s="10"/>
      <c r="AI712" s="10"/>
    </row>
    <row r="713" spans="1:35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1"/>
      <c r="V713" s="1"/>
      <c r="W713" s="1"/>
      <c r="X713" s="1"/>
      <c r="AB713" s="9"/>
      <c r="AC713" s="9"/>
      <c r="AD713" s="9"/>
      <c r="AF713" s="10"/>
      <c r="AG713" s="10"/>
      <c r="AH713" s="10"/>
      <c r="AI713" s="10"/>
    </row>
    <row r="714" spans="1:35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1"/>
      <c r="V714" s="1"/>
      <c r="W714" s="1"/>
      <c r="X714" s="1"/>
      <c r="AB714" s="9"/>
      <c r="AC714" s="9"/>
      <c r="AD714" s="9"/>
      <c r="AF714" s="10"/>
      <c r="AG714" s="10"/>
      <c r="AH714" s="10"/>
      <c r="AI714" s="10"/>
    </row>
    <row r="715" spans="1:35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1"/>
      <c r="V715" s="1"/>
      <c r="W715" s="1"/>
      <c r="X715" s="1"/>
      <c r="AB715" s="9"/>
      <c r="AC715" s="9"/>
      <c r="AD715" s="9"/>
      <c r="AF715" s="10"/>
      <c r="AG715" s="10"/>
      <c r="AH715" s="10"/>
      <c r="AI715" s="10"/>
    </row>
    <row r="716" spans="1:35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1"/>
      <c r="V716" s="1"/>
      <c r="W716" s="1"/>
      <c r="X716" s="1"/>
      <c r="AB716" s="9"/>
      <c r="AC716" s="9"/>
      <c r="AD716" s="9"/>
      <c r="AF716" s="10"/>
      <c r="AG716" s="10"/>
      <c r="AH716" s="10"/>
      <c r="AI716" s="10"/>
    </row>
    <row r="717" spans="1:35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1"/>
      <c r="V717" s="1"/>
      <c r="W717" s="1"/>
      <c r="X717" s="1"/>
      <c r="AB717" s="9"/>
      <c r="AC717" s="9"/>
      <c r="AD717" s="9"/>
      <c r="AF717" s="10"/>
      <c r="AG717" s="10"/>
      <c r="AH717" s="10"/>
      <c r="AI717" s="10"/>
    </row>
    <row r="718" spans="1:35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1"/>
      <c r="V718" s="1"/>
      <c r="W718" s="1"/>
      <c r="X718" s="1"/>
      <c r="AB718" s="9"/>
      <c r="AC718" s="9"/>
      <c r="AD718" s="9"/>
      <c r="AF718" s="10"/>
      <c r="AG718" s="10"/>
      <c r="AH718" s="10"/>
      <c r="AI718" s="10"/>
    </row>
    <row r="719" spans="1:35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1"/>
      <c r="V719" s="1"/>
      <c r="W719" s="1"/>
      <c r="X719" s="1"/>
      <c r="AB719" s="9"/>
      <c r="AC719" s="9"/>
      <c r="AD719" s="9"/>
      <c r="AF719" s="10"/>
      <c r="AG719" s="10"/>
      <c r="AH719" s="10"/>
      <c r="AI719" s="10"/>
    </row>
    <row r="720" spans="1:35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1"/>
      <c r="V720" s="1"/>
      <c r="W720" s="1"/>
      <c r="X720" s="1"/>
      <c r="AB720" s="9"/>
      <c r="AC720" s="9"/>
      <c r="AD720" s="9"/>
      <c r="AF720" s="10"/>
      <c r="AG720" s="10"/>
      <c r="AH720" s="10"/>
      <c r="AI720" s="10"/>
    </row>
    <row r="721" spans="1:35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1"/>
      <c r="V721" s="1"/>
      <c r="W721" s="1"/>
      <c r="X721" s="1"/>
      <c r="AB721" s="9"/>
      <c r="AC721" s="9"/>
      <c r="AD721" s="9"/>
      <c r="AF721" s="10"/>
      <c r="AG721" s="10"/>
      <c r="AH721" s="10"/>
      <c r="AI721" s="10"/>
    </row>
    <row r="722" spans="1:35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1"/>
      <c r="V722" s="1"/>
      <c r="W722" s="1"/>
      <c r="X722" s="1"/>
      <c r="AB722" s="9"/>
      <c r="AC722" s="9"/>
      <c r="AD722" s="9"/>
      <c r="AF722" s="10"/>
      <c r="AG722" s="10"/>
      <c r="AH722" s="10"/>
      <c r="AI722" s="10"/>
    </row>
    <row r="723" spans="1:35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1"/>
      <c r="V723" s="1"/>
      <c r="W723" s="1"/>
      <c r="X723" s="1"/>
      <c r="AB723" s="9"/>
      <c r="AC723" s="9"/>
      <c r="AD723" s="9"/>
      <c r="AF723" s="10"/>
      <c r="AG723" s="10"/>
      <c r="AH723" s="10"/>
      <c r="AI723" s="10"/>
    </row>
    <row r="724" spans="1:35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1"/>
      <c r="V724" s="1"/>
      <c r="W724" s="1"/>
      <c r="X724" s="1"/>
      <c r="AB724" s="9"/>
      <c r="AC724" s="9"/>
      <c r="AD724" s="9"/>
      <c r="AF724" s="10"/>
      <c r="AG724" s="10"/>
      <c r="AH724" s="10"/>
      <c r="AI724" s="10"/>
    </row>
    <row r="725" spans="1:35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1"/>
      <c r="V725" s="1"/>
      <c r="W725" s="1"/>
      <c r="X725" s="1"/>
      <c r="AB725" s="9"/>
      <c r="AC725" s="9"/>
      <c r="AD725" s="9"/>
      <c r="AF725" s="10"/>
      <c r="AG725" s="10"/>
      <c r="AH725" s="10"/>
      <c r="AI725" s="10"/>
    </row>
    <row r="726" spans="1:35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1"/>
      <c r="V726" s="1"/>
      <c r="W726" s="1"/>
      <c r="X726" s="1"/>
      <c r="AB726" s="9"/>
      <c r="AC726" s="9"/>
      <c r="AD726" s="9"/>
      <c r="AF726" s="10"/>
      <c r="AG726" s="10"/>
      <c r="AH726" s="10"/>
      <c r="AI726" s="10"/>
    </row>
    <row r="727" spans="1:35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1"/>
      <c r="V727" s="1"/>
      <c r="W727" s="1"/>
      <c r="X727" s="1"/>
      <c r="AB727" s="9"/>
      <c r="AC727" s="9"/>
      <c r="AD727" s="9"/>
      <c r="AF727" s="10"/>
      <c r="AG727" s="10"/>
      <c r="AH727" s="10"/>
      <c r="AI727" s="10"/>
    </row>
    <row r="728" spans="1:35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1"/>
      <c r="V728" s="1"/>
      <c r="W728" s="1"/>
      <c r="X728" s="1"/>
      <c r="AB728" s="9"/>
      <c r="AC728" s="9"/>
      <c r="AD728" s="9"/>
      <c r="AF728" s="10"/>
      <c r="AG728" s="10"/>
      <c r="AH728" s="10"/>
      <c r="AI728" s="10"/>
    </row>
    <row r="729" spans="1:35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1"/>
      <c r="V729" s="1"/>
      <c r="W729" s="1"/>
      <c r="X729" s="1"/>
      <c r="AB729" s="9"/>
      <c r="AC729" s="9"/>
      <c r="AD729" s="9"/>
      <c r="AF729" s="10"/>
      <c r="AG729" s="10"/>
      <c r="AH729" s="10"/>
      <c r="AI729" s="10"/>
    </row>
    <row r="730" spans="1:35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1"/>
      <c r="V730" s="1"/>
      <c r="W730" s="1"/>
      <c r="X730" s="1"/>
      <c r="AB730" s="9"/>
      <c r="AC730" s="9"/>
      <c r="AD730" s="9"/>
      <c r="AF730" s="10"/>
      <c r="AG730" s="10"/>
      <c r="AH730" s="10"/>
      <c r="AI730" s="10"/>
    </row>
    <row r="731" spans="1:35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1"/>
      <c r="V731" s="1"/>
      <c r="W731" s="1"/>
      <c r="X731" s="1"/>
      <c r="AB731" s="9"/>
      <c r="AC731" s="9"/>
      <c r="AD731" s="9"/>
      <c r="AF731" s="10"/>
      <c r="AG731" s="10"/>
      <c r="AH731" s="10"/>
      <c r="AI731" s="10"/>
    </row>
    <row r="732" spans="1:35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1"/>
      <c r="V732" s="1"/>
      <c r="W732" s="1"/>
      <c r="X732" s="1"/>
      <c r="AB732" s="9"/>
      <c r="AC732" s="9"/>
      <c r="AD732" s="9"/>
      <c r="AF732" s="10"/>
      <c r="AG732" s="10"/>
      <c r="AH732" s="10"/>
      <c r="AI732" s="10"/>
    </row>
    <row r="733" spans="1:35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1"/>
      <c r="V733" s="1"/>
      <c r="W733" s="1"/>
      <c r="X733" s="1"/>
      <c r="AB733" s="9"/>
      <c r="AC733" s="9"/>
      <c r="AD733" s="9"/>
      <c r="AF733" s="10"/>
      <c r="AG733" s="10"/>
      <c r="AH733" s="10"/>
      <c r="AI733" s="10"/>
    </row>
    <row r="734" spans="1:35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1"/>
      <c r="V734" s="1"/>
      <c r="W734" s="1"/>
      <c r="X734" s="1"/>
      <c r="AB734" s="9"/>
      <c r="AC734" s="9"/>
      <c r="AD734" s="9"/>
      <c r="AF734" s="10"/>
      <c r="AG734" s="10"/>
      <c r="AH734" s="10"/>
      <c r="AI734" s="10"/>
    </row>
    <row r="735" spans="1:35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1"/>
      <c r="V735" s="1"/>
      <c r="W735" s="1"/>
      <c r="X735" s="1"/>
      <c r="AB735" s="9"/>
      <c r="AC735" s="9"/>
      <c r="AD735" s="9"/>
      <c r="AF735" s="10"/>
      <c r="AG735" s="10"/>
      <c r="AH735" s="10"/>
      <c r="AI735" s="10"/>
    </row>
    <row r="736" spans="1:35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1"/>
      <c r="V736" s="1"/>
      <c r="W736" s="1"/>
      <c r="X736" s="1"/>
      <c r="AB736" s="9"/>
      <c r="AC736" s="9"/>
      <c r="AD736" s="9"/>
      <c r="AF736" s="10"/>
      <c r="AG736" s="10"/>
      <c r="AH736" s="10"/>
      <c r="AI736" s="10"/>
    </row>
    <row r="737" spans="1:35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1"/>
      <c r="V737" s="1"/>
      <c r="W737" s="1"/>
      <c r="X737" s="1"/>
      <c r="AB737" s="9"/>
      <c r="AC737" s="9"/>
      <c r="AD737" s="9"/>
      <c r="AF737" s="10"/>
      <c r="AG737" s="10"/>
      <c r="AH737" s="10"/>
      <c r="AI737" s="10"/>
    </row>
    <row r="738" spans="1:35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1"/>
      <c r="V738" s="1"/>
      <c r="W738" s="1"/>
      <c r="X738" s="1"/>
      <c r="AB738" s="9"/>
      <c r="AC738" s="9"/>
      <c r="AD738" s="9"/>
      <c r="AF738" s="10"/>
      <c r="AG738" s="10"/>
      <c r="AH738" s="10"/>
      <c r="AI738" s="10"/>
    </row>
    <row r="739" spans="1:35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1"/>
      <c r="V739" s="1"/>
      <c r="W739" s="1"/>
      <c r="X739" s="1"/>
      <c r="AB739" s="9"/>
      <c r="AC739" s="9"/>
      <c r="AD739" s="9"/>
      <c r="AF739" s="10"/>
      <c r="AG739" s="10"/>
      <c r="AH739" s="10"/>
      <c r="AI739" s="10"/>
    </row>
    <row r="740" spans="1:35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1"/>
      <c r="V740" s="1"/>
      <c r="W740" s="1"/>
      <c r="X740" s="1"/>
      <c r="AB740" s="9"/>
      <c r="AC740" s="9"/>
      <c r="AD740" s="9"/>
      <c r="AF740" s="10"/>
      <c r="AG740" s="10"/>
      <c r="AH740" s="10"/>
      <c r="AI740" s="10"/>
    </row>
    <row r="741" spans="1:35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1"/>
      <c r="V741" s="1"/>
      <c r="W741" s="1"/>
      <c r="X741" s="1"/>
      <c r="AB741" s="9"/>
      <c r="AC741" s="9"/>
      <c r="AD741" s="9"/>
      <c r="AF741" s="10"/>
      <c r="AG741" s="10"/>
      <c r="AH741" s="10"/>
      <c r="AI741" s="10"/>
    </row>
    <row r="742" spans="1:35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1"/>
      <c r="V742" s="1"/>
      <c r="W742" s="1"/>
      <c r="X742" s="1"/>
      <c r="AB742" s="9"/>
      <c r="AC742" s="9"/>
      <c r="AD742" s="9"/>
      <c r="AF742" s="10"/>
      <c r="AG742" s="10"/>
      <c r="AH742" s="10"/>
      <c r="AI742" s="10"/>
    </row>
    <row r="743" spans="1:35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1"/>
      <c r="V743" s="1"/>
      <c r="W743" s="1"/>
      <c r="X743" s="1"/>
      <c r="AB743" s="9"/>
      <c r="AC743" s="9"/>
      <c r="AD743" s="9"/>
      <c r="AF743" s="10"/>
      <c r="AG743" s="10"/>
      <c r="AH743" s="10"/>
      <c r="AI743" s="10"/>
    </row>
    <row r="744" spans="1:35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1"/>
      <c r="V744" s="1"/>
      <c r="W744" s="1"/>
      <c r="X744" s="1"/>
      <c r="AB744" s="9"/>
      <c r="AC744" s="9"/>
      <c r="AD744" s="9"/>
      <c r="AF744" s="10"/>
      <c r="AG744" s="10"/>
      <c r="AH744" s="10"/>
      <c r="AI744" s="10"/>
    </row>
    <row r="745" spans="1:35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1"/>
      <c r="V745" s="1"/>
      <c r="W745" s="1"/>
      <c r="X745" s="1"/>
      <c r="AB745" s="9"/>
      <c r="AC745" s="9"/>
      <c r="AD745" s="9"/>
      <c r="AF745" s="10"/>
      <c r="AG745" s="10"/>
      <c r="AH745" s="10"/>
      <c r="AI745" s="10"/>
    </row>
    <row r="746" spans="1:35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1"/>
      <c r="V746" s="1"/>
      <c r="W746" s="1"/>
      <c r="X746" s="1"/>
      <c r="AB746" s="9"/>
      <c r="AC746" s="9"/>
      <c r="AD746" s="9"/>
      <c r="AF746" s="10"/>
      <c r="AG746" s="10"/>
      <c r="AH746" s="10"/>
      <c r="AI746" s="10"/>
    </row>
    <row r="747" spans="1:35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1"/>
      <c r="V747" s="1"/>
      <c r="W747" s="1"/>
      <c r="X747" s="1"/>
      <c r="AB747" s="9"/>
      <c r="AC747" s="9"/>
      <c r="AD747" s="9"/>
      <c r="AF747" s="10"/>
      <c r="AG747" s="10"/>
      <c r="AH747" s="10"/>
      <c r="AI747" s="10"/>
    </row>
    <row r="748" spans="1:35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1"/>
      <c r="V748" s="1"/>
      <c r="W748" s="1"/>
      <c r="X748" s="1"/>
      <c r="AB748" s="9"/>
      <c r="AC748" s="9"/>
      <c r="AD748" s="9"/>
      <c r="AF748" s="10"/>
      <c r="AG748" s="10"/>
      <c r="AH748" s="10"/>
      <c r="AI748" s="10"/>
    </row>
    <row r="749" spans="1:35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1"/>
      <c r="V749" s="1"/>
      <c r="W749" s="1"/>
      <c r="X749" s="1"/>
      <c r="AB749" s="9"/>
      <c r="AC749" s="9"/>
      <c r="AD749" s="9"/>
      <c r="AF749" s="10"/>
      <c r="AG749" s="10"/>
      <c r="AH749" s="10"/>
      <c r="AI749" s="10"/>
    </row>
    <row r="750" spans="1:35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1"/>
      <c r="V750" s="1"/>
      <c r="W750" s="1"/>
      <c r="X750" s="1"/>
      <c r="AB750" s="9"/>
      <c r="AC750" s="9"/>
      <c r="AD750" s="9"/>
      <c r="AF750" s="10"/>
      <c r="AG750" s="10"/>
      <c r="AH750" s="10"/>
      <c r="AI750" s="10"/>
    </row>
    <row r="751" spans="1:35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1"/>
      <c r="V751" s="1"/>
      <c r="W751" s="1"/>
      <c r="X751" s="1"/>
      <c r="AB751" s="9"/>
      <c r="AC751" s="9"/>
      <c r="AD751" s="9"/>
      <c r="AF751" s="10"/>
      <c r="AG751" s="10"/>
      <c r="AH751" s="10"/>
      <c r="AI751" s="10"/>
    </row>
    <row r="752" spans="1:35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1"/>
      <c r="V752" s="1"/>
      <c r="W752" s="1"/>
      <c r="X752" s="1"/>
      <c r="AB752" s="9"/>
      <c r="AC752" s="9"/>
      <c r="AD752" s="9"/>
      <c r="AF752" s="10"/>
      <c r="AG752" s="10"/>
      <c r="AH752" s="10"/>
      <c r="AI752" s="10"/>
    </row>
    <row r="753" spans="1:35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1"/>
      <c r="V753" s="1"/>
      <c r="W753" s="1"/>
      <c r="X753" s="1"/>
      <c r="AB753" s="9"/>
      <c r="AC753" s="9"/>
      <c r="AD753" s="9"/>
      <c r="AF753" s="10"/>
      <c r="AG753" s="10"/>
      <c r="AH753" s="10"/>
      <c r="AI753" s="10"/>
    </row>
    <row r="754" spans="1:35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1"/>
      <c r="V754" s="1"/>
      <c r="W754" s="1"/>
      <c r="X754" s="1"/>
      <c r="AB754" s="9"/>
      <c r="AC754" s="9"/>
      <c r="AD754" s="9"/>
      <c r="AF754" s="10"/>
      <c r="AG754" s="10"/>
      <c r="AH754" s="10"/>
      <c r="AI754" s="10"/>
    </row>
    <row r="755" spans="1:35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1"/>
      <c r="V755" s="1"/>
      <c r="W755" s="1"/>
      <c r="X755" s="1"/>
      <c r="AB755" s="9"/>
      <c r="AC755" s="9"/>
      <c r="AD755" s="9"/>
      <c r="AF755" s="10"/>
      <c r="AG755" s="10"/>
      <c r="AH755" s="10"/>
      <c r="AI755" s="10"/>
    </row>
    <row r="756" spans="1:35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1"/>
      <c r="V756" s="1"/>
      <c r="W756" s="1"/>
      <c r="X756" s="1"/>
      <c r="AB756" s="9"/>
      <c r="AC756" s="9"/>
      <c r="AD756" s="9"/>
      <c r="AF756" s="10"/>
      <c r="AG756" s="10"/>
      <c r="AH756" s="10"/>
      <c r="AI756" s="10"/>
    </row>
    <row r="757" spans="1:35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1"/>
      <c r="V757" s="1"/>
      <c r="W757" s="1"/>
      <c r="X757" s="1"/>
      <c r="AB757" s="9"/>
      <c r="AC757" s="9"/>
      <c r="AD757" s="9"/>
      <c r="AF757" s="10"/>
      <c r="AG757" s="10"/>
      <c r="AH757" s="10"/>
      <c r="AI757" s="10"/>
    </row>
    <row r="758" spans="1:35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1"/>
      <c r="V758" s="1"/>
      <c r="W758" s="1"/>
      <c r="X758" s="1"/>
      <c r="AB758" s="9"/>
      <c r="AC758" s="9"/>
      <c r="AD758" s="9"/>
      <c r="AF758" s="10"/>
      <c r="AG758" s="10"/>
      <c r="AH758" s="10"/>
      <c r="AI758" s="10"/>
    </row>
    <row r="759" spans="1:35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1"/>
      <c r="V759" s="1"/>
      <c r="W759" s="1"/>
      <c r="X759" s="1"/>
      <c r="AB759" s="9"/>
      <c r="AC759" s="9"/>
      <c r="AD759" s="9"/>
      <c r="AF759" s="10"/>
      <c r="AG759" s="10"/>
      <c r="AH759" s="10"/>
      <c r="AI759" s="10"/>
    </row>
    <row r="760" spans="1:35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1"/>
      <c r="V760" s="1"/>
      <c r="W760" s="1"/>
      <c r="X760" s="1"/>
      <c r="AB760" s="9"/>
      <c r="AC760" s="9"/>
      <c r="AD760" s="9"/>
      <c r="AF760" s="10"/>
      <c r="AG760" s="10"/>
      <c r="AH760" s="10"/>
      <c r="AI760" s="10"/>
    </row>
    <row r="761" spans="1:35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1"/>
      <c r="V761" s="1"/>
      <c r="W761" s="1"/>
      <c r="X761" s="1"/>
      <c r="AB761" s="9"/>
      <c r="AC761" s="9"/>
      <c r="AD761" s="9"/>
      <c r="AF761" s="10"/>
      <c r="AG761" s="10"/>
      <c r="AH761" s="10"/>
      <c r="AI761" s="10"/>
    </row>
    <row r="762" spans="1:35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1"/>
      <c r="V762" s="1"/>
      <c r="W762" s="1"/>
      <c r="X762" s="1"/>
      <c r="AB762" s="9"/>
      <c r="AC762" s="9"/>
      <c r="AD762" s="9"/>
      <c r="AF762" s="10"/>
      <c r="AG762" s="10"/>
      <c r="AH762" s="10"/>
      <c r="AI762" s="10"/>
    </row>
    <row r="763" spans="1:35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1"/>
      <c r="V763" s="1"/>
      <c r="W763" s="1"/>
      <c r="X763" s="1"/>
      <c r="AB763" s="9"/>
      <c r="AC763" s="9"/>
      <c r="AD763" s="9"/>
      <c r="AF763" s="10"/>
      <c r="AG763" s="10"/>
      <c r="AH763" s="10"/>
      <c r="AI763" s="10"/>
    </row>
    <row r="764" spans="1:35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1"/>
      <c r="V764" s="1"/>
      <c r="W764" s="1"/>
      <c r="X764" s="1"/>
      <c r="AB764" s="9"/>
      <c r="AC764" s="9"/>
      <c r="AD764" s="9"/>
      <c r="AF764" s="10"/>
      <c r="AG764" s="10"/>
      <c r="AH764" s="10"/>
      <c r="AI764" s="10"/>
    </row>
    <row r="765" spans="1:35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1"/>
      <c r="V765" s="1"/>
      <c r="W765" s="1"/>
      <c r="X765" s="1"/>
      <c r="AB765" s="9"/>
      <c r="AC765" s="9"/>
      <c r="AD765" s="9"/>
      <c r="AF765" s="10"/>
      <c r="AG765" s="10"/>
      <c r="AH765" s="10"/>
      <c r="AI765" s="10"/>
    </row>
    <row r="766" spans="1:35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1"/>
      <c r="V766" s="1"/>
      <c r="W766" s="1"/>
      <c r="X766" s="1"/>
      <c r="AB766" s="9"/>
      <c r="AC766" s="9"/>
      <c r="AD766" s="9"/>
      <c r="AF766" s="10"/>
      <c r="AG766" s="10"/>
      <c r="AH766" s="10"/>
      <c r="AI766" s="10"/>
    </row>
    <row r="767" spans="1:35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1"/>
      <c r="V767" s="1"/>
      <c r="W767" s="1"/>
      <c r="X767" s="1"/>
      <c r="AB767" s="9"/>
      <c r="AC767" s="9"/>
      <c r="AD767" s="9"/>
      <c r="AF767" s="10"/>
      <c r="AG767" s="10"/>
      <c r="AH767" s="10"/>
      <c r="AI767" s="10"/>
    </row>
    <row r="768" spans="1:35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1"/>
      <c r="V768" s="1"/>
      <c r="W768" s="1"/>
      <c r="X768" s="1"/>
      <c r="AB768" s="9"/>
      <c r="AC768" s="9"/>
      <c r="AD768" s="9"/>
      <c r="AF768" s="10"/>
      <c r="AG768" s="10"/>
      <c r="AH768" s="10"/>
      <c r="AI768" s="10"/>
    </row>
    <row r="769" spans="1:35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1"/>
      <c r="V769" s="1"/>
      <c r="W769" s="1"/>
      <c r="X769" s="1"/>
      <c r="AB769" s="9"/>
      <c r="AC769" s="9"/>
      <c r="AD769" s="9"/>
      <c r="AF769" s="10"/>
      <c r="AG769" s="10"/>
      <c r="AH769" s="10"/>
      <c r="AI769" s="10"/>
    </row>
    <row r="770" spans="1:35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1"/>
      <c r="V770" s="1"/>
      <c r="W770" s="1"/>
      <c r="X770" s="1"/>
      <c r="AB770" s="9"/>
      <c r="AC770" s="9"/>
      <c r="AD770" s="9"/>
      <c r="AF770" s="10"/>
      <c r="AG770" s="10"/>
      <c r="AH770" s="10"/>
      <c r="AI770" s="10"/>
    </row>
    <row r="771" spans="1:35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1"/>
      <c r="V771" s="1"/>
      <c r="W771" s="1"/>
      <c r="X771" s="1"/>
      <c r="AB771" s="9"/>
      <c r="AC771" s="9"/>
      <c r="AD771" s="9"/>
      <c r="AF771" s="10"/>
      <c r="AG771" s="10"/>
      <c r="AH771" s="10"/>
      <c r="AI771" s="10"/>
    </row>
    <row r="772" spans="1:35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1"/>
      <c r="V772" s="1"/>
      <c r="W772" s="1"/>
      <c r="X772" s="1"/>
      <c r="AB772" s="9"/>
      <c r="AC772" s="9"/>
      <c r="AD772" s="9"/>
      <c r="AF772" s="10"/>
      <c r="AG772" s="10"/>
      <c r="AH772" s="10"/>
      <c r="AI772" s="10"/>
    </row>
    <row r="773" spans="1:35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1"/>
      <c r="V773" s="1"/>
      <c r="W773" s="1"/>
      <c r="X773" s="1"/>
      <c r="AB773" s="9"/>
      <c r="AC773" s="9"/>
      <c r="AD773" s="9"/>
      <c r="AF773" s="10"/>
      <c r="AG773" s="10"/>
      <c r="AH773" s="10"/>
      <c r="AI773" s="10"/>
    </row>
    <row r="774" spans="1:35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1"/>
      <c r="V774" s="1"/>
      <c r="W774" s="1"/>
      <c r="X774" s="1"/>
      <c r="AB774" s="9"/>
      <c r="AC774" s="9"/>
      <c r="AD774" s="9"/>
      <c r="AF774" s="10"/>
      <c r="AG774" s="10"/>
      <c r="AH774" s="10"/>
      <c r="AI774" s="10"/>
    </row>
    <row r="775" spans="1:35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1"/>
      <c r="V775" s="1"/>
      <c r="W775" s="1"/>
      <c r="X775" s="1"/>
      <c r="AB775" s="9"/>
      <c r="AC775" s="9"/>
      <c r="AD775" s="9"/>
      <c r="AF775" s="10"/>
      <c r="AG775" s="10"/>
      <c r="AH775" s="10"/>
      <c r="AI775" s="10"/>
    </row>
    <row r="776" spans="1:35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1"/>
      <c r="V776" s="1"/>
      <c r="W776" s="1"/>
      <c r="X776" s="1"/>
      <c r="AB776" s="9"/>
      <c r="AC776" s="9"/>
      <c r="AD776" s="9"/>
      <c r="AF776" s="10"/>
      <c r="AG776" s="10"/>
      <c r="AH776" s="10"/>
      <c r="AI776" s="10"/>
    </row>
    <row r="777" spans="1:35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1"/>
      <c r="V777" s="1"/>
      <c r="W777" s="1"/>
      <c r="X777" s="1"/>
      <c r="AB777" s="9"/>
      <c r="AC777" s="9"/>
      <c r="AD777" s="9"/>
      <c r="AF777" s="10"/>
      <c r="AG777" s="10"/>
      <c r="AH777" s="10"/>
      <c r="AI777" s="10"/>
    </row>
    <row r="778" spans="1:35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1"/>
      <c r="V778" s="1"/>
      <c r="W778" s="1"/>
      <c r="X778" s="1"/>
      <c r="AB778" s="9"/>
      <c r="AC778" s="9"/>
      <c r="AD778" s="9"/>
      <c r="AF778" s="10"/>
      <c r="AG778" s="10"/>
      <c r="AH778" s="10"/>
      <c r="AI778" s="10"/>
    </row>
    <row r="779" spans="1:35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1"/>
      <c r="V779" s="1"/>
      <c r="W779" s="1"/>
      <c r="X779" s="1"/>
      <c r="AB779" s="9"/>
      <c r="AC779" s="9"/>
      <c r="AD779" s="9"/>
      <c r="AF779" s="10"/>
      <c r="AG779" s="10"/>
      <c r="AH779" s="10"/>
      <c r="AI779" s="10"/>
    </row>
    <row r="780" spans="1:35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1"/>
      <c r="V780" s="1"/>
      <c r="W780" s="1"/>
      <c r="X780" s="1"/>
      <c r="AB780" s="9"/>
      <c r="AC780" s="9"/>
      <c r="AD780" s="9"/>
      <c r="AF780" s="10"/>
      <c r="AG780" s="10"/>
      <c r="AH780" s="10"/>
      <c r="AI780" s="10"/>
    </row>
    <row r="781" spans="1:35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1"/>
      <c r="V781" s="1"/>
      <c r="W781" s="1"/>
      <c r="X781" s="1"/>
      <c r="AB781" s="9"/>
      <c r="AC781" s="9"/>
      <c r="AD781" s="9"/>
      <c r="AF781" s="10"/>
      <c r="AG781" s="10"/>
      <c r="AH781" s="10"/>
      <c r="AI781" s="10"/>
    </row>
    <row r="782" spans="1:35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1"/>
      <c r="V782" s="1"/>
      <c r="W782" s="1"/>
      <c r="X782" s="1"/>
      <c r="AB782" s="9"/>
      <c r="AC782" s="9"/>
      <c r="AD782" s="9"/>
      <c r="AF782" s="10"/>
      <c r="AG782" s="10"/>
      <c r="AH782" s="10"/>
      <c r="AI782" s="10"/>
    </row>
    <row r="783" spans="1:35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1"/>
      <c r="V783" s="1"/>
      <c r="W783" s="1"/>
      <c r="X783" s="1"/>
      <c r="AB783" s="9"/>
      <c r="AC783" s="9"/>
      <c r="AD783" s="9"/>
      <c r="AF783" s="10"/>
      <c r="AG783" s="10"/>
      <c r="AH783" s="10"/>
      <c r="AI783" s="10"/>
    </row>
    <row r="784" spans="1:35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1"/>
      <c r="V784" s="1"/>
      <c r="W784" s="1"/>
      <c r="X784" s="1"/>
      <c r="AB784" s="9"/>
      <c r="AC784" s="9"/>
      <c r="AD784" s="9"/>
      <c r="AF784" s="10"/>
      <c r="AG784" s="10"/>
      <c r="AH784" s="10"/>
      <c r="AI784" s="10"/>
    </row>
    <row r="785" spans="1:35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1"/>
      <c r="V785" s="1"/>
      <c r="W785" s="1"/>
      <c r="X785" s="1"/>
      <c r="AB785" s="9"/>
      <c r="AC785" s="9"/>
      <c r="AD785" s="9"/>
      <c r="AF785" s="10"/>
      <c r="AG785" s="10"/>
      <c r="AH785" s="10"/>
      <c r="AI785" s="10"/>
    </row>
    <row r="786" spans="1:35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1"/>
      <c r="V786" s="1"/>
      <c r="W786" s="1"/>
      <c r="X786" s="1"/>
      <c r="AB786" s="9"/>
      <c r="AC786" s="9"/>
      <c r="AD786" s="9"/>
      <c r="AF786" s="10"/>
      <c r="AG786" s="10"/>
      <c r="AH786" s="10"/>
      <c r="AI786" s="10"/>
    </row>
    <row r="787" spans="1:35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1"/>
      <c r="V787" s="1"/>
      <c r="W787" s="1"/>
      <c r="X787" s="1"/>
      <c r="AB787" s="9"/>
      <c r="AC787" s="9"/>
      <c r="AD787" s="9"/>
      <c r="AF787" s="10"/>
      <c r="AG787" s="10"/>
      <c r="AH787" s="10"/>
      <c r="AI787" s="10"/>
    </row>
    <row r="788" spans="1:35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1"/>
      <c r="V788" s="1"/>
      <c r="W788" s="1"/>
      <c r="X788" s="1"/>
      <c r="AB788" s="9"/>
      <c r="AC788" s="9"/>
      <c r="AD788" s="9"/>
      <c r="AF788" s="10"/>
      <c r="AG788" s="10"/>
      <c r="AH788" s="10"/>
      <c r="AI788" s="10"/>
    </row>
    <row r="789" spans="1:35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1"/>
      <c r="V789" s="1"/>
      <c r="W789" s="1"/>
      <c r="X789" s="1"/>
      <c r="AB789" s="9"/>
      <c r="AC789" s="9"/>
      <c r="AD789" s="9"/>
      <c r="AF789" s="10"/>
      <c r="AG789" s="10"/>
      <c r="AH789" s="10"/>
      <c r="AI789" s="10"/>
    </row>
    <row r="790" spans="1:35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1"/>
      <c r="V790" s="1"/>
      <c r="W790" s="1"/>
      <c r="X790" s="1"/>
      <c r="AB790" s="9"/>
      <c r="AC790" s="9"/>
      <c r="AD790" s="9"/>
      <c r="AF790" s="10"/>
      <c r="AG790" s="10"/>
      <c r="AH790" s="10"/>
      <c r="AI790" s="10"/>
    </row>
    <row r="791" spans="1:35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1"/>
      <c r="V791" s="1"/>
      <c r="W791" s="1"/>
      <c r="X791" s="1"/>
      <c r="AB791" s="9"/>
      <c r="AC791" s="9"/>
      <c r="AD791" s="9"/>
      <c r="AF791" s="10"/>
      <c r="AG791" s="10"/>
      <c r="AH791" s="10"/>
      <c r="AI791" s="10"/>
    </row>
    <row r="792" spans="1:35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1"/>
      <c r="V792" s="1"/>
      <c r="W792" s="1"/>
      <c r="X792" s="1"/>
      <c r="AB792" s="9"/>
      <c r="AC792" s="9"/>
      <c r="AD792" s="9"/>
      <c r="AF792" s="10"/>
      <c r="AG792" s="10"/>
      <c r="AH792" s="10"/>
      <c r="AI792" s="10"/>
    </row>
    <row r="793" spans="1:35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1"/>
      <c r="V793" s="1"/>
      <c r="W793" s="1"/>
      <c r="X793" s="1"/>
      <c r="AB793" s="9"/>
      <c r="AC793" s="9"/>
      <c r="AD793" s="9"/>
      <c r="AF793" s="10"/>
      <c r="AG793" s="10"/>
      <c r="AH793" s="10"/>
      <c r="AI793" s="10"/>
    </row>
    <row r="794" spans="1:35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1"/>
      <c r="V794" s="1"/>
      <c r="W794" s="1"/>
      <c r="X794" s="1"/>
      <c r="AB794" s="9"/>
      <c r="AC794" s="9"/>
      <c r="AD794" s="9"/>
      <c r="AF794" s="10"/>
      <c r="AG794" s="10"/>
      <c r="AH794" s="10"/>
      <c r="AI794" s="10"/>
    </row>
    <row r="795" spans="1:35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1"/>
      <c r="V795" s="1"/>
      <c r="W795" s="1"/>
      <c r="X795" s="1"/>
      <c r="AB795" s="9"/>
      <c r="AC795" s="9"/>
      <c r="AD795" s="9"/>
      <c r="AF795" s="10"/>
      <c r="AG795" s="10"/>
      <c r="AH795" s="10"/>
      <c r="AI795" s="10"/>
    </row>
    <row r="796" spans="1:35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1"/>
      <c r="V796" s="1"/>
      <c r="W796" s="1"/>
      <c r="X796" s="1"/>
      <c r="AB796" s="9"/>
      <c r="AC796" s="9"/>
      <c r="AD796" s="9"/>
      <c r="AF796" s="10"/>
      <c r="AG796" s="10"/>
      <c r="AH796" s="10"/>
      <c r="AI796" s="10"/>
    </row>
    <row r="797" spans="1:35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1"/>
      <c r="V797" s="1"/>
      <c r="W797" s="1"/>
      <c r="X797" s="1"/>
      <c r="AB797" s="9"/>
      <c r="AC797" s="9"/>
      <c r="AD797" s="9"/>
      <c r="AF797" s="10"/>
      <c r="AG797" s="10"/>
      <c r="AH797" s="10"/>
      <c r="AI797" s="10"/>
    </row>
    <row r="798" spans="1:35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1"/>
      <c r="V798" s="1"/>
      <c r="W798" s="1"/>
      <c r="X798" s="1"/>
      <c r="AB798" s="9"/>
      <c r="AC798" s="9"/>
      <c r="AD798" s="9"/>
      <c r="AF798" s="10"/>
      <c r="AG798" s="10"/>
      <c r="AH798" s="10"/>
      <c r="AI798" s="10"/>
    </row>
    <row r="799" spans="1:35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1"/>
      <c r="V799" s="1"/>
      <c r="W799" s="1"/>
      <c r="X799" s="1"/>
      <c r="AB799" s="9"/>
      <c r="AC799" s="9"/>
      <c r="AD799" s="9"/>
      <c r="AF799" s="10"/>
      <c r="AG799" s="10"/>
      <c r="AH799" s="10"/>
      <c r="AI799" s="10"/>
    </row>
    <row r="800" spans="1:35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1"/>
      <c r="V800" s="1"/>
      <c r="W800" s="1"/>
      <c r="X800" s="1"/>
      <c r="AB800" s="9"/>
      <c r="AC800" s="9"/>
      <c r="AD800" s="9"/>
      <c r="AF800" s="10"/>
      <c r="AG800" s="10"/>
      <c r="AH800" s="10"/>
      <c r="AI800" s="10"/>
    </row>
    <row r="801" spans="1:35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1"/>
      <c r="V801" s="1"/>
      <c r="W801" s="1"/>
      <c r="X801" s="1"/>
      <c r="AB801" s="9"/>
      <c r="AC801" s="9"/>
      <c r="AD801" s="9"/>
      <c r="AF801" s="10"/>
      <c r="AG801" s="10"/>
      <c r="AH801" s="10"/>
      <c r="AI801" s="10"/>
    </row>
    <row r="802" spans="1:35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1"/>
      <c r="V802" s="1"/>
      <c r="W802" s="1"/>
      <c r="X802" s="1"/>
      <c r="AB802" s="9"/>
      <c r="AC802" s="9"/>
      <c r="AD802" s="9"/>
      <c r="AF802" s="10"/>
      <c r="AG802" s="10"/>
      <c r="AH802" s="10"/>
      <c r="AI802" s="10"/>
    </row>
    <row r="803" spans="1:35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1"/>
      <c r="V803" s="1"/>
      <c r="W803" s="1"/>
      <c r="X803" s="1"/>
      <c r="AB803" s="9"/>
      <c r="AC803" s="9"/>
      <c r="AD803" s="9"/>
      <c r="AF803" s="10"/>
      <c r="AG803" s="10"/>
      <c r="AH803" s="10"/>
      <c r="AI803" s="10"/>
    </row>
    <row r="804" spans="1:35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1"/>
      <c r="V804" s="1"/>
      <c r="W804" s="1"/>
      <c r="X804" s="1"/>
      <c r="AB804" s="9"/>
      <c r="AC804" s="9"/>
      <c r="AD804" s="9"/>
      <c r="AF804" s="10"/>
      <c r="AG804" s="10"/>
      <c r="AH804" s="10"/>
      <c r="AI804" s="10"/>
    </row>
    <row r="805" spans="1:35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1"/>
      <c r="V805" s="1"/>
      <c r="W805" s="1"/>
      <c r="X805" s="1"/>
      <c r="AB805" s="9"/>
      <c r="AC805" s="9"/>
      <c r="AD805" s="9"/>
      <c r="AF805" s="10"/>
      <c r="AG805" s="10"/>
      <c r="AH805" s="10"/>
      <c r="AI805" s="10"/>
    </row>
    <row r="806" spans="1:35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1"/>
      <c r="V806" s="1"/>
      <c r="W806" s="1"/>
      <c r="X806" s="1"/>
      <c r="AB806" s="9"/>
      <c r="AC806" s="9"/>
      <c r="AD806" s="9"/>
      <c r="AF806" s="10"/>
      <c r="AG806" s="10"/>
      <c r="AH806" s="10"/>
      <c r="AI806" s="10"/>
    </row>
    <row r="807" spans="1:35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1"/>
      <c r="V807" s="1"/>
      <c r="W807" s="1"/>
      <c r="X807" s="1"/>
      <c r="AB807" s="9"/>
      <c r="AC807" s="9"/>
      <c r="AD807" s="9"/>
      <c r="AF807" s="10"/>
      <c r="AG807" s="10"/>
      <c r="AH807" s="10"/>
      <c r="AI807" s="10"/>
    </row>
    <row r="808" spans="1:35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1"/>
      <c r="V808" s="1"/>
      <c r="W808" s="1"/>
      <c r="X808" s="1"/>
      <c r="AB808" s="9"/>
      <c r="AC808" s="9"/>
      <c r="AD808" s="9"/>
      <c r="AF808" s="10"/>
      <c r="AG808" s="10"/>
      <c r="AH808" s="10"/>
      <c r="AI808" s="10"/>
    </row>
    <row r="809" spans="1:35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1"/>
      <c r="V809" s="1"/>
      <c r="W809" s="1"/>
      <c r="X809" s="1"/>
      <c r="AB809" s="9"/>
      <c r="AC809" s="9"/>
      <c r="AD809" s="9"/>
      <c r="AF809" s="10"/>
      <c r="AG809" s="10"/>
      <c r="AH809" s="10"/>
      <c r="AI809" s="10"/>
    </row>
    <row r="810" spans="1:35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1"/>
      <c r="V810" s="1"/>
      <c r="W810" s="1"/>
      <c r="X810" s="1"/>
      <c r="AB810" s="9"/>
      <c r="AC810" s="9"/>
      <c r="AD810" s="9"/>
      <c r="AF810" s="10"/>
      <c r="AG810" s="10"/>
      <c r="AH810" s="10"/>
      <c r="AI810" s="10"/>
    </row>
    <row r="811" spans="1:35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1"/>
      <c r="V811" s="1"/>
      <c r="W811" s="1"/>
      <c r="X811" s="1"/>
      <c r="AB811" s="9"/>
      <c r="AC811" s="9"/>
      <c r="AD811" s="9"/>
      <c r="AF811" s="10"/>
      <c r="AG811" s="10"/>
      <c r="AH811" s="10"/>
      <c r="AI811" s="10"/>
    </row>
    <row r="812" spans="1:35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1"/>
      <c r="V812" s="1"/>
      <c r="W812" s="1"/>
      <c r="X812" s="1"/>
      <c r="AB812" s="9"/>
      <c r="AC812" s="9"/>
      <c r="AD812" s="9"/>
      <c r="AF812" s="10"/>
      <c r="AG812" s="10"/>
      <c r="AH812" s="10"/>
      <c r="AI812" s="10"/>
    </row>
    <row r="813" spans="1:35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1"/>
      <c r="V813" s="1"/>
      <c r="W813" s="1"/>
      <c r="X813" s="1"/>
      <c r="AB813" s="9"/>
      <c r="AC813" s="9"/>
      <c r="AD813" s="9"/>
      <c r="AF813" s="10"/>
      <c r="AG813" s="10"/>
      <c r="AH813" s="10"/>
      <c r="AI813" s="10"/>
    </row>
    <row r="814" spans="1:35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1"/>
      <c r="V814" s="1"/>
      <c r="W814" s="1"/>
      <c r="X814" s="1"/>
      <c r="AB814" s="9"/>
      <c r="AC814" s="9"/>
      <c r="AD814" s="9"/>
      <c r="AF814" s="10"/>
      <c r="AG814" s="10"/>
      <c r="AH814" s="10"/>
      <c r="AI814" s="10"/>
    </row>
    <row r="815" spans="1:35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1"/>
      <c r="V815" s="1"/>
      <c r="W815" s="1"/>
      <c r="X815" s="1"/>
      <c r="AB815" s="9"/>
      <c r="AC815" s="9"/>
      <c r="AD815" s="9"/>
      <c r="AF815" s="10"/>
      <c r="AG815" s="10"/>
      <c r="AH815" s="10"/>
      <c r="AI815" s="10"/>
    </row>
    <row r="816" spans="1:35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1"/>
      <c r="V816" s="1"/>
      <c r="W816" s="1"/>
      <c r="X816" s="1"/>
      <c r="AB816" s="9"/>
      <c r="AC816" s="9"/>
      <c r="AD816" s="9"/>
      <c r="AF816" s="10"/>
      <c r="AG816" s="10"/>
      <c r="AH816" s="10"/>
      <c r="AI816" s="10"/>
    </row>
    <row r="817" spans="1:35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1"/>
      <c r="V817" s="1"/>
      <c r="W817" s="1"/>
      <c r="X817" s="1"/>
      <c r="AB817" s="9"/>
      <c r="AC817" s="9"/>
      <c r="AD817" s="9"/>
      <c r="AF817" s="10"/>
      <c r="AG817" s="10"/>
      <c r="AH817" s="10"/>
      <c r="AI817" s="10"/>
    </row>
    <row r="818" spans="1:35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1"/>
      <c r="V818" s="1"/>
      <c r="W818" s="1"/>
      <c r="X818" s="1"/>
      <c r="AB818" s="9"/>
      <c r="AC818" s="9"/>
      <c r="AD818" s="9"/>
      <c r="AF818" s="10"/>
      <c r="AG818" s="10"/>
      <c r="AH818" s="10"/>
      <c r="AI818" s="10"/>
    </row>
    <row r="819" spans="1:35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1"/>
      <c r="V819" s="1"/>
      <c r="W819" s="1"/>
      <c r="X819" s="1"/>
      <c r="AB819" s="9"/>
      <c r="AC819" s="9"/>
      <c r="AD819" s="9"/>
      <c r="AF819" s="10"/>
      <c r="AG819" s="10"/>
      <c r="AH819" s="10"/>
      <c r="AI819" s="10"/>
    </row>
    <row r="820" spans="1:35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1"/>
      <c r="V820" s="1"/>
      <c r="W820" s="1"/>
      <c r="X820" s="1"/>
      <c r="AB820" s="9"/>
      <c r="AC820" s="9"/>
      <c r="AD820" s="9"/>
      <c r="AF820" s="10"/>
      <c r="AG820" s="10"/>
      <c r="AH820" s="10"/>
      <c r="AI820" s="10"/>
    </row>
    <row r="821" spans="1:35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1"/>
      <c r="V821" s="1"/>
      <c r="W821" s="1"/>
      <c r="X821" s="1"/>
      <c r="AB821" s="9"/>
      <c r="AC821" s="9"/>
      <c r="AD821" s="9"/>
      <c r="AF821" s="10"/>
      <c r="AG821" s="10"/>
      <c r="AH821" s="10"/>
      <c r="AI821" s="10"/>
    </row>
    <row r="822" spans="1:35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1"/>
      <c r="V822" s="1"/>
      <c r="W822" s="1"/>
      <c r="X822" s="1"/>
      <c r="AB822" s="9"/>
      <c r="AC822" s="9"/>
      <c r="AD822" s="9"/>
      <c r="AF822" s="10"/>
      <c r="AG822" s="10"/>
      <c r="AH822" s="10"/>
      <c r="AI822" s="10"/>
    </row>
    <row r="823" spans="1:35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1"/>
      <c r="V823" s="1"/>
      <c r="W823" s="1"/>
      <c r="X823" s="1"/>
      <c r="AB823" s="9"/>
      <c r="AC823" s="9"/>
      <c r="AD823" s="9"/>
      <c r="AF823" s="10"/>
      <c r="AG823" s="10"/>
      <c r="AH823" s="10"/>
      <c r="AI823" s="10"/>
    </row>
    <row r="824" spans="1:35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1"/>
      <c r="V824" s="1"/>
      <c r="W824" s="1"/>
      <c r="X824" s="1"/>
      <c r="AB824" s="9"/>
      <c r="AC824" s="9"/>
      <c r="AD824" s="9"/>
      <c r="AF824" s="10"/>
      <c r="AG824" s="10"/>
      <c r="AH824" s="10"/>
      <c r="AI824" s="10"/>
    </row>
    <row r="825" spans="1:35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1"/>
      <c r="V825" s="1"/>
      <c r="W825" s="1"/>
      <c r="X825" s="1"/>
      <c r="AB825" s="9"/>
      <c r="AC825" s="9"/>
      <c r="AD825" s="9"/>
      <c r="AF825" s="10"/>
      <c r="AG825" s="10"/>
      <c r="AH825" s="10"/>
      <c r="AI825" s="10"/>
    </row>
    <row r="826" spans="1:35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1"/>
      <c r="V826" s="1"/>
      <c r="W826" s="1"/>
      <c r="X826" s="1"/>
      <c r="AB826" s="9"/>
      <c r="AC826" s="9"/>
      <c r="AD826" s="9"/>
      <c r="AF826" s="10"/>
      <c r="AG826" s="10"/>
      <c r="AH826" s="10"/>
      <c r="AI826" s="10"/>
    </row>
    <row r="827" spans="1:35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1"/>
      <c r="V827" s="1"/>
      <c r="W827" s="1"/>
      <c r="X827" s="1"/>
      <c r="AB827" s="9"/>
      <c r="AC827" s="9"/>
      <c r="AD827" s="9"/>
      <c r="AF827" s="10"/>
      <c r="AG827" s="10"/>
      <c r="AH827" s="10"/>
      <c r="AI827" s="10"/>
    </row>
    <row r="828" spans="1:35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1"/>
      <c r="V828" s="1"/>
      <c r="W828" s="1"/>
      <c r="X828" s="1"/>
      <c r="AB828" s="9"/>
      <c r="AC828" s="9"/>
      <c r="AD828" s="9"/>
      <c r="AF828" s="10"/>
      <c r="AG828" s="10"/>
      <c r="AH828" s="10"/>
      <c r="AI828" s="10"/>
    </row>
    <row r="829" spans="1:35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1"/>
      <c r="V829" s="1"/>
      <c r="W829" s="1"/>
      <c r="X829" s="1"/>
      <c r="AB829" s="9"/>
      <c r="AC829" s="9"/>
      <c r="AD829" s="9"/>
      <c r="AF829" s="10"/>
      <c r="AG829" s="10"/>
      <c r="AH829" s="10"/>
      <c r="AI829" s="10"/>
    </row>
    <row r="830" spans="1:35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1"/>
      <c r="V830" s="1"/>
      <c r="W830" s="1"/>
      <c r="X830" s="1"/>
      <c r="AB830" s="9"/>
      <c r="AC830" s="9"/>
      <c r="AD830" s="9"/>
      <c r="AF830" s="10"/>
      <c r="AG830" s="10"/>
      <c r="AH830" s="10"/>
      <c r="AI830" s="10"/>
    </row>
    <row r="831" spans="1:35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1"/>
      <c r="V831" s="1"/>
      <c r="W831" s="1"/>
      <c r="X831" s="1"/>
      <c r="AB831" s="9"/>
      <c r="AC831" s="9"/>
      <c r="AD831" s="9"/>
      <c r="AF831" s="10"/>
      <c r="AG831" s="10"/>
      <c r="AH831" s="10"/>
      <c r="AI831" s="10"/>
    </row>
    <row r="832" spans="1:35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1"/>
      <c r="V832" s="1"/>
      <c r="W832" s="1"/>
      <c r="X832" s="1"/>
      <c r="AB832" s="9"/>
      <c r="AC832" s="9"/>
      <c r="AD832" s="9"/>
      <c r="AF832" s="10"/>
      <c r="AG832" s="10"/>
      <c r="AH832" s="10"/>
      <c r="AI832" s="10"/>
    </row>
    <row r="833" spans="1:35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1"/>
      <c r="V833" s="1"/>
      <c r="W833" s="1"/>
      <c r="X833" s="1"/>
      <c r="AB833" s="9"/>
      <c r="AC833" s="9"/>
      <c r="AD833" s="9"/>
      <c r="AF833" s="10"/>
      <c r="AG833" s="10"/>
      <c r="AH833" s="10"/>
      <c r="AI833" s="10"/>
    </row>
    <row r="834" spans="1:35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1"/>
      <c r="V834" s="1"/>
      <c r="W834" s="1"/>
      <c r="X834" s="1"/>
      <c r="AB834" s="9"/>
      <c r="AC834" s="9"/>
      <c r="AD834" s="9"/>
      <c r="AF834" s="10"/>
      <c r="AG834" s="10"/>
      <c r="AH834" s="10"/>
      <c r="AI834" s="10"/>
    </row>
    <row r="835" spans="1:35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1"/>
      <c r="V835" s="1"/>
      <c r="W835" s="1"/>
      <c r="X835" s="1"/>
      <c r="AB835" s="9"/>
      <c r="AC835" s="9"/>
      <c r="AD835" s="9"/>
      <c r="AF835" s="10"/>
      <c r="AG835" s="10"/>
      <c r="AH835" s="10"/>
      <c r="AI835" s="10"/>
    </row>
    <row r="836" spans="1:35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1"/>
      <c r="V836" s="1"/>
      <c r="W836" s="1"/>
      <c r="X836" s="1"/>
      <c r="AB836" s="9"/>
      <c r="AC836" s="9"/>
      <c r="AD836" s="9"/>
      <c r="AF836" s="10"/>
      <c r="AG836" s="10"/>
      <c r="AH836" s="10"/>
      <c r="AI836" s="10"/>
    </row>
    <row r="837" spans="1:35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1"/>
      <c r="V837" s="1"/>
      <c r="W837" s="1"/>
      <c r="X837" s="1"/>
      <c r="AB837" s="9"/>
      <c r="AC837" s="9"/>
      <c r="AD837" s="9"/>
      <c r="AF837" s="10"/>
      <c r="AG837" s="10"/>
      <c r="AH837" s="10"/>
      <c r="AI837" s="10"/>
    </row>
    <row r="838" spans="1:35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1"/>
      <c r="V838" s="1"/>
      <c r="W838" s="1"/>
      <c r="X838" s="1"/>
      <c r="AB838" s="9"/>
      <c r="AC838" s="9"/>
      <c r="AD838" s="9"/>
      <c r="AF838" s="10"/>
      <c r="AG838" s="10"/>
      <c r="AH838" s="10"/>
      <c r="AI838" s="10"/>
    </row>
    <row r="839" spans="1:35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1"/>
      <c r="V839" s="1"/>
      <c r="W839" s="1"/>
      <c r="X839" s="1"/>
      <c r="AB839" s="9"/>
      <c r="AC839" s="9"/>
      <c r="AD839" s="9"/>
      <c r="AF839" s="10"/>
      <c r="AG839" s="10"/>
      <c r="AH839" s="10"/>
      <c r="AI839" s="10"/>
    </row>
    <row r="840" spans="1:35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1"/>
      <c r="V840" s="1"/>
      <c r="W840" s="1"/>
      <c r="X840" s="1"/>
      <c r="AB840" s="9"/>
      <c r="AC840" s="9"/>
      <c r="AD840" s="9"/>
      <c r="AF840" s="10"/>
      <c r="AG840" s="10"/>
      <c r="AH840" s="10"/>
      <c r="AI840" s="10"/>
    </row>
    <row r="841" spans="1:35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1"/>
      <c r="V841" s="1"/>
      <c r="W841" s="1"/>
      <c r="X841" s="1"/>
      <c r="AB841" s="9"/>
      <c r="AC841" s="9"/>
      <c r="AD841" s="9"/>
      <c r="AF841" s="10"/>
      <c r="AG841" s="10"/>
      <c r="AH841" s="10"/>
      <c r="AI841" s="10"/>
    </row>
    <row r="842" spans="1:35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1"/>
      <c r="V842" s="1"/>
      <c r="W842" s="1"/>
      <c r="X842" s="1"/>
      <c r="AB842" s="9"/>
      <c r="AC842" s="9"/>
      <c r="AD842" s="9"/>
      <c r="AF842" s="10"/>
      <c r="AG842" s="10"/>
      <c r="AH842" s="10"/>
      <c r="AI842" s="10"/>
    </row>
    <row r="843" spans="1:35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1"/>
      <c r="V843" s="1"/>
      <c r="W843" s="1"/>
      <c r="X843" s="1"/>
      <c r="AB843" s="9"/>
      <c r="AC843" s="9"/>
      <c r="AD843" s="9"/>
      <c r="AF843" s="10"/>
      <c r="AG843" s="10"/>
      <c r="AH843" s="10"/>
      <c r="AI843" s="10"/>
    </row>
    <row r="844" spans="1:35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1"/>
      <c r="V844" s="1"/>
      <c r="W844" s="1"/>
      <c r="X844" s="1"/>
      <c r="AB844" s="9"/>
      <c r="AC844" s="9"/>
      <c r="AD844" s="9"/>
      <c r="AF844" s="10"/>
      <c r="AG844" s="10"/>
      <c r="AH844" s="10"/>
      <c r="AI844" s="10"/>
    </row>
    <row r="845" spans="1:35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1"/>
      <c r="V845" s="1"/>
      <c r="W845" s="1"/>
      <c r="X845" s="1"/>
      <c r="AB845" s="9"/>
      <c r="AC845" s="9"/>
      <c r="AD845" s="9"/>
      <c r="AF845" s="10"/>
      <c r="AG845" s="10"/>
      <c r="AH845" s="10"/>
      <c r="AI845" s="10"/>
    </row>
    <row r="846" spans="1:35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1"/>
      <c r="V846" s="1"/>
      <c r="W846" s="1"/>
      <c r="X846" s="1"/>
      <c r="AB846" s="9"/>
      <c r="AC846" s="9"/>
      <c r="AD846" s="9"/>
      <c r="AF846" s="10"/>
      <c r="AG846" s="10"/>
      <c r="AH846" s="10"/>
      <c r="AI846" s="10"/>
    </row>
    <row r="847" spans="1:35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1"/>
      <c r="V847" s="1"/>
      <c r="W847" s="1"/>
      <c r="X847" s="1"/>
      <c r="AB847" s="9"/>
      <c r="AC847" s="9"/>
      <c r="AD847" s="9"/>
      <c r="AF847" s="10"/>
      <c r="AG847" s="10"/>
      <c r="AH847" s="10"/>
      <c r="AI847" s="10"/>
    </row>
    <row r="848" spans="1:35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1"/>
      <c r="V848" s="1"/>
      <c r="W848" s="1"/>
      <c r="X848" s="1"/>
      <c r="AB848" s="9"/>
      <c r="AC848" s="9"/>
      <c r="AD848" s="9"/>
      <c r="AF848" s="10"/>
      <c r="AG848" s="10"/>
      <c r="AH848" s="10"/>
      <c r="AI848" s="10"/>
    </row>
    <row r="849" spans="1:35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1"/>
      <c r="V849" s="1"/>
      <c r="W849" s="1"/>
      <c r="X849" s="1"/>
      <c r="AB849" s="9"/>
      <c r="AC849" s="9"/>
      <c r="AD849" s="9"/>
      <c r="AF849" s="10"/>
      <c r="AG849" s="10"/>
      <c r="AH849" s="10"/>
      <c r="AI849" s="10"/>
    </row>
    <row r="850" spans="1:35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1"/>
      <c r="V850" s="1"/>
      <c r="W850" s="1"/>
      <c r="X850" s="1"/>
      <c r="AB850" s="9"/>
      <c r="AC850" s="9"/>
      <c r="AD850" s="9"/>
      <c r="AF850" s="10"/>
      <c r="AG850" s="10"/>
      <c r="AH850" s="10"/>
      <c r="AI850" s="10"/>
    </row>
    <row r="851" spans="1:35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1"/>
      <c r="V851" s="1"/>
      <c r="W851" s="1"/>
      <c r="X851" s="1"/>
      <c r="AB851" s="9"/>
      <c r="AC851" s="9"/>
      <c r="AD851" s="9"/>
      <c r="AF851" s="10"/>
      <c r="AG851" s="10"/>
      <c r="AH851" s="10"/>
      <c r="AI851" s="10"/>
    </row>
    <row r="852" spans="1:35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1"/>
      <c r="V852" s="1"/>
      <c r="W852" s="1"/>
      <c r="X852" s="1"/>
      <c r="AB852" s="9"/>
      <c r="AC852" s="9"/>
      <c r="AD852" s="9"/>
      <c r="AF852" s="10"/>
      <c r="AG852" s="10"/>
      <c r="AH852" s="10"/>
      <c r="AI852" s="10"/>
    </row>
    <row r="853" spans="1:35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1"/>
      <c r="V853" s="1"/>
      <c r="W853" s="1"/>
      <c r="X853" s="1"/>
      <c r="AB853" s="9"/>
      <c r="AC853" s="9"/>
      <c r="AD853" s="9"/>
      <c r="AF853" s="10"/>
      <c r="AG853" s="10"/>
      <c r="AH853" s="10"/>
      <c r="AI853" s="10"/>
    </row>
    <row r="854" spans="1:35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1"/>
      <c r="V854" s="1"/>
      <c r="W854" s="1"/>
      <c r="X854" s="1"/>
      <c r="AB854" s="9"/>
      <c r="AC854" s="9"/>
      <c r="AD854" s="9"/>
      <c r="AF854" s="10"/>
      <c r="AG854" s="10"/>
      <c r="AH854" s="10"/>
      <c r="AI854" s="10"/>
    </row>
    <row r="855" spans="1:35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1"/>
      <c r="V855" s="1"/>
      <c r="W855" s="1"/>
      <c r="X855" s="1"/>
      <c r="AB855" s="9"/>
      <c r="AC855" s="9"/>
      <c r="AD855" s="9"/>
      <c r="AF855" s="10"/>
      <c r="AG855" s="10"/>
      <c r="AH855" s="10"/>
      <c r="AI855" s="10"/>
    </row>
    <row r="856" spans="1:35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1"/>
      <c r="V856" s="1"/>
      <c r="W856" s="1"/>
      <c r="X856" s="1"/>
      <c r="AB856" s="9"/>
      <c r="AC856" s="9"/>
      <c r="AD856" s="9"/>
      <c r="AF856" s="10"/>
      <c r="AG856" s="10"/>
      <c r="AH856" s="10"/>
      <c r="AI856" s="10"/>
    </row>
    <row r="857" spans="1:35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1"/>
      <c r="V857" s="1"/>
      <c r="W857" s="1"/>
      <c r="X857" s="1"/>
      <c r="AB857" s="9"/>
      <c r="AC857" s="9"/>
      <c r="AD857" s="9"/>
      <c r="AF857" s="10"/>
      <c r="AG857" s="10"/>
      <c r="AH857" s="10"/>
      <c r="AI857" s="10"/>
    </row>
    <row r="858" spans="1:35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1"/>
      <c r="V858" s="1"/>
      <c r="W858" s="1"/>
      <c r="X858" s="1"/>
      <c r="AB858" s="9"/>
      <c r="AC858" s="9"/>
      <c r="AD858" s="9"/>
      <c r="AF858" s="10"/>
      <c r="AG858" s="10"/>
      <c r="AH858" s="10"/>
      <c r="AI858" s="10"/>
    </row>
    <row r="859" spans="1:35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1"/>
      <c r="V859" s="1"/>
      <c r="W859" s="1"/>
      <c r="X859" s="1"/>
      <c r="AB859" s="9"/>
      <c r="AC859" s="9"/>
      <c r="AD859" s="9"/>
      <c r="AF859" s="10"/>
      <c r="AG859" s="10"/>
      <c r="AH859" s="10"/>
      <c r="AI859" s="10"/>
    </row>
    <row r="860" spans="1:35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1"/>
      <c r="V860" s="1"/>
      <c r="W860" s="1"/>
      <c r="X860" s="1"/>
      <c r="AB860" s="9"/>
      <c r="AC860" s="9"/>
      <c r="AD860" s="9"/>
      <c r="AF860" s="10"/>
      <c r="AG860" s="10"/>
      <c r="AH860" s="10"/>
      <c r="AI860" s="10"/>
    </row>
    <row r="861" spans="1:35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1"/>
      <c r="V861" s="1"/>
      <c r="W861" s="1"/>
      <c r="X861" s="1"/>
      <c r="AB861" s="9"/>
      <c r="AC861" s="9"/>
      <c r="AD861" s="9"/>
      <c r="AF861" s="10"/>
      <c r="AG861" s="10"/>
      <c r="AH861" s="10"/>
      <c r="AI861" s="10"/>
    </row>
    <row r="862" spans="1:35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1"/>
      <c r="V862" s="1"/>
      <c r="W862" s="1"/>
      <c r="X862" s="1"/>
      <c r="AB862" s="9"/>
      <c r="AC862" s="9"/>
      <c r="AD862" s="9"/>
      <c r="AF862" s="10"/>
      <c r="AG862" s="10"/>
      <c r="AH862" s="10"/>
      <c r="AI862" s="10"/>
    </row>
    <row r="863" spans="1:35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1"/>
      <c r="V863" s="1"/>
      <c r="W863" s="1"/>
      <c r="X863" s="1"/>
      <c r="AB863" s="9"/>
      <c r="AC863" s="9"/>
      <c r="AD863" s="9"/>
      <c r="AF863" s="10"/>
      <c r="AG863" s="10"/>
      <c r="AH863" s="10"/>
      <c r="AI863" s="10"/>
    </row>
    <row r="864" spans="1:35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1"/>
      <c r="V864" s="1"/>
      <c r="W864" s="1"/>
      <c r="X864" s="1"/>
      <c r="AB864" s="9"/>
      <c r="AC864" s="9"/>
      <c r="AD864" s="9"/>
      <c r="AF864" s="10"/>
      <c r="AG864" s="10"/>
      <c r="AH864" s="10"/>
      <c r="AI864" s="10"/>
    </row>
    <row r="865" spans="1:35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1"/>
      <c r="V865" s="1"/>
      <c r="W865" s="1"/>
      <c r="X865" s="1"/>
      <c r="AB865" s="9"/>
      <c r="AC865" s="9"/>
      <c r="AD865" s="9"/>
      <c r="AF865" s="10"/>
      <c r="AG865" s="10"/>
      <c r="AH865" s="10"/>
      <c r="AI865" s="10"/>
    </row>
    <row r="866" spans="1:35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1"/>
      <c r="V866" s="1"/>
      <c r="W866" s="1"/>
      <c r="X866" s="1"/>
      <c r="AB866" s="9"/>
      <c r="AC866" s="9"/>
      <c r="AD866" s="9"/>
      <c r="AF866" s="10"/>
      <c r="AG866" s="10"/>
      <c r="AH866" s="10"/>
      <c r="AI866" s="10"/>
    </row>
    <row r="867" spans="1:35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1"/>
      <c r="V867" s="1"/>
      <c r="W867" s="1"/>
      <c r="X867" s="1"/>
      <c r="AB867" s="9"/>
      <c r="AC867" s="9"/>
      <c r="AD867" s="9"/>
      <c r="AF867" s="10"/>
      <c r="AG867" s="10"/>
      <c r="AH867" s="10"/>
      <c r="AI867" s="10"/>
    </row>
    <row r="868" spans="1:35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1"/>
      <c r="V868" s="1"/>
      <c r="W868" s="1"/>
      <c r="X868" s="1"/>
      <c r="AB868" s="9"/>
      <c r="AC868" s="9"/>
      <c r="AD868" s="9"/>
      <c r="AF868" s="10"/>
      <c r="AG868" s="10"/>
      <c r="AH868" s="10"/>
      <c r="AI868" s="10"/>
    </row>
    <row r="869" spans="1:35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1"/>
      <c r="V869" s="1"/>
      <c r="W869" s="1"/>
      <c r="X869" s="1"/>
      <c r="AB869" s="9"/>
      <c r="AC869" s="9"/>
      <c r="AD869" s="9"/>
      <c r="AF869" s="10"/>
      <c r="AG869" s="10"/>
      <c r="AH869" s="10"/>
      <c r="AI869" s="10"/>
    </row>
    <row r="870" spans="1:35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1"/>
      <c r="V870" s="1"/>
      <c r="W870" s="1"/>
      <c r="X870" s="1"/>
      <c r="AB870" s="9"/>
      <c r="AC870" s="9"/>
      <c r="AD870" s="9"/>
      <c r="AF870" s="10"/>
      <c r="AG870" s="10"/>
      <c r="AH870" s="10"/>
      <c r="AI870" s="10"/>
    </row>
    <row r="871" spans="1:35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1"/>
      <c r="V871" s="1"/>
      <c r="W871" s="1"/>
      <c r="X871" s="1"/>
      <c r="AB871" s="9"/>
      <c r="AC871" s="9"/>
      <c r="AD871" s="9"/>
      <c r="AF871" s="10"/>
      <c r="AG871" s="10"/>
      <c r="AH871" s="10"/>
      <c r="AI871" s="10"/>
    </row>
    <row r="872" spans="1:35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1"/>
      <c r="V872" s="1"/>
      <c r="W872" s="1"/>
      <c r="X872" s="1"/>
      <c r="AB872" s="9"/>
      <c r="AC872" s="9"/>
      <c r="AD872" s="9"/>
      <c r="AF872" s="10"/>
      <c r="AG872" s="10"/>
      <c r="AH872" s="10"/>
      <c r="AI872" s="10"/>
    </row>
    <row r="873" spans="1:35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1"/>
      <c r="V873" s="1"/>
      <c r="W873" s="1"/>
      <c r="X873" s="1"/>
      <c r="AB873" s="9"/>
      <c r="AC873" s="9"/>
      <c r="AD873" s="9"/>
      <c r="AF873" s="10"/>
      <c r="AG873" s="10"/>
      <c r="AH873" s="10"/>
      <c r="AI873" s="10"/>
    </row>
    <row r="874" spans="1:35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1"/>
      <c r="V874" s="1"/>
      <c r="W874" s="1"/>
      <c r="X874" s="1"/>
      <c r="AB874" s="9"/>
      <c r="AC874" s="9"/>
      <c r="AD874" s="9"/>
      <c r="AF874" s="10"/>
      <c r="AG874" s="10"/>
      <c r="AH874" s="10"/>
      <c r="AI874" s="10"/>
    </row>
    <row r="875" spans="1:35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1"/>
      <c r="V875" s="1"/>
      <c r="W875" s="1"/>
      <c r="X875" s="1"/>
      <c r="AB875" s="9"/>
      <c r="AC875" s="9"/>
      <c r="AD875" s="9"/>
      <c r="AF875" s="10"/>
      <c r="AG875" s="10"/>
      <c r="AH875" s="10"/>
      <c r="AI875" s="10"/>
    </row>
    <row r="876" spans="1:35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1"/>
      <c r="V876" s="1"/>
      <c r="W876" s="1"/>
      <c r="X876" s="1"/>
      <c r="AB876" s="9"/>
      <c r="AC876" s="9"/>
      <c r="AD876" s="9"/>
      <c r="AF876" s="10"/>
      <c r="AG876" s="10"/>
      <c r="AH876" s="10"/>
      <c r="AI876" s="10"/>
    </row>
    <row r="877" spans="1:35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1"/>
      <c r="V877" s="1"/>
      <c r="W877" s="1"/>
      <c r="X877" s="1"/>
      <c r="AB877" s="9"/>
      <c r="AC877" s="9"/>
      <c r="AD877" s="9"/>
      <c r="AF877" s="10"/>
      <c r="AG877" s="10"/>
      <c r="AH877" s="10"/>
      <c r="AI877" s="10"/>
    </row>
    <row r="878" spans="1:35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1"/>
      <c r="V878" s="1"/>
      <c r="W878" s="1"/>
      <c r="X878" s="1"/>
      <c r="AB878" s="9"/>
      <c r="AC878" s="9"/>
      <c r="AD878" s="9"/>
      <c r="AF878" s="10"/>
      <c r="AG878" s="10"/>
      <c r="AH878" s="10"/>
      <c r="AI878" s="10"/>
    </row>
    <row r="879" spans="1:35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1"/>
      <c r="V879" s="1"/>
      <c r="W879" s="1"/>
      <c r="X879" s="1"/>
      <c r="AB879" s="9"/>
      <c r="AC879" s="9"/>
      <c r="AD879" s="9"/>
      <c r="AF879" s="10"/>
      <c r="AG879" s="10"/>
      <c r="AH879" s="10"/>
      <c r="AI879" s="10"/>
    </row>
    <row r="880" spans="1:35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1"/>
      <c r="V880" s="1"/>
      <c r="W880" s="1"/>
      <c r="X880" s="1"/>
      <c r="AB880" s="9"/>
      <c r="AC880" s="9"/>
      <c r="AD880" s="9"/>
      <c r="AF880" s="10"/>
      <c r="AG880" s="10"/>
      <c r="AH880" s="10"/>
      <c r="AI880" s="10"/>
    </row>
    <row r="881" spans="1:35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1"/>
      <c r="V881" s="1"/>
      <c r="W881" s="1"/>
      <c r="X881" s="1"/>
      <c r="AB881" s="9"/>
      <c r="AC881" s="9"/>
      <c r="AD881" s="9"/>
      <c r="AF881" s="10"/>
      <c r="AG881" s="10"/>
      <c r="AH881" s="10"/>
      <c r="AI881" s="10"/>
    </row>
    <row r="882" spans="1:35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1"/>
      <c r="V882" s="1"/>
      <c r="W882" s="1"/>
      <c r="X882" s="1"/>
      <c r="AB882" s="9"/>
      <c r="AC882" s="9"/>
      <c r="AD882" s="9"/>
      <c r="AF882" s="10"/>
      <c r="AG882" s="10"/>
      <c r="AH882" s="10"/>
      <c r="AI882" s="10"/>
    </row>
    <row r="883" spans="1:35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1"/>
      <c r="V883" s="1"/>
      <c r="W883" s="1"/>
      <c r="X883" s="1"/>
      <c r="AB883" s="9"/>
      <c r="AC883" s="9"/>
      <c r="AD883" s="9"/>
      <c r="AF883" s="10"/>
      <c r="AG883" s="10"/>
      <c r="AH883" s="10"/>
      <c r="AI883" s="10"/>
    </row>
    <row r="884" spans="1:35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1"/>
      <c r="V884" s="1"/>
      <c r="W884" s="1"/>
      <c r="X884" s="1"/>
      <c r="AB884" s="9"/>
      <c r="AC884" s="9"/>
      <c r="AD884" s="9"/>
      <c r="AF884" s="10"/>
      <c r="AG884" s="10"/>
      <c r="AH884" s="10"/>
      <c r="AI884" s="10"/>
    </row>
    <row r="885" spans="1:35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1"/>
      <c r="V885" s="1"/>
      <c r="W885" s="1"/>
      <c r="X885" s="1"/>
      <c r="AB885" s="9"/>
      <c r="AC885" s="9"/>
      <c r="AD885" s="9"/>
      <c r="AF885" s="10"/>
      <c r="AG885" s="10"/>
      <c r="AH885" s="10"/>
      <c r="AI885" s="10"/>
    </row>
    <row r="886" spans="1:35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1"/>
      <c r="V886" s="1"/>
      <c r="W886" s="1"/>
      <c r="X886" s="1"/>
      <c r="AB886" s="9"/>
      <c r="AC886" s="9"/>
      <c r="AD886" s="9"/>
      <c r="AF886" s="10"/>
      <c r="AG886" s="10"/>
      <c r="AH886" s="10"/>
      <c r="AI886" s="10"/>
    </row>
    <row r="887" spans="1:35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1"/>
      <c r="V887" s="1"/>
      <c r="W887" s="1"/>
      <c r="X887" s="1"/>
      <c r="AB887" s="9"/>
      <c r="AC887" s="9"/>
      <c r="AD887" s="9"/>
      <c r="AF887" s="10"/>
      <c r="AG887" s="10"/>
      <c r="AH887" s="10"/>
      <c r="AI887" s="10"/>
    </row>
    <row r="888" spans="1:35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1"/>
      <c r="V888" s="1"/>
      <c r="W888" s="1"/>
      <c r="X888" s="1"/>
      <c r="AB888" s="9"/>
      <c r="AC888" s="9"/>
      <c r="AD888" s="9"/>
      <c r="AF888" s="10"/>
      <c r="AG888" s="10"/>
      <c r="AH888" s="10"/>
      <c r="AI888" s="10"/>
    </row>
    <row r="889" spans="1:35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1"/>
      <c r="V889" s="1"/>
      <c r="W889" s="1"/>
      <c r="X889" s="1"/>
      <c r="AB889" s="9"/>
      <c r="AC889" s="9"/>
      <c r="AD889" s="9"/>
      <c r="AF889" s="10"/>
      <c r="AG889" s="10"/>
      <c r="AH889" s="10"/>
      <c r="AI889" s="10"/>
    </row>
    <row r="890" spans="1:35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1"/>
      <c r="V890" s="1"/>
      <c r="W890" s="1"/>
      <c r="X890" s="1"/>
      <c r="AB890" s="9"/>
      <c r="AC890" s="9"/>
      <c r="AD890" s="9"/>
      <c r="AF890" s="10"/>
      <c r="AG890" s="10"/>
      <c r="AH890" s="10"/>
      <c r="AI890" s="10"/>
    </row>
    <row r="891" spans="1:35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1"/>
      <c r="V891" s="1"/>
      <c r="W891" s="1"/>
      <c r="X891" s="1"/>
      <c r="AB891" s="9"/>
      <c r="AC891" s="9"/>
      <c r="AD891" s="9"/>
      <c r="AF891" s="10"/>
      <c r="AG891" s="10"/>
      <c r="AH891" s="10"/>
      <c r="AI891" s="10"/>
    </row>
    <row r="892" spans="1:35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1"/>
      <c r="V892" s="1"/>
      <c r="W892" s="1"/>
      <c r="X892" s="1"/>
      <c r="AB892" s="9"/>
      <c r="AC892" s="9"/>
      <c r="AD892" s="9"/>
      <c r="AF892" s="10"/>
      <c r="AG892" s="10"/>
      <c r="AH892" s="10"/>
      <c r="AI892" s="10"/>
    </row>
    <row r="893" spans="1:35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1"/>
      <c r="V893" s="1"/>
      <c r="W893" s="1"/>
      <c r="X893" s="1"/>
      <c r="AB893" s="9"/>
      <c r="AC893" s="9"/>
      <c r="AD893" s="9"/>
      <c r="AF893" s="10"/>
      <c r="AG893" s="10"/>
      <c r="AH893" s="10"/>
      <c r="AI893" s="10"/>
    </row>
    <row r="894" spans="1:35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1"/>
      <c r="V894" s="1"/>
      <c r="W894" s="1"/>
      <c r="X894" s="1"/>
      <c r="AB894" s="9"/>
      <c r="AC894" s="9"/>
      <c r="AD894" s="9"/>
      <c r="AF894" s="10"/>
      <c r="AG894" s="10"/>
      <c r="AH894" s="10"/>
      <c r="AI894" s="10"/>
    </row>
    <row r="895" spans="1:35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1"/>
      <c r="V895" s="1"/>
      <c r="W895" s="1"/>
      <c r="X895" s="1"/>
      <c r="AB895" s="9"/>
      <c r="AC895" s="9"/>
      <c r="AD895" s="9"/>
      <c r="AF895" s="10"/>
      <c r="AG895" s="10"/>
      <c r="AH895" s="10"/>
      <c r="AI895" s="10"/>
    </row>
    <row r="896" spans="1:35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1"/>
      <c r="V896" s="1"/>
      <c r="W896" s="1"/>
      <c r="X896" s="1"/>
      <c r="AB896" s="9"/>
      <c r="AC896" s="9"/>
      <c r="AD896" s="9"/>
      <c r="AF896" s="10"/>
      <c r="AG896" s="10"/>
      <c r="AH896" s="10"/>
      <c r="AI896" s="10"/>
    </row>
    <row r="897" spans="1:35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1"/>
      <c r="V897" s="1"/>
      <c r="W897" s="1"/>
      <c r="X897" s="1"/>
      <c r="AB897" s="9"/>
      <c r="AC897" s="9"/>
      <c r="AD897" s="9"/>
      <c r="AF897" s="10"/>
      <c r="AG897" s="10"/>
      <c r="AH897" s="10"/>
      <c r="AI897" s="10"/>
    </row>
    <row r="898" spans="1:35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1"/>
      <c r="V898" s="1"/>
      <c r="W898" s="1"/>
      <c r="X898" s="1"/>
      <c r="AB898" s="9"/>
      <c r="AC898" s="9"/>
      <c r="AD898" s="9"/>
      <c r="AF898" s="10"/>
      <c r="AG898" s="10"/>
      <c r="AH898" s="10"/>
      <c r="AI898" s="10"/>
    </row>
    <row r="899" spans="1:35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1"/>
      <c r="V899" s="1"/>
      <c r="W899" s="1"/>
      <c r="X899" s="1"/>
      <c r="AB899" s="9"/>
      <c r="AC899" s="9"/>
      <c r="AD899" s="9"/>
      <c r="AF899" s="10"/>
      <c r="AG899" s="10"/>
      <c r="AH899" s="10"/>
      <c r="AI899" s="10"/>
    </row>
    <row r="900" spans="1:35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1"/>
      <c r="V900" s="1"/>
      <c r="W900" s="1"/>
      <c r="X900" s="1"/>
      <c r="AB900" s="9"/>
      <c r="AC900" s="9"/>
      <c r="AD900" s="9"/>
      <c r="AF900" s="10"/>
      <c r="AG900" s="10"/>
      <c r="AH900" s="10"/>
      <c r="AI900" s="10"/>
    </row>
    <row r="901" spans="1:35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1"/>
      <c r="V901" s="1"/>
      <c r="W901" s="1"/>
      <c r="X901" s="1"/>
      <c r="AB901" s="9"/>
      <c r="AC901" s="9"/>
      <c r="AD901" s="9"/>
      <c r="AF901" s="10"/>
      <c r="AG901" s="10"/>
      <c r="AH901" s="10"/>
      <c r="AI901" s="10"/>
    </row>
    <row r="902" spans="1:35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1"/>
      <c r="V902" s="1"/>
      <c r="W902" s="1"/>
      <c r="X902" s="1"/>
      <c r="AB902" s="9"/>
      <c r="AC902" s="9"/>
      <c r="AD902" s="9"/>
      <c r="AF902" s="10"/>
      <c r="AG902" s="10"/>
      <c r="AH902" s="10"/>
      <c r="AI902" s="10"/>
    </row>
    <row r="903" spans="1:35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1"/>
      <c r="V903" s="1"/>
      <c r="W903" s="1"/>
      <c r="X903" s="1"/>
      <c r="AB903" s="9"/>
      <c r="AC903" s="9"/>
      <c r="AD903" s="9"/>
      <c r="AF903" s="10"/>
      <c r="AG903" s="10"/>
      <c r="AH903" s="10"/>
      <c r="AI903" s="10"/>
    </row>
    <row r="904" spans="1:35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1"/>
      <c r="V904" s="1"/>
      <c r="W904" s="1"/>
      <c r="X904" s="1"/>
      <c r="AB904" s="9"/>
      <c r="AC904" s="9"/>
      <c r="AD904" s="9"/>
      <c r="AF904" s="10"/>
      <c r="AG904" s="10"/>
      <c r="AH904" s="10"/>
      <c r="AI904" s="10"/>
    </row>
    <row r="905" spans="1:35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1"/>
      <c r="V905" s="1"/>
      <c r="W905" s="1"/>
      <c r="X905" s="1"/>
      <c r="AB905" s="9"/>
      <c r="AC905" s="9"/>
      <c r="AD905" s="9"/>
      <c r="AF905" s="10"/>
      <c r="AG905" s="10"/>
      <c r="AH905" s="10"/>
      <c r="AI905" s="10"/>
    </row>
    <row r="906" spans="1:35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1"/>
      <c r="V906" s="1"/>
      <c r="W906" s="1"/>
      <c r="X906" s="1"/>
      <c r="AB906" s="9"/>
      <c r="AC906" s="9"/>
      <c r="AD906" s="9"/>
      <c r="AF906" s="10"/>
      <c r="AG906" s="10"/>
      <c r="AH906" s="10"/>
      <c r="AI906" s="10"/>
    </row>
    <row r="907" spans="1:35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1"/>
      <c r="V907" s="1"/>
      <c r="W907" s="1"/>
      <c r="X907" s="1"/>
      <c r="AB907" s="9"/>
      <c r="AC907" s="9"/>
      <c r="AD907" s="9"/>
      <c r="AF907" s="10"/>
      <c r="AG907" s="10"/>
      <c r="AH907" s="10"/>
      <c r="AI907" s="10"/>
    </row>
    <row r="908" spans="1:35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1"/>
      <c r="V908" s="1"/>
      <c r="W908" s="1"/>
      <c r="X908" s="1"/>
      <c r="AB908" s="9"/>
      <c r="AC908" s="9"/>
      <c r="AD908" s="9"/>
      <c r="AF908" s="10"/>
      <c r="AG908" s="10"/>
      <c r="AH908" s="10"/>
      <c r="AI908" s="10"/>
    </row>
    <row r="909" spans="1:35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1"/>
      <c r="V909" s="1"/>
      <c r="W909" s="1"/>
      <c r="X909" s="1"/>
      <c r="AB909" s="9"/>
      <c r="AC909" s="9"/>
      <c r="AD909" s="9"/>
      <c r="AF909" s="10"/>
      <c r="AG909" s="10"/>
      <c r="AH909" s="10"/>
      <c r="AI909" s="10"/>
    </row>
    <row r="910" spans="1:35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1"/>
      <c r="V910" s="1"/>
      <c r="W910" s="1"/>
      <c r="X910" s="1"/>
      <c r="AB910" s="9"/>
      <c r="AC910" s="9"/>
      <c r="AD910" s="9"/>
      <c r="AF910" s="10"/>
      <c r="AG910" s="10"/>
      <c r="AH910" s="10"/>
      <c r="AI910" s="10"/>
    </row>
    <row r="911" spans="1:35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1"/>
      <c r="V911" s="1"/>
      <c r="W911" s="1"/>
      <c r="X911" s="1"/>
      <c r="AB911" s="9"/>
      <c r="AC911" s="9"/>
      <c r="AD911" s="9"/>
      <c r="AF911" s="10"/>
      <c r="AG911" s="10"/>
      <c r="AH911" s="10"/>
      <c r="AI911" s="10"/>
    </row>
    <row r="912" spans="1:35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1"/>
      <c r="V912" s="1"/>
      <c r="W912" s="1"/>
      <c r="X912" s="1"/>
      <c r="AB912" s="9"/>
      <c r="AC912" s="9"/>
      <c r="AD912" s="9"/>
      <c r="AF912" s="10"/>
      <c r="AG912" s="10"/>
      <c r="AH912" s="10"/>
      <c r="AI912" s="10"/>
    </row>
    <row r="913" spans="1:35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1"/>
      <c r="V913" s="1"/>
      <c r="W913" s="1"/>
      <c r="X913" s="1"/>
      <c r="AB913" s="9"/>
      <c r="AC913" s="9"/>
      <c r="AD913" s="9"/>
      <c r="AF913" s="10"/>
      <c r="AG913" s="10"/>
      <c r="AH913" s="10"/>
      <c r="AI913" s="10"/>
    </row>
    <row r="914" spans="1:35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1"/>
      <c r="V914" s="1"/>
      <c r="W914" s="1"/>
      <c r="X914" s="1"/>
      <c r="AB914" s="9"/>
      <c r="AC914" s="9"/>
      <c r="AD914" s="9"/>
      <c r="AF914" s="10"/>
      <c r="AG914" s="10"/>
      <c r="AH914" s="10"/>
      <c r="AI914" s="10"/>
    </row>
    <row r="915" spans="1:35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1"/>
      <c r="V915" s="1"/>
      <c r="W915" s="1"/>
      <c r="X915" s="1"/>
      <c r="AB915" s="9"/>
      <c r="AC915" s="9"/>
      <c r="AD915" s="9"/>
      <c r="AF915" s="10"/>
      <c r="AG915" s="10"/>
      <c r="AH915" s="10"/>
      <c r="AI915" s="10"/>
    </row>
    <row r="916" spans="1:35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1"/>
      <c r="V916" s="1"/>
      <c r="W916" s="1"/>
      <c r="X916" s="1"/>
      <c r="AB916" s="9"/>
      <c r="AC916" s="9"/>
      <c r="AD916" s="9"/>
      <c r="AF916" s="10"/>
      <c r="AG916" s="10"/>
      <c r="AH916" s="10"/>
      <c r="AI916" s="10"/>
    </row>
    <row r="917" spans="1:35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1"/>
      <c r="V917" s="1"/>
      <c r="W917" s="1"/>
      <c r="X917" s="1"/>
      <c r="AB917" s="9"/>
      <c r="AC917" s="9"/>
      <c r="AD917" s="9"/>
      <c r="AF917" s="10"/>
      <c r="AG917" s="10"/>
      <c r="AH917" s="10"/>
      <c r="AI917" s="10"/>
    </row>
    <row r="918" spans="1:35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1"/>
      <c r="V918" s="1"/>
      <c r="W918" s="1"/>
      <c r="X918" s="1"/>
      <c r="AB918" s="9"/>
      <c r="AC918" s="9"/>
      <c r="AD918" s="9"/>
      <c r="AF918" s="10"/>
      <c r="AG918" s="10"/>
      <c r="AH918" s="10"/>
      <c r="AI918" s="10"/>
    </row>
    <row r="919" spans="1:35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1"/>
      <c r="V919" s="1"/>
      <c r="W919" s="1"/>
      <c r="X919" s="1"/>
      <c r="AB919" s="9"/>
      <c r="AC919" s="9"/>
      <c r="AD919" s="9"/>
      <c r="AF919" s="10"/>
      <c r="AG919" s="10"/>
      <c r="AH919" s="10"/>
      <c r="AI919" s="10"/>
    </row>
    <row r="920" spans="1:35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1"/>
      <c r="V920" s="1"/>
      <c r="W920" s="1"/>
      <c r="X920" s="1"/>
      <c r="AB920" s="9"/>
      <c r="AC920" s="9"/>
      <c r="AD920" s="9"/>
      <c r="AF920" s="10"/>
      <c r="AG920" s="10"/>
      <c r="AH920" s="10"/>
      <c r="AI920" s="10"/>
    </row>
    <row r="921" spans="1:35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1"/>
      <c r="V921" s="1"/>
      <c r="W921" s="1"/>
      <c r="X921" s="1"/>
      <c r="AB921" s="9"/>
      <c r="AC921" s="9"/>
      <c r="AD921" s="9"/>
      <c r="AF921" s="10"/>
      <c r="AG921" s="10"/>
      <c r="AH921" s="10"/>
      <c r="AI921" s="10"/>
    </row>
    <row r="922" spans="1:35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1"/>
      <c r="V922" s="1"/>
      <c r="W922" s="1"/>
      <c r="X922" s="1"/>
      <c r="AB922" s="9"/>
      <c r="AC922" s="9"/>
      <c r="AD922" s="9"/>
      <c r="AF922" s="10"/>
      <c r="AG922" s="10"/>
      <c r="AH922" s="10"/>
      <c r="AI922" s="10"/>
    </row>
    <row r="923" spans="1:35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1"/>
      <c r="V923" s="1"/>
      <c r="W923" s="1"/>
      <c r="X923" s="1"/>
      <c r="AB923" s="9"/>
      <c r="AC923" s="9"/>
      <c r="AD923" s="9"/>
      <c r="AF923" s="10"/>
      <c r="AG923" s="10"/>
      <c r="AH923" s="10"/>
      <c r="AI923" s="10"/>
    </row>
    <row r="924" spans="1:35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1"/>
      <c r="V924" s="1"/>
      <c r="W924" s="1"/>
      <c r="X924" s="1"/>
      <c r="AB924" s="9"/>
      <c r="AC924" s="9"/>
      <c r="AD924" s="9"/>
      <c r="AF924" s="10"/>
      <c r="AG924" s="10"/>
      <c r="AH924" s="10"/>
      <c r="AI924" s="10"/>
    </row>
    <row r="925" spans="1:35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1"/>
      <c r="V925" s="1"/>
      <c r="W925" s="1"/>
      <c r="X925" s="1"/>
      <c r="AB925" s="9"/>
      <c r="AC925" s="9"/>
      <c r="AD925" s="9"/>
      <c r="AF925" s="10"/>
      <c r="AG925" s="10"/>
      <c r="AH925" s="10"/>
      <c r="AI925" s="10"/>
    </row>
    <row r="926" spans="1:35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1"/>
      <c r="V926" s="1"/>
      <c r="W926" s="1"/>
      <c r="X926" s="1"/>
      <c r="AB926" s="9"/>
      <c r="AC926" s="9"/>
      <c r="AD926" s="9"/>
      <c r="AF926" s="10"/>
      <c r="AG926" s="10"/>
      <c r="AH926" s="10"/>
      <c r="AI926" s="10"/>
    </row>
    <row r="927" spans="1:35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1"/>
      <c r="V927" s="1"/>
      <c r="W927" s="1"/>
      <c r="X927" s="1"/>
      <c r="AB927" s="9"/>
      <c r="AC927" s="9"/>
      <c r="AD927" s="9"/>
      <c r="AF927" s="10"/>
      <c r="AG927" s="10"/>
      <c r="AH927" s="10"/>
      <c r="AI927" s="10"/>
    </row>
    <row r="928" spans="1:35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1"/>
      <c r="V928" s="1"/>
      <c r="W928" s="1"/>
      <c r="X928" s="1"/>
      <c r="AB928" s="9"/>
      <c r="AC928" s="9"/>
      <c r="AD928" s="9"/>
      <c r="AF928" s="10"/>
      <c r="AG928" s="10"/>
      <c r="AH928" s="10"/>
      <c r="AI928" s="10"/>
    </row>
    <row r="929" spans="1:35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1"/>
      <c r="V929" s="1"/>
      <c r="W929" s="1"/>
      <c r="X929" s="1"/>
      <c r="AB929" s="9"/>
      <c r="AC929" s="9"/>
      <c r="AD929" s="9"/>
      <c r="AF929" s="10"/>
      <c r="AG929" s="10"/>
      <c r="AH929" s="10"/>
      <c r="AI929" s="10"/>
    </row>
    <row r="930" spans="1:35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1"/>
      <c r="V930" s="1"/>
      <c r="W930" s="1"/>
      <c r="X930" s="1"/>
      <c r="AB930" s="9"/>
      <c r="AC930" s="9"/>
      <c r="AD930" s="9"/>
      <c r="AF930" s="10"/>
      <c r="AG930" s="10"/>
      <c r="AH930" s="10"/>
      <c r="AI930" s="10"/>
    </row>
    <row r="931" spans="1:35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1"/>
      <c r="V931" s="1"/>
      <c r="W931" s="1"/>
      <c r="X931" s="1"/>
      <c r="AB931" s="9"/>
      <c r="AC931" s="9"/>
      <c r="AD931" s="9"/>
      <c r="AF931" s="10"/>
      <c r="AG931" s="10"/>
      <c r="AH931" s="10"/>
      <c r="AI931" s="10"/>
    </row>
    <row r="932" spans="1:35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1"/>
      <c r="V932" s="1"/>
      <c r="W932" s="1"/>
      <c r="X932" s="1"/>
      <c r="AB932" s="9"/>
      <c r="AC932" s="9"/>
      <c r="AD932" s="9"/>
      <c r="AF932" s="10"/>
      <c r="AG932" s="10"/>
      <c r="AH932" s="10"/>
      <c r="AI932" s="10"/>
    </row>
    <row r="933" spans="1:35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1"/>
      <c r="V933" s="1"/>
      <c r="W933" s="1"/>
      <c r="X933" s="1"/>
      <c r="AB933" s="9"/>
      <c r="AC933" s="9"/>
      <c r="AD933" s="9"/>
      <c r="AF933" s="10"/>
      <c r="AG933" s="10"/>
      <c r="AH933" s="10"/>
      <c r="AI933" s="10"/>
    </row>
    <row r="934" spans="1:35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1"/>
      <c r="V934" s="1"/>
      <c r="W934" s="1"/>
      <c r="X934" s="1"/>
      <c r="AB934" s="9"/>
      <c r="AC934" s="9"/>
      <c r="AD934" s="9"/>
      <c r="AF934" s="10"/>
      <c r="AG934" s="10"/>
      <c r="AH934" s="10"/>
      <c r="AI934" s="10"/>
    </row>
    <row r="935" spans="1:35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1"/>
      <c r="V935" s="1"/>
      <c r="W935" s="1"/>
      <c r="X935" s="1"/>
      <c r="AB935" s="9"/>
      <c r="AC935" s="9"/>
      <c r="AD935" s="9"/>
      <c r="AF935" s="10"/>
      <c r="AG935" s="10"/>
      <c r="AH935" s="10"/>
      <c r="AI935" s="10"/>
    </row>
    <row r="936" spans="1:35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1"/>
      <c r="V936" s="1"/>
      <c r="W936" s="1"/>
      <c r="X936" s="1"/>
      <c r="AB936" s="9"/>
      <c r="AC936" s="9"/>
      <c r="AD936" s="9"/>
      <c r="AF936" s="10"/>
      <c r="AG936" s="10"/>
      <c r="AH936" s="10"/>
      <c r="AI936" s="10"/>
    </row>
    <row r="937" spans="1:35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1"/>
      <c r="V937" s="1"/>
      <c r="W937" s="1"/>
      <c r="X937" s="1"/>
      <c r="AB937" s="9"/>
      <c r="AC937" s="9"/>
      <c r="AD937" s="9"/>
      <c r="AF937" s="10"/>
      <c r="AG937" s="10"/>
      <c r="AH937" s="10"/>
      <c r="AI937" s="10"/>
    </row>
    <row r="938" spans="1:35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1"/>
      <c r="V938" s="1"/>
      <c r="W938" s="1"/>
      <c r="X938" s="1"/>
      <c r="AB938" s="9"/>
      <c r="AC938" s="9"/>
      <c r="AD938" s="9"/>
      <c r="AF938" s="10"/>
      <c r="AG938" s="10"/>
      <c r="AH938" s="10"/>
      <c r="AI938" s="10"/>
    </row>
    <row r="939" spans="1:35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1"/>
      <c r="V939" s="1"/>
      <c r="W939" s="1"/>
      <c r="X939" s="1"/>
      <c r="AB939" s="9"/>
      <c r="AC939" s="9"/>
      <c r="AD939" s="9"/>
      <c r="AF939" s="10"/>
      <c r="AG939" s="10"/>
      <c r="AH939" s="10"/>
      <c r="AI939" s="10"/>
    </row>
    <row r="940" spans="1:35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1"/>
      <c r="V940" s="1"/>
      <c r="W940" s="1"/>
      <c r="X940" s="1"/>
      <c r="AB940" s="9"/>
      <c r="AC940" s="9"/>
      <c r="AD940" s="9"/>
      <c r="AF940" s="10"/>
      <c r="AG940" s="10"/>
      <c r="AH940" s="10"/>
      <c r="AI940" s="10"/>
    </row>
    <row r="941" spans="1:35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1"/>
      <c r="V941" s="1"/>
      <c r="W941" s="1"/>
      <c r="X941" s="1"/>
      <c r="AB941" s="9"/>
      <c r="AC941" s="9"/>
      <c r="AD941" s="9"/>
      <c r="AF941" s="10"/>
      <c r="AG941" s="10"/>
      <c r="AH941" s="10"/>
      <c r="AI941" s="10"/>
    </row>
    <row r="942" spans="1:35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1"/>
      <c r="V942" s="1"/>
      <c r="W942" s="1"/>
      <c r="X942" s="1"/>
      <c r="AB942" s="9"/>
      <c r="AC942" s="9"/>
      <c r="AD942" s="9"/>
      <c r="AF942" s="10"/>
      <c r="AG942" s="10"/>
      <c r="AH942" s="10"/>
      <c r="AI942" s="10"/>
    </row>
    <row r="943" spans="1:35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1"/>
      <c r="V943" s="1"/>
      <c r="W943" s="1"/>
      <c r="X943" s="1"/>
      <c r="AB943" s="9"/>
      <c r="AC943" s="9"/>
      <c r="AD943" s="9"/>
      <c r="AF943" s="10"/>
      <c r="AG943" s="10"/>
      <c r="AH943" s="10"/>
      <c r="AI943" s="10"/>
    </row>
    <row r="944" spans="1:35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1"/>
      <c r="V944" s="1"/>
      <c r="W944" s="1"/>
      <c r="X944" s="1"/>
      <c r="AB944" s="9"/>
      <c r="AC944" s="9"/>
      <c r="AD944" s="9"/>
      <c r="AF944" s="10"/>
      <c r="AG944" s="10"/>
      <c r="AH944" s="10"/>
      <c r="AI944" s="10"/>
    </row>
    <row r="945" spans="1:35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1"/>
      <c r="V945" s="1"/>
      <c r="W945" s="1"/>
      <c r="X945" s="1"/>
      <c r="AB945" s="9"/>
      <c r="AC945" s="9"/>
      <c r="AD945" s="9"/>
      <c r="AF945" s="10"/>
      <c r="AG945" s="10"/>
      <c r="AH945" s="10"/>
      <c r="AI945" s="10"/>
    </row>
    <row r="946" spans="1:35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1"/>
      <c r="V946" s="1"/>
      <c r="W946" s="1"/>
      <c r="X946" s="1"/>
      <c r="AB946" s="9"/>
      <c r="AC946" s="9"/>
      <c r="AD946" s="9"/>
      <c r="AF946" s="10"/>
      <c r="AG946" s="10"/>
      <c r="AH946" s="10"/>
      <c r="AI946" s="10"/>
    </row>
    <row r="947" spans="1:35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1"/>
      <c r="V947" s="1"/>
      <c r="W947" s="1"/>
      <c r="X947" s="1"/>
      <c r="AB947" s="9"/>
      <c r="AC947" s="9"/>
      <c r="AD947" s="9"/>
      <c r="AF947" s="10"/>
      <c r="AG947" s="10"/>
      <c r="AH947" s="10"/>
      <c r="AI947" s="10"/>
    </row>
    <row r="948" spans="1:35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1"/>
      <c r="V948" s="1"/>
      <c r="W948" s="1"/>
      <c r="X948" s="1"/>
      <c r="AB948" s="9"/>
      <c r="AC948" s="9"/>
      <c r="AD948" s="9"/>
      <c r="AF948" s="10"/>
      <c r="AG948" s="10"/>
      <c r="AH948" s="10"/>
      <c r="AI948" s="10"/>
    </row>
    <row r="949" spans="1:35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1"/>
      <c r="V949" s="1"/>
      <c r="W949" s="1"/>
      <c r="X949" s="1"/>
      <c r="AB949" s="9"/>
      <c r="AC949" s="9"/>
      <c r="AD949" s="9"/>
      <c r="AF949" s="10"/>
      <c r="AG949" s="10"/>
      <c r="AH949" s="10"/>
      <c r="AI949" s="10"/>
    </row>
    <row r="950" spans="1:35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1"/>
      <c r="V950" s="1"/>
      <c r="W950" s="1"/>
      <c r="X950" s="1"/>
      <c r="AB950" s="9"/>
      <c r="AC950" s="9"/>
      <c r="AD950" s="9"/>
      <c r="AF950" s="10"/>
      <c r="AG950" s="10"/>
      <c r="AH950" s="10"/>
      <c r="AI950" s="10"/>
    </row>
    <row r="951" spans="1:35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1"/>
      <c r="V951" s="1"/>
      <c r="W951" s="1"/>
      <c r="X951" s="1"/>
      <c r="AB951" s="9"/>
      <c r="AC951" s="9"/>
      <c r="AD951" s="9"/>
      <c r="AF951" s="10"/>
      <c r="AG951" s="10"/>
      <c r="AH951" s="10"/>
      <c r="AI951" s="10"/>
    </row>
    <row r="952" spans="1:35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1"/>
      <c r="V952" s="1"/>
      <c r="W952" s="1"/>
      <c r="X952" s="1"/>
      <c r="AB952" s="9"/>
      <c r="AC952" s="9"/>
      <c r="AD952" s="9"/>
      <c r="AF952" s="10"/>
      <c r="AG952" s="10"/>
      <c r="AH952" s="10"/>
      <c r="AI952" s="10"/>
    </row>
    <row r="953" spans="1:35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1"/>
      <c r="V953" s="1"/>
      <c r="W953" s="1"/>
      <c r="X953" s="1"/>
      <c r="AB953" s="9"/>
      <c r="AC953" s="9"/>
      <c r="AD953" s="9"/>
      <c r="AF953" s="10"/>
      <c r="AG953" s="10"/>
      <c r="AH953" s="10"/>
      <c r="AI953" s="10"/>
    </row>
    <row r="954" spans="1:35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1"/>
      <c r="V954" s="1"/>
      <c r="W954" s="1"/>
      <c r="X954" s="1"/>
      <c r="AB954" s="9"/>
      <c r="AC954" s="9"/>
      <c r="AD954" s="9"/>
      <c r="AF954" s="10"/>
      <c r="AG954" s="10"/>
      <c r="AH954" s="10"/>
      <c r="AI954" s="10"/>
    </row>
    <row r="955" spans="1:35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1"/>
      <c r="V955" s="1"/>
      <c r="W955" s="1"/>
      <c r="X955" s="1"/>
      <c r="AB955" s="9"/>
      <c r="AC955" s="9"/>
      <c r="AD955" s="9"/>
      <c r="AF955" s="10"/>
      <c r="AG955" s="10"/>
      <c r="AH955" s="10"/>
      <c r="AI955" s="10"/>
    </row>
    <row r="956" spans="1:35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1"/>
      <c r="V956" s="1"/>
      <c r="W956" s="1"/>
      <c r="X956" s="1"/>
      <c r="AB956" s="9"/>
      <c r="AC956" s="9"/>
      <c r="AD956" s="9"/>
      <c r="AF956" s="10"/>
      <c r="AG956" s="10"/>
      <c r="AH956" s="10"/>
      <c r="AI956" s="10"/>
    </row>
    <row r="957" spans="1:35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1"/>
      <c r="V957" s="1"/>
      <c r="W957" s="1"/>
      <c r="X957" s="1"/>
      <c r="AB957" s="9"/>
      <c r="AC957" s="9"/>
      <c r="AD957" s="9"/>
      <c r="AF957" s="10"/>
      <c r="AG957" s="10"/>
      <c r="AH957" s="10"/>
      <c r="AI957" s="10"/>
    </row>
    <row r="958" spans="1:35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1"/>
      <c r="V958" s="1"/>
      <c r="W958" s="1"/>
      <c r="X958" s="1"/>
      <c r="AB958" s="9"/>
      <c r="AC958" s="9"/>
      <c r="AD958" s="9"/>
      <c r="AF958" s="10"/>
      <c r="AG958" s="10"/>
      <c r="AH958" s="10"/>
      <c r="AI958" s="10"/>
    </row>
    <row r="959" spans="1:35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1"/>
      <c r="V959" s="1"/>
      <c r="W959" s="1"/>
      <c r="X959" s="1"/>
      <c r="AB959" s="9"/>
      <c r="AC959" s="9"/>
      <c r="AD959" s="9"/>
      <c r="AF959" s="10"/>
      <c r="AG959" s="10"/>
      <c r="AH959" s="10"/>
      <c r="AI959" s="10"/>
    </row>
    <row r="960" spans="1:35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1"/>
      <c r="V960" s="1"/>
      <c r="W960" s="1"/>
      <c r="X960" s="1"/>
      <c r="AB960" s="9"/>
      <c r="AC960" s="9"/>
      <c r="AD960" s="9"/>
      <c r="AF960" s="10"/>
      <c r="AG960" s="10"/>
      <c r="AH960" s="10"/>
      <c r="AI960" s="10"/>
    </row>
    <row r="961" spans="1:35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1"/>
      <c r="V961" s="1"/>
      <c r="W961" s="1"/>
      <c r="X961" s="1"/>
      <c r="AB961" s="9"/>
      <c r="AC961" s="9"/>
      <c r="AD961" s="9"/>
      <c r="AF961" s="10"/>
      <c r="AG961" s="10"/>
      <c r="AH961" s="10"/>
      <c r="AI961" s="10"/>
    </row>
    <row r="962" spans="1:35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1"/>
      <c r="V962" s="1"/>
      <c r="W962" s="1"/>
      <c r="X962" s="1"/>
      <c r="AB962" s="9"/>
      <c r="AC962" s="9"/>
      <c r="AD962" s="9"/>
      <c r="AF962" s="10"/>
      <c r="AG962" s="10"/>
      <c r="AH962" s="10"/>
      <c r="AI962" s="10"/>
    </row>
    <row r="963" spans="1:35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1"/>
      <c r="V963" s="1"/>
      <c r="W963" s="1"/>
      <c r="X963" s="1"/>
      <c r="AB963" s="9"/>
      <c r="AC963" s="9"/>
      <c r="AD963" s="9"/>
      <c r="AF963" s="10"/>
      <c r="AG963" s="10"/>
      <c r="AH963" s="10"/>
      <c r="AI963" s="10"/>
    </row>
    <row r="964" spans="1:35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1"/>
      <c r="V964" s="1"/>
      <c r="W964" s="1"/>
      <c r="X964" s="1"/>
      <c r="AB964" s="9"/>
      <c r="AC964" s="9"/>
      <c r="AD964" s="9"/>
      <c r="AF964" s="10"/>
      <c r="AG964" s="10"/>
      <c r="AH964" s="10"/>
      <c r="AI964" s="10"/>
    </row>
    <row r="965" spans="1:35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1"/>
      <c r="V965" s="1"/>
      <c r="W965" s="1"/>
      <c r="X965" s="1"/>
      <c r="AB965" s="9"/>
      <c r="AC965" s="9"/>
      <c r="AD965" s="9"/>
      <c r="AF965" s="10"/>
      <c r="AG965" s="10"/>
      <c r="AH965" s="10"/>
      <c r="AI965" s="10"/>
    </row>
    <row r="966" spans="1:35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1"/>
      <c r="V966" s="1"/>
      <c r="W966" s="1"/>
      <c r="X966" s="1"/>
      <c r="AB966" s="9"/>
      <c r="AC966" s="9"/>
      <c r="AD966" s="9"/>
      <c r="AF966" s="10"/>
      <c r="AG966" s="10"/>
      <c r="AH966" s="10"/>
      <c r="AI966" s="10"/>
    </row>
    <row r="967" spans="1:35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1"/>
      <c r="V967" s="1"/>
      <c r="W967" s="1"/>
      <c r="X967" s="1"/>
      <c r="AB967" s="9"/>
      <c r="AC967" s="9"/>
      <c r="AD967" s="9"/>
      <c r="AF967" s="10"/>
      <c r="AG967" s="10"/>
      <c r="AH967" s="10"/>
      <c r="AI967" s="10"/>
    </row>
    <row r="968" spans="1:35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1"/>
      <c r="V968" s="1"/>
      <c r="W968" s="1"/>
      <c r="X968" s="1"/>
      <c r="AB968" s="9"/>
      <c r="AC968" s="9"/>
      <c r="AD968" s="9"/>
      <c r="AF968" s="10"/>
      <c r="AG968" s="10"/>
      <c r="AH968" s="10"/>
      <c r="AI968" s="10"/>
    </row>
    <row r="969" spans="1:35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1"/>
      <c r="V969" s="1"/>
      <c r="W969" s="1"/>
      <c r="X969" s="1"/>
      <c r="AB969" s="9"/>
      <c r="AC969" s="9"/>
      <c r="AD969" s="9"/>
      <c r="AF969" s="10"/>
      <c r="AG969" s="10"/>
      <c r="AH969" s="10"/>
      <c r="AI969" s="10"/>
    </row>
    <row r="970" spans="1:35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1"/>
      <c r="V970" s="1"/>
      <c r="W970" s="1"/>
      <c r="X970" s="1"/>
      <c r="AB970" s="9"/>
      <c r="AC970" s="9"/>
      <c r="AD970" s="9"/>
      <c r="AF970" s="10"/>
      <c r="AG970" s="10"/>
      <c r="AH970" s="10"/>
      <c r="AI970" s="10"/>
    </row>
    <row r="971" spans="1:35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1"/>
      <c r="V971" s="1"/>
      <c r="W971" s="1"/>
      <c r="X971" s="1"/>
      <c r="AB971" s="9"/>
      <c r="AC971" s="9"/>
      <c r="AD971" s="9"/>
      <c r="AF971" s="10"/>
      <c r="AG971" s="10"/>
      <c r="AH971" s="10"/>
      <c r="AI971" s="10"/>
    </row>
    <row r="972" spans="1:35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1"/>
      <c r="V972" s="1"/>
      <c r="W972" s="1"/>
      <c r="X972" s="1"/>
      <c r="AB972" s="9"/>
      <c r="AC972" s="9"/>
      <c r="AD972" s="9"/>
      <c r="AF972" s="10"/>
      <c r="AG972" s="10"/>
      <c r="AH972" s="10"/>
      <c r="AI972" s="10"/>
    </row>
    <row r="973" spans="1:35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1"/>
      <c r="V973" s="1"/>
      <c r="W973" s="1"/>
      <c r="X973" s="1"/>
      <c r="AB973" s="9"/>
      <c r="AC973" s="9"/>
      <c r="AD973" s="9"/>
      <c r="AF973" s="10"/>
      <c r="AG973" s="10"/>
      <c r="AH973" s="10"/>
      <c r="AI973" s="10"/>
    </row>
    <row r="974" spans="1:35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1"/>
      <c r="V974" s="1"/>
      <c r="W974" s="1"/>
      <c r="X974" s="1"/>
      <c r="AB974" s="9"/>
      <c r="AC974" s="9"/>
      <c r="AD974" s="9"/>
      <c r="AF974" s="10"/>
      <c r="AG974" s="10"/>
      <c r="AH974" s="10"/>
      <c r="AI974" s="10"/>
    </row>
    <row r="975" spans="1:35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1"/>
      <c r="V975" s="1"/>
      <c r="W975" s="1"/>
      <c r="X975" s="1"/>
      <c r="AB975" s="9"/>
      <c r="AC975" s="9"/>
      <c r="AD975" s="9"/>
      <c r="AF975" s="10"/>
      <c r="AG975" s="10"/>
      <c r="AH975" s="10"/>
      <c r="AI975" s="10"/>
    </row>
    <row r="976" spans="1:35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1"/>
      <c r="V976" s="1"/>
      <c r="W976" s="1"/>
      <c r="X976" s="1"/>
      <c r="AB976" s="9"/>
      <c r="AC976" s="9"/>
      <c r="AD976" s="9"/>
      <c r="AF976" s="10"/>
      <c r="AG976" s="10"/>
      <c r="AH976" s="10"/>
      <c r="AI976" s="10"/>
    </row>
    <row r="977" spans="1:35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1"/>
      <c r="V977" s="1"/>
      <c r="W977" s="1"/>
      <c r="X977" s="1"/>
      <c r="AB977" s="9"/>
      <c r="AC977" s="9"/>
      <c r="AD977" s="9"/>
      <c r="AF977" s="10"/>
      <c r="AG977" s="10"/>
      <c r="AH977" s="10"/>
      <c r="AI977" s="10"/>
    </row>
    <row r="978" spans="1:35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1"/>
      <c r="V978" s="1"/>
      <c r="W978" s="1"/>
      <c r="X978" s="1"/>
      <c r="AB978" s="9"/>
      <c r="AC978" s="9"/>
      <c r="AD978" s="9"/>
      <c r="AF978" s="10"/>
      <c r="AG978" s="10"/>
      <c r="AH978" s="10"/>
      <c r="AI978" s="10"/>
    </row>
    <row r="979" spans="1:35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1"/>
      <c r="V979" s="1"/>
      <c r="W979" s="1"/>
      <c r="X979" s="1"/>
      <c r="AB979" s="9"/>
      <c r="AC979" s="9"/>
      <c r="AD979" s="9"/>
      <c r="AF979" s="10"/>
      <c r="AG979" s="10"/>
      <c r="AH979" s="10"/>
      <c r="AI979" s="10"/>
    </row>
    <row r="980" spans="1:35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1"/>
      <c r="V980" s="1"/>
      <c r="W980" s="1"/>
      <c r="X980" s="1"/>
      <c r="AB980" s="9"/>
      <c r="AC980" s="9"/>
      <c r="AD980" s="9"/>
      <c r="AF980" s="10"/>
      <c r="AG980" s="10"/>
      <c r="AH980" s="10"/>
      <c r="AI980" s="10"/>
    </row>
    <row r="981" spans="1:35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1"/>
      <c r="V981" s="1"/>
      <c r="W981" s="1"/>
      <c r="X981" s="1"/>
      <c r="AB981" s="9"/>
      <c r="AC981" s="9"/>
      <c r="AD981" s="9"/>
      <c r="AF981" s="10"/>
      <c r="AG981" s="10"/>
      <c r="AH981" s="10"/>
      <c r="AI981" s="10"/>
    </row>
    <row r="982" spans="1:35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1"/>
      <c r="V982" s="1"/>
      <c r="W982" s="1"/>
      <c r="X982" s="1"/>
      <c r="AB982" s="9"/>
      <c r="AC982" s="9"/>
      <c r="AD982" s="9"/>
      <c r="AF982" s="10"/>
      <c r="AG982" s="10"/>
      <c r="AH982" s="10"/>
      <c r="AI982" s="10"/>
    </row>
    <row r="983" spans="1:35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1"/>
      <c r="V983" s="1"/>
      <c r="W983" s="1"/>
      <c r="X983" s="1"/>
      <c r="AB983" s="9"/>
      <c r="AC983" s="9"/>
      <c r="AD983" s="9"/>
      <c r="AF983" s="10"/>
      <c r="AG983" s="10"/>
      <c r="AH983" s="10"/>
      <c r="AI983" s="10"/>
    </row>
    <row r="984" spans="1:35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1"/>
      <c r="V984" s="1"/>
      <c r="W984" s="1"/>
      <c r="X984" s="1"/>
      <c r="AB984" s="9"/>
      <c r="AC984" s="9"/>
      <c r="AD984" s="9"/>
      <c r="AF984" s="10"/>
      <c r="AG984" s="10"/>
      <c r="AH984" s="10"/>
      <c r="AI984" s="10"/>
    </row>
    <row r="985" spans="1:35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1"/>
      <c r="V985" s="1"/>
      <c r="W985" s="1"/>
      <c r="X985" s="1"/>
      <c r="AB985" s="9"/>
      <c r="AC985" s="9"/>
      <c r="AD985" s="9"/>
      <c r="AF985" s="10"/>
      <c r="AG985" s="10"/>
      <c r="AH985" s="10"/>
      <c r="AI985" s="10"/>
    </row>
    <row r="986" spans="1:35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1"/>
      <c r="V986" s="1"/>
      <c r="W986" s="1"/>
      <c r="X986" s="1"/>
      <c r="AB986" s="9"/>
      <c r="AC986" s="9"/>
      <c r="AD986" s="9"/>
      <c r="AF986" s="10"/>
      <c r="AG986" s="10"/>
      <c r="AH986" s="10"/>
      <c r="AI986" s="10"/>
    </row>
    <row r="987" spans="1:35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1"/>
      <c r="V987" s="1"/>
      <c r="W987" s="1"/>
      <c r="X987" s="1"/>
      <c r="AB987" s="9"/>
      <c r="AC987" s="9"/>
      <c r="AD987" s="9"/>
      <c r="AF987" s="10"/>
      <c r="AG987" s="10"/>
      <c r="AH987" s="10"/>
      <c r="AI987" s="10"/>
    </row>
    <row r="988" spans="1:35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1"/>
      <c r="V988" s="1"/>
      <c r="W988" s="1"/>
      <c r="X988" s="1"/>
      <c r="AB988" s="9"/>
      <c r="AC988" s="9"/>
      <c r="AD988" s="9"/>
      <c r="AF988" s="10"/>
      <c r="AG988" s="10"/>
      <c r="AH988" s="10"/>
      <c r="AI988" s="10"/>
    </row>
    <row r="989" spans="1:35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1"/>
      <c r="V989" s="1"/>
      <c r="W989" s="1"/>
      <c r="X989" s="1"/>
      <c r="AB989" s="9"/>
      <c r="AC989" s="9"/>
      <c r="AD989" s="9"/>
      <c r="AF989" s="10"/>
      <c r="AG989" s="10"/>
      <c r="AH989" s="10"/>
      <c r="AI989" s="10"/>
    </row>
    <row r="990" spans="1:35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1"/>
      <c r="V990" s="1"/>
      <c r="W990" s="1"/>
      <c r="X990" s="1"/>
      <c r="AB990" s="9"/>
      <c r="AC990" s="9"/>
      <c r="AD990" s="9"/>
      <c r="AF990" s="10"/>
      <c r="AG990" s="10"/>
      <c r="AH990" s="10"/>
      <c r="AI990" s="10"/>
    </row>
    <row r="991" spans="1:35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1"/>
      <c r="V991" s="1"/>
      <c r="W991" s="1"/>
      <c r="X991" s="1"/>
      <c r="AB991" s="9"/>
      <c r="AC991" s="9"/>
      <c r="AD991" s="9"/>
      <c r="AF991" s="10"/>
      <c r="AG991" s="10"/>
      <c r="AH991" s="10"/>
      <c r="AI991" s="10"/>
    </row>
    <row r="992" spans="1:35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1"/>
      <c r="V992" s="1"/>
      <c r="W992" s="1"/>
      <c r="X992" s="1"/>
      <c r="AB992" s="9"/>
      <c r="AC992" s="9"/>
      <c r="AD992" s="9"/>
      <c r="AF992" s="10"/>
      <c r="AG992" s="10"/>
      <c r="AH992" s="10"/>
      <c r="AI992" s="10"/>
    </row>
    <row r="993" spans="1:35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1"/>
      <c r="V993" s="1"/>
      <c r="W993" s="1"/>
      <c r="X993" s="1"/>
      <c r="AB993" s="9"/>
      <c r="AC993" s="9"/>
      <c r="AD993" s="9"/>
      <c r="AF993" s="10"/>
      <c r="AG993" s="10"/>
      <c r="AH993" s="10"/>
      <c r="AI993" s="10"/>
    </row>
    <row r="994" spans="1:35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1"/>
      <c r="V994" s="1"/>
      <c r="W994" s="1"/>
      <c r="X994" s="1"/>
      <c r="AB994" s="9"/>
      <c r="AC994" s="9"/>
      <c r="AD994" s="9"/>
      <c r="AF994" s="10"/>
      <c r="AG994" s="10"/>
      <c r="AH994" s="10"/>
      <c r="AI994" s="10"/>
    </row>
    <row r="995" spans="1:35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1"/>
      <c r="V995" s="1"/>
      <c r="W995" s="1"/>
      <c r="X995" s="1"/>
      <c r="AB995" s="9"/>
      <c r="AC995" s="9"/>
      <c r="AD995" s="9"/>
      <c r="AF995" s="10"/>
      <c r="AG995" s="10"/>
      <c r="AH995" s="10"/>
      <c r="AI995" s="10"/>
    </row>
    <row r="996" spans="1:35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1"/>
      <c r="V996" s="1"/>
      <c r="W996" s="1"/>
      <c r="X996" s="1"/>
      <c r="AB996" s="9"/>
      <c r="AC996" s="9"/>
      <c r="AD996" s="9"/>
      <c r="AF996" s="10"/>
      <c r="AG996" s="10"/>
      <c r="AH996" s="10"/>
      <c r="AI996" s="10"/>
    </row>
    <row r="997" spans="1:35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1"/>
      <c r="V997" s="1"/>
      <c r="W997" s="1"/>
      <c r="X997" s="1"/>
      <c r="AB997" s="9"/>
      <c r="AC997" s="9"/>
      <c r="AD997" s="9"/>
      <c r="AF997" s="10"/>
      <c r="AG997" s="10"/>
      <c r="AH997" s="10"/>
      <c r="AI997" s="10"/>
    </row>
    <row r="998" spans="1:35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1"/>
      <c r="V998" s="1"/>
      <c r="W998" s="1"/>
      <c r="X998" s="1"/>
      <c r="AB998" s="9"/>
      <c r="AC998" s="9"/>
      <c r="AD998" s="9"/>
      <c r="AF998" s="10"/>
      <c r="AG998" s="10"/>
      <c r="AH998" s="10"/>
      <c r="AI998" s="10"/>
    </row>
    <row r="999" spans="1:35" ht="15" hidden="1" customHeight="1">
      <c r="A999" s="1"/>
      <c r="AB999" s="9"/>
      <c r="AC999" s="9"/>
      <c r="AD999" s="9"/>
      <c r="AF999" s="10"/>
      <c r="AG999" s="10"/>
      <c r="AH999" s="10"/>
      <c r="AI999" s="10"/>
    </row>
    <row r="1000" spans="1:35" ht="15" hidden="1" customHeight="1">
      <c r="A1000" s="1"/>
      <c r="AB1000" s="9"/>
      <c r="AC1000" s="9"/>
      <c r="AD1000" s="9"/>
      <c r="AF1000" s="10"/>
      <c r="AG1000" s="10"/>
      <c r="AH1000" s="10"/>
      <c r="AI1000" s="10"/>
    </row>
    <row r="1001" spans="1:35" ht="15" hidden="1" customHeight="1">
      <c r="A1001" s="1"/>
      <c r="AB1001" s="9"/>
      <c r="AC1001" s="9"/>
      <c r="AD1001" s="9"/>
      <c r="AF1001" s="10"/>
      <c r="AG1001" s="10"/>
      <c r="AH1001" s="10"/>
      <c r="AI1001" s="10"/>
    </row>
    <row r="1002" spans="1:35" ht="15" hidden="1" customHeight="1">
      <c r="A1002" s="1"/>
      <c r="AB1002" s="9"/>
      <c r="AC1002" s="9"/>
      <c r="AD1002" s="9"/>
      <c r="AF1002" s="10"/>
      <c r="AG1002" s="10"/>
      <c r="AH1002" s="10"/>
      <c r="AI1002" s="10"/>
    </row>
    <row r="1003" spans="1:35" ht="15" hidden="1" customHeight="1">
      <c r="A1003" s="1"/>
      <c r="AB1003" s="9"/>
      <c r="AC1003" s="9"/>
      <c r="AD1003" s="9"/>
      <c r="AF1003" s="10"/>
      <c r="AG1003" s="10"/>
      <c r="AH1003" s="10"/>
      <c r="AI1003" s="10"/>
    </row>
    <row r="1004" spans="1:35" ht="15" hidden="1" customHeight="1">
      <c r="A1004" s="1"/>
      <c r="AB1004" s="9"/>
      <c r="AC1004" s="9"/>
      <c r="AD1004" s="9"/>
      <c r="AF1004" s="10"/>
      <c r="AG1004" s="10"/>
      <c r="AH1004" s="10"/>
      <c r="AI1004" s="10"/>
    </row>
    <row r="1005" spans="1:35" ht="15" hidden="1" customHeight="1">
      <c r="A1005" s="1"/>
      <c r="AB1005" s="9"/>
      <c r="AC1005" s="9"/>
      <c r="AD1005" s="9"/>
      <c r="AF1005" s="10"/>
      <c r="AG1005" s="10"/>
      <c r="AH1005" s="10"/>
      <c r="AI1005" s="10"/>
    </row>
    <row r="1006" spans="1:35" ht="15" hidden="1" customHeight="1">
      <c r="A1006" s="1"/>
      <c r="AB1006" s="9"/>
      <c r="AC1006" s="9"/>
      <c r="AD1006" s="9"/>
      <c r="AF1006" s="10"/>
      <c r="AG1006" s="10"/>
      <c r="AH1006" s="10"/>
      <c r="AI1006" s="10"/>
    </row>
    <row r="1007" spans="1:35" ht="15" hidden="1" customHeight="1">
      <c r="A1007" s="1"/>
      <c r="AB1007" s="9"/>
      <c r="AC1007" s="9"/>
      <c r="AD1007" s="9"/>
      <c r="AF1007" s="10"/>
      <c r="AG1007" s="10"/>
      <c r="AH1007" s="10"/>
      <c r="AI1007" s="10"/>
    </row>
    <row r="1008" spans="1:35" ht="15" hidden="1" customHeight="1">
      <c r="A1008" s="1"/>
      <c r="AB1008" s="9"/>
      <c r="AC1008" s="9"/>
      <c r="AD1008" s="9"/>
      <c r="AF1008" s="10"/>
      <c r="AG1008" s="10"/>
      <c r="AH1008" s="10"/>
      <c r="AI1008" s="10"/>
    </row>
    <row r="1009" spans="28:35" ht="15" hidden="1" customHeight="1">
      <c r="AB1009" s="9"/>
      <c r="AC1009" s="9"/>
      <c r="AD1009" s="9"/>
      <c r="AF1009" s="10"/>
      <c r="AG1009" s="10"/>
      <c r="AH1009" s="10"/>
      <c r="AI1009" s="10"/>
    </row>
    <row r="1010" spans="28:35" ht="15" hidden="1" customHeight="1">
      <c r="AB1010" s="9"/>
      <c r="AC1010" s="9"/>
      <c r="AD1010" s="9"/>
      <c r="AF1010" s="10"/>
      <c r="AG1010" s="10"/>
      <c r="AH1010" s="10"/>
      <c r="AI1010" s="10"/>
    </row>
    <row r="1011" spans="28:35" ht="15" hidden="1" customHeight="1">
      <c r="AB1011" s="9"/>
      <c r="AC1011" s="9"/>
      <c r="AD1011" s="9"/>
      <c r="AF1011" s="10"/>
      <c r="AG1011" s="10"/>
      <c r="AH1011" s="10"/>
      <c r="AI1011" s="10"/>
    </row>
    <row r="1012" spans="28:35" ht="15" hidden="1" customHeight="1">
      <c r="AB1012" s="9"/>
      <c r="AC1012" s="9"/>
      <c r="AD1012" s="9"/>
      <c r="AF1012" s="10"/>
      <c r="AG1012" s="10"/>
      <c r="AH1012" s="10"/>
      <c r="AI1012" s="10"/>
    </row>
    <row r="1013" spans="28:35" ht="15" hidden="1" customHeight="1">
      <c r="AB1013" s="9"/>
      <c r="AC1013" s="9"/>
      <c r="AD1013" s="9"/>
      <c r="AF1013" s="10"/>
      <c r="AG1013" s="10"/>
      <c r="AH1013" s="10"/>
      <c r="AI1013" s="10"/>
    </row>
    <row r="1014" spans="28:35" ht="15" hidden="1" customHeight="1">
      <c r="AB1014" s="9"/>
      <c r="AC1014" s="9"/>
      <c r="AD1014" s="9"/>
      <c r="AF1014" s="10"/>
      <c r="AG1014" s="10"/>
      <c r="AH1014" s="10"/>
      <c r="AI1014" s="10"/>
    </row>
    <row r="1015" spans="28:35" ht="15" hidden="1" customHeight="1">
      <c r="AB1015" s="9"/>
      <c r="AC1015" s="9"/>
      <c r="AD1015" s="9"/>
      <c r="AF1015" s="10"/>
      <c r="AG1015" s="10"/>
      <c r="AH1015" s="10"/>
      <c r="AI1015" s="10"/>
    </row>
    <row r="1016" spans="28:35" ht="15" hidden="1" customHeight="1">
      <c r="AB1016" s="9"/>
      <c r="AC1016" s="9"/>
      <c r="AD1016" s="9"/>
      <c r="AF1016" s="10"/>
      <c r="AG1016" s="10"/>
      <c r="AH1016" s="10"/>
      <c r="AI1016" s="10"/>
    </row>
    <row r="1017" spans="28:35" ht="15" hidden="1" customHeight="1">
      <c r="AB1017" s="9"/>
      <c r="AC1017" s="9"/>
      <c r="AD1017" s="9"/>
      <c r="AF1017" s="10"/>
      <c r="AG1017" s="10"/>
      <c r="AH1017" s="10"/>
      <c r="AI1017" s="10"/>
    </row>
    <row r="1018" spans="28:35" ht="15" hidden="1" customHeight="1">
      <c r="AB1018" s="9"/>
      <c r="AC1018" s="9"/>
      <c r="AD1018" s="9"/>
      <c r="AF1018" s="10"/>
      <c r="AG1018" s="10"/>
      <c r="AH1018" s="10"/>
      <c r="AI1018" s="10"/>
    </row>
    <row r="1019" spans="28:35" ht="15" hidden="1" customHeight="1">
      <c r="AB1019" s="9"/>
      <c r="AC1019" s="9"/>
      <c r="AD1019" s="9"/>
      <c r="AF1019" s="10"/>
      <c r="AG1019" s="10"/>
      <c r="AH1019" s="10"/>
      <c r="AI1019" s="10"/>
    </row>
    <row r="1020" spans="28:35" ht="15" hidden="1" customHeight="1">
      <c r="AB1020" s="9"/>
      <c r="AC1020" s="9"/>
      <c r="AD1020" s="9"/>
      <c r="AF1020" s="10"/>
      <c r="AG1020" s="10"/>
      <c r="AH1020" s="10"/>
      <c r="AI1020" s="10"/>
    </row>
    <row r="1021" spans="28:35" ht="15" hidden="1" customHeight="1">
      <c r="AB1021" s="9"/>
      <c r="AC1021" s="9"/>
      <c r="AD1021" s="9"/>
      <c r="AF1021" s="10"/>
      <c r="AG1021" s="10"/>
      <c r="AH1021" s="10"/>
      <c r="AI1021" s="10"/>
    </row>
    <row r="1022" spans="28:35" ht="15" hidden="1" customHeight="1">
      <c r="AB1022" s="9"/>
      <c r="AC1022" s="9"/>
      <c r="AD1022" s="9"/>
      <c r="AF1022" s="10"/>
      <c r="AG1022" s="10"/>
      <c r="AH1022" s="10"/>
      <c r="AI1022" s="10"/>
    </row>
    <row r="1023" spans="28:35" ht="15" hidden="1" customHeight="1">
      <c r="AB1023" s="9"/>
      <c r="AC1023" s="9"/>
      <c r="AD1023" s="9"/>
      <c r="AF1023" s="10"/>
      <c r="AG1023" s="10"/>
      <c r="AH1023" s="10"/>
      <c r="AI1023" s="10"/>
    </row>
    <row r="1024" spans="28:35" ht="15" hidden="1" customHeight="1">
      <c r="AB1024" s="9"/>
      <c r="AC1024" s="9"/>
      <c r="AD1024" s="9"/>
      <c r="AF1024" s="10"/>
      <c r="AG1024" s="10"/>
      <c r="AH1024" s="10"/>
      <c r="AI1024" s="10"/>
    </row>
    <row r="1025" spans="28:35" ht="15" hidden="1" customHeight="1">
      <c r="AB1025" s="9"/>
      <c r="AC1025" s="9"/>
      <c r="AD1025" s="9"/>
      <c r="AF1025" s="10"/>
      <c r="AG1025" s="10"/>
      <c r="AH1025" s="10"/>
      <c r="AI1025" s="10"/>
    </row>
    <row r="1026" spans="28:35" ht="15" hidden="1" customHeight="1">
      <c r="AB1026" s="9"/>
      <c r="AC1026" s="9"/>
      <c r="AD1026" s="9"/>
      <c r="AF1026" s="10"/>
      <c r="AG1026" s="10"/>
      <c r="AH1026" s="10"/>
      <c r="AI1026" s="10"/>
    </row>
    <row r="1027" spans="28:35" ht="15" hidden="1" customHeight="1">
      <c r="AB1027" s="9"/>
      <c r="AC1027" s="9"/>
      <c r="AD1027" s="9"/>
      <c r="AF1027" s="10"/>
      <c r="AG1027" s="10"/>
      <c r="AH1027" s="10"/>
      <c r="AI1027" s="10"/>
    </row>
    <row r="1028" spans="28:35" ht="15" hidden="1" customHeight="1">
      <c r="AB1028" s="9"/>
      <c r="AC1028" s="9"/>
      <c r="AD1028" s="9"/>
      <c r="AF1028" s="10"/>
      <c r="AG1028" s="10"/>
      <c r="AH1028" s="10"/>
      <c r="AI1028" s="10"/>
    </row>
    <row r="1029" spans="28:35" ht="15" hidden="1" customHeight="1">
      <c r="AB1029" s="9"/>
      <c r="AC1029" s="9"/>
      <c r="AD1029" s="9"/>
      <c r="AF1029" s="10"/>
      <c r="AG1029" s="10"/>
      <c r="AH1029" s="10"/>
      <c r="AI1029" s="10"/>
    </row>
    <row r="1030" spans="28:35" ht="15" hidden="1" customHeight="1">
      <c r="AB1030" s="9"/>
      <c r="AC1030" s="9"/>
      <c r="AD1030" s="9"/>
      <c r="AF1030" s="10"/>
      <c r="AG1030" s="10"/>
      <c r="AH1030" s="10"/>
      <c r="AI1030" s="10"/>
    </row>
    <row r="1031" spans="28:35" ht="15" hidden="1" customHeight="1">
      <c r="AB1031" s="9"/>
      <c r="AC1031" s="9"/>
      <c r="AD1031" s="9"/>
      <c r="AF1031" s="10"/>
      <c r="AG1031" s="10"/>
      <c r="AH1031" s="10"/>
      <c r="AI1031" s="10"/>
    </row>
    <row r="1032" spans="28:35" ht="15" hidden="1" customHeight="1">
      <c r="AB1032" s="9"/>
      <c r="AC1032" s="9"/>
      <c r="AD1032" s="9"/>
      <c r="AF1032" s="10"/>
      <c r="AG1032" s="10"/>
      <c r="AH1032" s="10"/>
      <c r="AI1032" s="10"/>
    </row>
    <row r="1033" spans="28:35" ht="15" hidden="1" customHeight="1">
      <c r="AB1033" s="9"/>
      <c r="AC1033" s="9"/>
      <c r="AD1033" s="9"/>
      <c r="AF1033" s="10"/>
      <c r="AG1033" s="10"/>
      <c r="AH1033" s="10"/>
      <c r="AI1033" s="10"/>
    </row>
    <row r="1034" spans="28:35" ht="15" hidden="1" customHeight="1">
      <c r="AB1034" s="9"/>
      <c r="AC1034" s="9"/>
      <c r="AD1034" s="9"/>
      <c r="AF1034" s="10"/>
      <c r="AG1034" s="10"/>
      <c r="AH1034" s="10"/>
      <c r="AI1034" s="10"/>
    </row>
    <row r="1035" spans="28:35" ht="15" hidden="1" customHeight="1">
      <c r="AB1035" s="9"/>
      <c r="AC1035" s="9"/>
      <c r="AD1035" s="9"/>
      <c r="AF1035" s="10"/>
      <c r="AG1035" s="10"/>
      <c r="AH1035" s="10"/>
      <c r="AI1035" s="10"/>
    </row>
    <row r="1036" spans="28:35" ht="15" hidden="1" customHeight="1">
      <c r="AB1036" s="9"/>
      <c r="AC1036" s="9"/>
      <c r="AD1036" s="9"/>
      <c r="AF1036" s="10"/>
      <c r="AG1036" s="10"/>
      <c r="AH1036" s="10"/>
      <c r="AI1036" s="10"/>
    </row>
    <row r="1037" spans="28:35" ht="15" hidden="1" customHeight="1">
      <c r="AB1037" s="9"/>
      <c r="AC1037" s="9"/>
      <c r="AD1037" s="9"/>
      <c r="AF1037" s="10"/>
      <c r="AG1037" s="10"/>
      <c r="AH1037" s="10"/>
      <c r="AI1037" s="10"/>
    </row>
    <row r="1038" spans="28:35" ht="15" hidden="1" customHeight="1">
      <c r="AB1038" s="9"/>
      <c r="AC1038" s="9"/>
      <c r="AD1038" s="9"/>
      <c r="AF1038" s="10"/>
      <c r="AG1038" s="10"/>
      <c r="AH1038" s="10"/>
      <c r="AI1038" s="10"/>
    </row>
    <row r="1039" spans="28:35" ht="15" hidden="1" customHeight="1">
      <c r="AB1039" s="9"/>
      <c r="AC1039" s="9"/>
      <c r="AD1039" s="9"/>
      <c r="AF1039" s="10"/>
      <c r="AG1039" s="10"/>
      <c r="AH1039" s="10"/>
      <c r="AI1039" s="10"/>
    </row>
    <row r="1040" spans="28:35" ht="15" hidden="1" customHeight="1">
      <c r="AB1040" s="9"/>
      <c r="AC1040" s="9"/>
      <c r="AD1040" s="9"/>
      <c r="AF1040" s="10"/>
      <c r="AG1040" s="10"/>
      <c r="AH1040" s="10"/>
      <c r="AI1040" s="10"/>
    </row>
    <row r="1041" spans="28:35" ht="15" hidden="1" customHeight="1">
      <c r="AB1041" s="9"/>
      <c r="AC1041" s="9"/>
      <c r="AD1041" s="9"/>
      <c r="AF1041" s="10"/>
      <c r="AG1041" s="10"/>
      <c r="AH1041" s="10"/>
      <c r="AI1041" s="10"/>
    </row>
    <row r="1042" spans="28:35" ht="15" hidden="1" customHeight="1">
      <c r="AB1042" s="9"/>
      <c r="AC1042" s="9"/>
      <c r="AD1042" s="9"/>
      <c r="AF1042" s="10"/>
      <c r="AG1042" s="10"/>
      <c r="AH1042" s="10"/>
      <c r="AI1042" s="10"/>
    </row>
    <row r="1043" spans="28:35" ht="15" hidden="1" customHeight="1">
      <c r="AB1043" s="9"/>
      <c r="AC1043" s="9"/>
      <c r="AD1043" s="9"/>
      <c r="AF1043" s="10"/>
      <c r="AG1043" s="10"/>
      <c r="AH1043" s="10"/>
      <c r="AI1043" s="10"/>
    </row>
    <row r="1044" spans="28:35" ht="15" hidden="1" customHeight="1">
      <c r="AB1044" s="9"/>
      <c r="AC1044" s="9"/>
      <c r="AD1044" s="9"/>
      <c r="AF1044" s="10"/>
      <c r="AG1044" s="10"/>
      <c r="AH1044" s="10"/>
      <c r="AI1044" s="10"/>
    </row>
    <row r="1045" spans="28:35" ht="15" hidden="1" customHeight="1">
      <c r="AB1045" s="9"/>
      <c r="AC1045" s="9"/>
      <c r="AD1045" s="9"/>
      <c r="AF1045" s="10"/>
      <c r="AG1045" s="10"/>
      <c r="AH1045" s="10"/>
      <c r="AI1045" s="10"/>
    </row>
    <row r="1046" spans="28:35" ht="15" hidden="1" customHeight="1">
      <c r="AB1046" s="9"/>
      <c r="AC1046" s="9"/>
      <c r="AD1046" s="9"/>
      <c r="AF1046" s="10"/>
      <c r="AG1046" s="10"/>
      <c r="AH1046" s="10"/>
      <c r="AI1046" s="10"/>
    </row>
    <row r="1047" spans="28:35" ht="15" hidden="1" customHeight="1">
      <c r="AB1047" s="9"/>
      <c r="AC1047" s="9"/>
      <c r="AD1047" s="9"/>
      <c r="AF1047" s="10"/>
      <c r="AG1047" s="10"/>
      <c r="AH1047" s="10"/>
      <c r="AI1047" s="10"/>
    </row>
    <row r="1048" spans="28:35" ht="15" hidden="1" customHeight="1">
      <c r="AB1048" s="9"/>
      <c r="AC1048" s="9"/>
      <c r="AD1048" s="9"/>
      <c r="AF1048" s="10"/>
      <c r="AG1048" s="10"/>
      <c r="AH1048" s="10"/>
      <c r="AI1048" s="10"/>
    </row>
    <row r="1049" spans="28:35" ht="15" hidden="1" customHeight="1">
      <c r="AB1049" s="9"/>
      <c r="AC1049" s="9"/>
      <c r="AD1049" s="9"/>
      <c r="AF1049" s="10"/>
      <c r="AG1049" s="10"/>
      <c r="AH1049" s="10"/>
      <c r="AI1049" s="10"/>
    </row>
    <row r="1050" spans="28:35" ht="15" hidden="1" customHeight="1">
      <c r="AB1050" s="9"/>
      <c r="AC1050" s="9"/>
      <c r="AD1050" s="9"/>
      <c r="AF1050" s="10"/>
      <c r="AG1050" s="10"/>
      <c r="AH1050" s="10"/>
      <c r="AI1050" s="10"/>
    </row>
    <row r="1051" spans="28:35" ht="15" hidden="1" customHeight="1">
      <c r="AB1051" s="9"/>
      <c r="AC1051" s="9"/>
      <c r="AD1051" s="9"/>
      <c r="AF1051" s="10"/>
      <c r="AG1051" s="10"/>
      <c r="AH1051" s="10"/>
      <c r="AI1051" s="10"/>
    </row>
    <row r="1052" spans="28:35" ht="15" hidden="1" customHeight="1">
      <c r="AB1052" s="9"/>
      <c r="AC1052" s="9"/>
      <c r="AD1052" s="9"/>
      <c r="AF1052" s="10"/>
      <c r="AG1052" s="10"/>
      <c r="AH1052" s="10"/>
      <c r="AI1052" s="10"/>
    </row>
    <row r="1053" spans="28:35" ht="15" hidden="1" customHeight="1">
      <c r="AB1053" s="9"/>
      <c r="AC1053" s="9"/>
      <c r="AD1053" s="9"/>
      <c r="AF1053" s="10"/>
      <c r="AG1053" s="10"/>
      <c r="AH1053" s="10"/>
      <c r="AI1053" s="10"/>
    </row>
    <row r="1054" spans="28:35" ht="15" hidden="1" customHeight="1">
      <c r="AB1054" s="9"/>
      <c r="AC1054" s="9"/>
      <c r="AD1054" s="9"/>
      <c r="AF1054" s="10"/>
      <c r="AG1054" s="10"/>
      <c r="AH1054" s="10"/>
      <c r="AI1054" s="10"/>
    </row>
    <row r="1055" spans="28:35" ht="15" hidden="1" customHeight="1">
      <c r="AB1055" s="9"/>
      <c r="AC1055" s="9"/>
      <c r="AD1055" s="9"/>
      <c r="AF1055" s="10"/>
      <c r="AG1055" s="10"/>
      <c r="AH1055" s="10"/>
      <c r="AI1055" s="10"/>
    </row>
    <row r="1056" spans="28:35" ht="15" hidden="1" customHeight="1">
      <c r="AB1056" s="9"/>
      <c r="AC1056" s="9"/>
      <c r="AD1056" s="9"/>
      <c r="AF1056" s="10"/>
      <c r="AG1056" s="10"/>
      <c r="AH1056" s="10"/>
      <c r="AI1056" s="10"/>
    </row>
    <row r="1057" spans="28:35" ht="15" hidden="1" customHeight="1">
      <c r="AB1057" s="9"/>
      <c r="AC1057" s="9"/>
      <c r="AD1057" s="9"/>
      <c r="AF1057" s="10"/>
      <c r="AG1057" s="10"/>
      <c r="AH1057" s="10"/>
      <c r="AI1057" s="10"/>
    </row>
    <row r="1058" spans="28:35" ht="15" hidden="1" customHeight="1">
      <c r="AB1058" s="9"/>
      <c r="AC1058" s="9"/>
      <c r="AD1058" s="9"/>
      <c r="AF1058" s="10"/>
      <c r="AG1058" s="10"/>
      <c r="AH1058" s="10"/>
      <c r="AI1058" s="10"/>
    </row>
    <row r="1059" spans="28:35" ht="15" hidden="1" customHeight="1">
      <c r="AB1059" s="9"/>
      <c r="AC1059" s="9"/>
      <c r="AD1059" s="9"/>
      <c r="AF1059" s="10"/>
      <c r="AG1059" s="10"/>
      <c r="AH1059" s="10"/>
      <c r="AI1059" s="10"/>
    </row>
    <row r="1060" spans="28:35" ht="15" hidden="1" customHeight="1">
      <c r="AB1060" s="9"/>
      <c r="AC1060" s="9"/>
      <c r="AD1060" s="9"/>
      <c r="AF1060" s="10"/>
      <c r="AG1060" s="10"/>
      <c r="AH1060" s="10"/>
      <c r="AI1060" s="10"/>
    </row>
    <row r="1061" spans="28:35" ht="15" hidden="1" customHeight="1">
      <c r="AB1061" s="9"/>
      <c r="AC1061" s="9"/>
      <c r="AD1061" s="9"/>
      <c r="AF1061" s="10"/>
      <c r="AG1061" s="10"/>
      <c r="AH1061" s="10"/>
      <c r="AI1061" s="10"/>
    </row>
    <row r="1062" spans="28:35" ht="15" hidden="1" customHeight="1">
      <c r="AB1062" s="9"/>
      <c r="AC1062" s="9"/>
      <c r="AD1062" s="9"/>
      <c r="AF1062" s="10"/>
      <c r="AG1062" s="10"/>
      <c r="AH1062" s="10"/>
      <c r="AI1062" s="10"/>
    </row>
    <row r="1063" spans="28:35" ht="15" hidden="1" customHeight="1">
      <c r="AB1063" s="9"/>
      <c r="AC1063" s="9"/>
      <c r="AD1063" s="9"/>
      <c r="AF1063" s="10"/>
      <c r="AG1063" s="10"/>
      <c r="AH1063" s="10"/>
      <c r="AI1063" s="10"/>
    </row>
    <row r="1064" spans="28:35" ht="15" hidden="1" customHeight="1">
      <c r="AB1064" s="9"/>
      <c r="AC1064" s="9"/>
      <c r="AD1064" s="9"/>
      <c r="AF1064" s="10"/>
      <c r="AG1064" s="10"/>
      <c r="AH1064" s="10"/>
      <c r="AI1064" s="10"/>
    </row>
    <row r="1065" spans="28:35" ht="15" hidden="1" customHeight="1">
      <c r="AB1065" s="9"/>
      <c r="AC1065" s="9"/>
      <c r="AD1065" s="9"/>
      <c r="AF1065" s="10"/>
      <c r="AG1065" s="10"/>
      <c r="AH1065" s="10"/>
      <c r="AI1065" s="10"/>
    </row>
    <row r="1066" spans="28:35" ht="15" hidden="1" customHeight="1">
      <c r="AB1066" s="9"/>
      <c r="AC1066" s="9"/>
      <c r="AD1066" s="9"/>
      <c r="AF1066" s="10"/>
      <c r="AG1066" s="10"/>
      <c r="AH1066" s="10"/>
      <c r="AI1066" s="10"/>
    </row>
    <row r="1067" spans="28:35" ht="15" hidden="1" customHeight="1">
      <c r="AB1067" s="9"/>
      <c r="AC1067" s="9"/>
      <c r="AD1067" s="9"/>
      <c r="AF1067" s="10"/>
      <c r="AG1067" s="10"/>
      <c r="AH1067" s="10"/>
      <c r="AI1067" s="10"/>
    </row>
    <row r="1068" spans="28:35" ht="15" hidden="1" customHeight="1">
      <c r="AB1068" s="9"/>
      <c r="AC1068" s="9"/>
      <c r="AD1068" s="9"/>
      <c r="AF1068" s="10"/>
      <c r="AG1068" s="10"/>
      <c r="AH1068" s="10"/>
      <c r="AI1068" s="10"/>
    </row>
    <row r="1069" spans="28:35" ht="15" hidden="1" customHeight="1">
      <c r="AB1069" s="9"/>
      <c r="AC1069" s="9"/>
      <c r="AD1069" s="9"/>
      <c r="AF1069" s="10"/>
      <c r="AG1069" s="10"/>
      <c r="AH1069" s="10"/>
      <c r="AI1069" s="10"/>
    </row>
    <row r="1070" spans="28:35" ht="15" hidden="1" customHeight="1">
      <c r="AB1070" s="9"/>
      <c r="AC1070" s="9"/>
      <c r="AD1070" s="9"/>
      <c r="AF1070" s="10"/>
      <c r="AG1070" s="10"/>
      <c r="AH1070" s="10"/>
      <c r="AI1070" s="10"/>
    </row>
    <row r="1071" spans="28:35" ht="15" hidden="1" customHeight="1">
      <c r="AB1071" s="9"/>
      <c r="AC1071" s="9"/>
      <c r="AD1071" s="9"/>
      <c r="AF1071" s="10"/>
      <c r="AG1071" s="10"/>
      <c r="AH1071" s="10"/>
      <c r="AI1071" s="10"/>
    </row>
    <row r="1072" spans="28:35" ht="15" hidden="1" customHeight="1">
      <c r="AB1072" s="9"/>
      <c r="AC1072" s="9"/>
      <c r="AD1072" s="9"/>
      <c r="AF1072" s="10"/>
      <c r="AG1072" s="10"/>
      <c r="AH1072" s="10"/>
      <c r="AI1072" s="10"/>
    </row>
    <row r="1073" spans="28:35" ht="15" hidden="1" customHeight="1">
      <c r="AB1073" s="9"/>
      <c r="AC1073" s="9"/>
      <c r="AD1073" s="9"/>
      <c r="AF1073" s="10"/>
      <c r="AG1073" s="10"/>
      <c r="AH1073" s="10"/>
      <c r="AI1073" s="10"/>
    </row>
    <row r="1074" spans="28:35" ht="15" hidden="1" customHeight="1">
      <c r="AB1074" s="9"/>
      <c r="AC1074" s="9"/>
      <c r="AD1074" s="9"/>
      <c r="AF1074" s="10"/>
      <c r="AG1074" s="10"/>
      <c r="AH1074" s="10"/>
      <c r="AI1074" s="10"/>
    </row>
    <row r="1075" spans="28:35" ht="15" hidden="1" customHeight="1">
      <c r="AB1075" s="9"/>
      <c r="AC1075" s="9"/>
      <c r="AD1075" s="9"/>
      <c r="AF1075" s="10"/>
      <c r="AG1075" s="10"/>
      <c r="AH1075" s="10"/>
      <c r="AI1075" s="10"/>
    </row>
    <row r="1076" spans="28:35" ht="15" hidden="1" customHeight="1">
      <c r="AB1076" s="9"/>
      <c r="AC1076" s="9"/>
      <c r="AD1076" s="9"/>
      <c r="AF1076" s="10"/>
      <c r="AG1076" s="10"/>
      <c r="AH1076" s="10"/>
      <c r="AI1076" s="10"/>
    </row>
    <row r="1077" spans="28:35" ht="15" hidden="1" customHeight="1">
      <c r="AB1077" s="9"/>
      <c r="AC1077" s="9"/>
      <c r="AD1077" s="9"/>
      <c r="AF1077" s="10"/>
      <c r="AG1077" s="10"/>
      <c r="AH1077" s="10"/>
      <c r="AI1077" s="10"/>
    </row>
    <row r="1078" spans="28:35" ht="15" hidden="1" customHeight="1">
      <c r="AB1078" s="9"/>
      <c r="AC1078" s="9"/>
      <c r="AD1078" s="9"/>
      <c r="AF1078" s="10"/>
      <c r="AG1078" s="10"/>
      <c r="AH1078" s="10"/>
      <c r="AI1078" s="10"/>
    </row>
    <row r="1079" spans="28:35" ht="15" hidden="1" customHeight="1">
      <c r="AB1079" s="9"/>
      <c r="AC1079" s="9"/>
      <c r="AD1079" s="9"/>
      <c r="AF1079" s="10"/>
      <c r="AG1079" s="10"/>
      <c r="AH1079" s="10"/>
      <c r="AI1079" s="10"/>
    </row>
    <row r="1080" spans="28:35" ht="15" hidden="1" customHeight="1">
      <c r="AB1080" s="9"/>
      <c r="AC1080" s="9"/>
      <c r="AD1080" s="9"/>
      <c r="AF1080" s="10"/>
      <c r="AG1080" s="10"/>
      <c r="AH1080" s="10"/>
      <c r="AI1080" s="10"/>
    </row>
    <row r="1081" spans="28:35" ht="15" hidden="1" customHeight="1">
      <c r="AB1081" s="9"/>
      <c r="AC1081" s="9"/>
      <c r="AD1081" s="9"/>
      <c r="AF1081" s="10"/>
      <c r="AG1081" s="10"/>
      <c r="AH1081" s="10"/>
      <c r="AI1081" s="10"/>
    </row>
    <row r="1082" spans="28:35" ht="15" hidden="1" customHeight="1">
      <c r="AB1082" s="9"/>
      <c r="AC1082" s="9"/>
      <c r="AD1082" s="9"/>
      <c r="AF1082" s="10"/>
      <c r="AG1082" s="10"/>
      <c r="AH1082" s="10"/>
      <c r="AI1082" s="10"/>
    </row>
    <row r="1083" spans="28:35" ht="15" hidden="1" customHeight="1">
      <c r="AB1083" s="9"/>
      <c r="AC1083" s="9"/>
      <c r="AD1083" s="9"/>
      <c r="AF1083" s="10"/>
      <c r="AG1083" s="10"/>
      <c r="AH1083" s="10"/>
      <c r="AI1083" s="10"/>
    </row>
    <row r="1084" spans="28:35" ht="15" hidden="1" customHeight="1">
      <c r="AB1084" s="9"/>
      <c r="AC1084" s="9"/>
      <c r="AD1084" s="9"/>
      <c r="AF1084" s="10"/>
      <c r="AG1084" s="10"/>
      <c r="AH1084" s="10"/>
      <c r="AI1084" s="10"/>
    </row>
    <row r="1085" spans="28:35" ht="15" hidden="1" customHeight="1">
      <c r="AB1085" s="9"/>
      <c r="AC1085" s="9"/>
      <c r="AD1085" s="9"/>
      <c r="AF1085" s="10"/>
      <c r="AG1085" s="10"/>
      <c r="AH1085" s="10"/>
      <c r="AI1085" s="10"/>
    </row>
    <row r="1086" spans="28:35" ht="15" hidden="1" customHeight="1">
      <c r="AB1086" s="9"/>
      <c r="AC1086" s="9"/>
      <c r="AD1086" s="9"/>
      <c r="AF1086" s="10"/>
      <c r="AG1086" s="10"/>
      <c r="AH1086" s="10"/>
      <c r="AI1086" s="10"/>
    </row>
    <row r="1087" spans="28:35" ht="15" hidden="1" customHeight="1">
      <c r="AB1087" s="9"/>
      <c r="AC1087" s="9"/>
      <c r="AD1087" s="9"/>
      <c r="AF1087" s="10"/>
      <c r="AG1087" s="10"/>
      <c r="AH1087" s="10"/>
      <c r="AI1087" s="10"/>
    </row>
    <row r="1088" spans="28:35" ht="15" hidden="1" customHeight="1">
      <c r="AB1088" s="9"/>
      <c r="AC1088" s="9"/>
      <c r="AD1088" s="9"/>
      <c r="AF1088" s="10"/>
      <c r="AG1088" s="10"/>
      <c r="AH1088" s="10"/>
      <c r="AI1088" s="10"/>
    </row>
    <row r="1089" spans="28:35" ht="15" hidden="1" customHeight="1">
      <c r="AB1089" s="9"/>
      <c r="AC1089" s="9"/>
      <c r="AD1089" s="9"/>
      <c r="AF1089" s="10"/>
      <c r="AG1089" s="10"/>
      <c r="AH1089" s="10"/>
      <c r="AI1089" s="10"/>
    </row>
    <row r="1090" spans="28:35" ht="15" hidden="1" customHeight="1">
      <c r="AB1090" s="9"/>
      <c r="AC1090" s="9"/>
      <c r="AD1090" s="9"/>
      <c r="AF1090" s="10"/>
      <c r="AG1090" s="10"/>
      <c r="AH1090" s="10"/>
      <c r="AI1090" s="10"/>
    </row>
    <row r="1091" spans="28:35" ht="15" hidden="1" customHeight="1">
      <c r="AB1091" s="9"/>
      <c r="AC1091" s="9"/>
      <c r="AD1091" s="9"/>
      <c r="AF1091" s="10"/>
      <c r="AG1091" s="10"/>
      <c r="AH1091" s="10"/>
      <c r="AI1091" s="10"/>
    </row>
    <row r="1092" spans="28:35" ht="15" hidden="1" customHeight="1">
      <c r="AB1092" s="9"/>
      <c r="AC1092" s="9"/>
      <c r="AD1092" s="9"/>
      <c r="AF1092" s="10"/>
      <c r="AG1092" s="10"/>
      <c r="AH1092" s="10"/>
      <c r="AI1092" s="10"/>
    </row>
    <row r="1093" spans="28:35" ht="15" hidden="1" customHeight="1">
      <c r="AB1093" s="9"/>
      <c r="AC1093" s="9"/>
      <c r="AD1093" s="9"/>
      <c r="AF1093" s="10"/>
      <c r="AG1093" s="10"/>
      <c r="AH1093" s="10"/>
      <c r="AI1093" s="10"/>
    </row>
    <row r="1094" spans="28:35" ht="15" hidden="1" customHeight="1">
      <c r="AB1094" s="9"/>
      <c r="AC1094" s="9"/>
      <c r="AD1094" s="9"/>
      <c r="AF1094" s="10"/>
      <c r="AG1094" s="10"/>
      <c r="AH1094" s="10"/>
      <c r="AI1094" s="10"/>
    </row>
    <row r="1095" spans="28:35" ht="15" hidden="1" customHeight="1">
      <c r="AB1095" s="9"/>
      <c r="AC1095" s="9"/>
      <c r="AD1095" s="9"/>
      <c r="AF1095" s="10"/>
      <c r="AG1095" s="10"/>
      <c r="AH1095" s="10"/>
      <c r="AI1095" s="10"/>
    </row>
    <row r="1096" spans="28:35" ht="15" hidden="1" customHeight="1">
      <c r="AB1096" s="9"/>
      <c r="AC1096" s="9"/>
      <c r="AD1096" s="9"/>
      <c r="AF1096" s="10"/>
      <c r="AG1096" s="10"/>
      <c r="AH1096" s="10"/>
      <c r="AI1096" s="10"/>
    </row>
    <row r="1097" spans="28:35" ht="15" hidden="1" customHeight="1">
      <c r="AB1097" s="9"/>
      <c r="AC1097" s="9"/>
      <c r="AD1097" s="9"/>
      <c r="AF1097" s="10"/>
      <c r="AG1097" s="10"/>
      <c r="AH1097" s="10"/>
      <c r="AI1097" s="10"/>
    </row>
    <row r="1098" spans="28:35" ht="15" hidden="1" customHeight="1">
      <c r="AB1098" s="9"/>
      <c r="AC1098" s="9"/>
      <c r="AD1098" s="9"/>
      <c r="AF1098" s="10"/>
      <c r="AG1098" s="10"/>
      <c r="AH1098" s="10"/>
      <c r="AI1098" s="10"/>
    </row>
    <row r="1099" spans="28:35" ht="15" hidden="1" customHeight="1">
      <c r="AB1099" s="9"/>
      <c r="AC1099" s="9"/>
      <c r="AD1099" s="9"/>
      <c r="AF1099" s="10"/>
      <c r="AG1099" s="10"/>
      <c r="AH1099" s="10"/>
      <c r="AI1099" s="10"/>
    </row>
    <row r="1100" spans="28:35" ht="15" hidden="1" customHeight="1">
      <c r="AB1100" s="9"/>
      <c r="AC1100" s="9"/>
      <c r="AD1100" s="9"/>
      <c r="AF1100" s="10"/>
      <c r="AG1100" s="10"/>
      <c r="AH1100" s="10"/>
      <c r="AI1100" s="10"/>
    </row>
    <row r="1101" spans="28:35" ht="15" hidden="1" customHeight="1">
      <c r="AB1101" s="9"/>
      <c r="AC1101" s="9"/>
      <c r="AD1101" s="9"/>
      <c r="AF1101" s="10"/>
      <c r="AG1101" s="10"/>
      <c r="AH1101" s="10"/>
      <c r="AI1101" s="10"/>
    </row>
    <row r="1102" spans="28:35" ht="15" hidden="1" customHeight="1">
      <c r="AB1102" s="9"/>
      <c r="AC1102" s="9"/>
      <c r="AD1102" s="9"/>
      <c r="AF1102" s="10"/>
      <c r="AG1102" s="10"/>
      <c r="AH1102" s="10"/>
      <c r="AI1102" s="10"/>
    </row>
    <row r="1103" spans="28:35" ht="15" hidden="1" customHeight="1">
      <c r="AB1103" s="9"/>
      <c r="AC1103" s="9"/>
      <c r="AD1103" s="9"/>
      <c r="AF1103" s="10"/>
      <c r="AG1103" s="10"/>
      <c r="AH1103" s="10"/>
      <c r="AI1103" s="10"/>
    </row>
    <row r="1104" spans="28:35" ht="15" hidden="1" customHeight="1">
      <c r="AB1104" s="9"/>
      <c r="AC1104" s="9"/>
      <c r="AD1104" s="9"/>
      <c r="AF1104" s="10"/>
      <c r="AG1104" s="10"/>
      <c r="AH1104" s="10"/>
      <c r="AI1104" s="10"/>
    </row>
    <row r="1105" spans="28:35" ht="15" hidden="1" customHeight="1">
      <c r="AB1105" s="9"/>
      <c r="AC1105" s="9"/>
      <c r="AD1105" s="9"/>
      <c r="AF1105" s="10"/>
      <c r="AG1105" s="10"/>
      <c r="AH1105" s="10"/>
      <c r="AI1105" s="10"/>
    </row>
    <row r="1106" spans="28:35" ht="15" hidden="1" customHeight="1">
      <c r="AB1106" s="9"/>
      <c r="AC1106" s="9"/>
      <c r="AD1106" s="9"/>
      <c r="AF1106" s="10"/>
      <c r="AG1106" s="10"/>
      <c r="AH1106" s="10"/>
      <c r="AI1106" s="10"/>
    </row>
    <row r="1107" spans="28:35" ht="15" hidden="1" customHeight="1">
      <c r="AB1107" s="9"/>
      <c r="AC1107" s="9"/>
      <c r="AD1107" s="9"/>
      <c r="AF1107" s="10"/>
      <c r="AG1107" s="10"/>
      <c r="AH1107" s="10"/>
      <c r="AI1107" s="10"/>
    </row>
    <row r="1108" spans="28:35" ht="15" hidden="1" customHeight="1">
      <c r="AB1108" s="9"/>
      <c r="AC1108" s="9"/>
      <c r="AD1108" s="9"/>
      <c r="AF1108" s="10"/>
      <c r="AG1108" s="10"/>
      <c r="AH1108" s="10"/>
      <c r="AI1108" s="10"/>
    </row>
    <row r="1109" spans="28:35" ht="15" hidden="1" customHeight="1">
      <c r="AB1109" s="9"/>
      <c r="AC1109" s="9"/>
      <c r="AD1109" s="9"/>
      <c r="AF1109" s="10"/>
      <c r="AG1109" s="10"/>
      <c r="AH1109" s="10"/>
      <c r="AI1109" s="10"/>
    </row>
    <row r="1110" spans="28:35" ht="15" hidden="1" customHeight="1">
      <c r="AB1110" s="9"/>
      <c r="AC1110" s="9"/>
      <c r="AD1110" s="9"/>
      <c r="AF1110" s="10"/>
      <c r="AG1110" s="10"/>
      <c r="AH1110" s="10"/>
      <c r="AI1110" s="10"/>
    </row>
    <row r="1111" spans="28:35" ht="15" hidden="1" customHeight="1">
      <c r="AB1111" s="9"/>
      <c r="AC1111" s="9"/>
      <c r="AD1111" s="9"/>
      <c r="AF1111" s="10"/>
      <c r="AG1111" s="10"/>
      <c r="AH1111" s="10"/>
      <c r="AI1111" s="10"/>
    </row>
    <row r="1112" spans="28:35" ht="15" hidden="1" customHeight="1">
      <c r="AB1112" s="9"/>
      <c r="AC1112" s="9"/>
      <c r="AD1112" s="9"/>
      <c r="AF1112" s="10"/>
      <c r="AG1112" s="10"/>
      <c r="AH1112" s="10"/>
      <c r="AI1112" s="10"/>
    </row>
    <row r="1113" spans="28:35" ht="15" hidden="1" customHeight="1">
      <c r="AB1113" s="9"/>
      <c r="AC1113" s="9"/>
      <c r="AD1113" s="9"/>
      <c r="AF1113" s="10"/>
      <c r="AG1113" s="10"/>
      <c r="AH1113" s="10"/>
      <c r="AI1113" s="10"/>
    </row>
    <row r="1114" spans="28:35" ht="15" hidden="1" customHeight="1">
      <c r="AB1114" s="9"/>
      <c r="AC1114" s="9"/>
      <c r="AD1114" s="9"/>
      <c r="AF1114" s="10"/>
      <c r="AG1114" s="10"/>
      <c r="AH1114" s="10"/>
      <c r="AI1114" s="10"/>
    </row>
    <row r="1115" spans="28:35" ht="15" hidden="1" customHeight="1">
      <c r="AB1115" s="9"/>
      <c r="AC1115" s="9"/>
      <c r="AD1115" s="9"/>
      <c r="AF1115" s="10"/>
      <c r="AG1115" s="10"/>
      <c r="AH1115" s="10"/>
      <c r="AI1115" s="10"/>
    </row>
    <row r="1116" spans="28:35" ht="15" hidden="1" customHeight="1">
      <c r="AB1116" s="9"/>
      <c r="AC1116" s="9"/>
      <c r="AD1116" s="9"/>
      <c r="AF1116" s="10"/>
      <c r="AG1116" s="10"/>
      <c r="AH1116" s="10"/>
      <c r="AI1116" s="10"/>
    </row>
    <row r="1117" spans="28:35" ht="15" hidden="1" customHeight="1">
      <c r="AB1117" s="9"/>
      <c r="AC1117" s="9"/>
      <c r="AD1117" s="9"/>
      <c r="AF1117" s="10"/>
      <c r="AG1117" s="10"/>
      <c r="AH1117" s="10"/>
      <c r="AI1117" s="10"/>
    </row>
    <row r="1118" spans="28:35" ht="15" hidden="1" customHeight="1">
      <c r="AB1118" s="9"/>
      <c r="AC1118" s="9"/>
      <c r="AD1118" s="9"/>
      <c r="AF1118" s="10"/>
      <c r="AG1118" s="10"/>
      <c r="AH1118" s="10"/>
      <c r="AI1118" s="10"/>
    </row>
    <row r="1119" spans="28:35" ht="15" hidden="1" customHeight="1">
      <c r="AB1119" s="9"/>
      <c r="AC1119" s="9"/>
      <c r="AD1119" s="9"/>
      <c r="AF1119" s="10"/>
      <c r="AG1119" s="10"/>
      <c r="AH1119" s="10"/>
      <c r="AI1119" s="10"/>
    </row>
    <row r="1120" spans="28:35" ht="15" hidden="1" customHeight="1">
      <c r="AB1120" s="9"/>
      <c r="AC1120" s="9"/>
      <c r="AD1120" s="9"/>
      <c r="AF1120" s="10"/>
      <c r="AG1120" s="10"/>
      <c r="AH1120" s="10"/>
      <c r="AI1120" s="10"/>
    </row>
    <row r="1121" spans="28:35" ht="15" hidden="1" customHeight="1">
      <c r="AB1121" s="9"/>
      <c r="AC1121" s="9"/>
      <c r="AD1121" s="9"/>
      <c r="AF1121" s="10"/>
      <c r="AG1121" s="10"/>
      <c r="AH1121" s="10"/>
      <c r="AI1121" s="10"/>
    </row>
    <row r="1122" spans="28:35" ht="15" hidden="1" customHeight="1">
      <c r="AB1122" s="9"/>
      <c r="AC1122" s="9"/>
      <c r="AD1122" s="9"/>
      <c r="AF1122" s="10"/>
      <c r="AG1122" s="10"/>
      <c r="AH1122" s="10"/>
      <c r="AI1122" s="10"/>
    </row>
    <row r="1123" spans="28:35" ht="15" hidden="1" customHeight="1">
      <c r="AB1123" s="9"/>
      <c r="AC1123" s="9"/>
      <c r="AD1123" s="9"/>
      <c r="AF1123" s="10"/>
      <c r="AG1123" s="10"/>
      <c r="AH1123" s="10"/>
      <c r="AI1123" s="10"/>
    </row>
    <row r="1124" spans="28:35" ht="15" hidden="1" customHeight="1">
      <c r="AB1124" s="9"/>
      <c r="AC1124" s="9"/>
      <c r="AD1124" s="9"/>
      <c r="AF1124" s="10"/>
      <c r="AG1124" s="10"/>
      <c r="AH1124" s="10"/>
      <c r="AI1124" s="10"/>
    </row>
    <row r="1125" spans="28:35" ht="15" hidden="1" customHeight="1">
      <c r="AB1125" s="9"/>
      <c r="AC1125" s="9"/>
      <c r="AD1125" s="9"/>
      <c r="AF1125" s="10"/>
      <c r="AG1125" s="10"/>
      <c r="AH1125" s="10"/>
      <c r="AI1125" s="10"/>
    </row>
    <row r="1126" spans="28:35" ht="15" hidden="1" customHeight="1">
      <c r="AB1126" s="9"/>
      <c r="AC1126" s="9"/>
      <c r="AD1126" s="9"/>
      <c r="AF1126" s="10"/>
      <c r="AG1126" s="10"/>
      <c r="AH1126" s="10"/>
      <c r="AI1126" s="10"/>
    </row>
    <row r="1127" spans="28:35" ht="15" hidden="1" customHeight="1">
      <c r="AB1127" s="9"/>
      <c r="AC1127" s="9"/>
      <c r="AD1127" s="9"/>
      <c r="AF1127" s="10"/>
      <c r="AG1127" s="10"/>
      <c r="AH1127" s="10"/>
      <c r="AI1127" s="10"/>
    </row>
    <row r="1128" spans="28:35" ht="15" hidden="1" customHeight="1">
      <c r="AB1128" s="9"/>
      <c r="AC1128" s="9"/>
      <c r="AD1128" s="9"/>
      <c r="AF1128" s="10"/>
      <c r="AG1128" s="10"/>
      <c r="AH1128" s="10"/>
      <c r="AI1128" s="10"/>
    </row>
    <row r="1129" spans="28:35" ht="15" hidden="1" customHeight="1">
      <c r="AB1129" s="9"/>
      <c r="AC1129" s="9"/>
      <c r="AD1129" s="9"/>
      <c r="AF1129" s="10"/>
      <c r="AG1129" s="10"/>
      <c r="AH1129" s="10"/>
      <c r="AI1129" s="10"/>
    </row>
    <row r="1130" spans="28:35" ht="15" hidden="1" customHeight="1">
      <c r="AB1130" s="9"/>
      <c r="AC1130" s="9"/>
      <c r="AD1130" s="9"/>
      <c r="AF1130" s="10"/>
      <c r="AG1130" s="10"/>
      <c r="AH1130" s="10"/>
      <c r="AI1130" s="10"/>
    </row>
    <row r="1131" spans="28:35" ht="15" hidden="1" customHeight="1">
      <c r="AB1131" s="9"/>
      <c r="AC1131" s="9"/>
      <c r="AD1131" s="9"/>
      <c r="AF1131" s="10"/>
      <c r="AG1131" s="10"/>
      <c r="AH1131" s="10"/>
      <c r="AI1131" s="10"/>
    </row>
    <row r="1132" spans="28:35" ht="15" hidden="1" customHeight="1">
      <c r="AB1132" s="9"/>
      <c r="AC1132" s="9"/>
      <c r="AD1132" s="9"/>
      <c r="AF1132" s="10"/>
      <c r="AG1132" s="10"/>
      <c r="AH1132" s="10"/>
      <c r="AI1132" s="10"/>
    </row>
    <row r="1133" spans="28:35" ht="15" hidden="1" customHeight="1">
      <c r="AB1133" s="9"/>
      <c r="AC1133" s="9"/>
      <c r="AD1133" s="9"/>
      <c r="AF1133" s="10"/>
      <c r="AG1133" s="10"/>
      <c r="AH1133" s="10"/>
      <c r="AI1133" s="10"/>
    </row>
    <row r="1134" spans="28:35" ht="15" hidden="1" customHeight="1">
      <c r="AB1134" s="9"/>
      <c r="AC1134" s="9"/>
      <c r="AD1134" s="9"/>
      <c r="AF1134" s="10"/>
      <c r="AG1134" s="10"/>
      <c r="AH1134" s="10"/>
      <c r="AI1134" s="10"/>
    </row>
    <row r="1135" spans="28:35" ht="15" hidden="1" customHeight="1">
      <c r="AB1135" s="9"/>
      <c r="AC1135" s="9"/>
      <c r="AD1135" s="9"/>
      <c r="AF1135" s="10"/>
      <c r="AG1135" s="10"/>
      <c r="AH1135" s="10"/>
      <c r="AI1135" s="10"/>
    </row>
    <row r="1136" spans="28:35" ht="15" hidden="1" customHeight="1">
      <c r="AB1136" s="9"/>
      <c r="AC1136" s="9"/>
      <c r="AD1136" s="9"/>
      <c r="AF1136" s="10"/>
      <c r="AG1136" s="10"/>
      <c r="AH1136" s="10"/>
      <c r="AI1136" s="10"/>
    </row>
    <row r="1137" spans="28:35" ht="15" hidden="1" customHeight="1">
      <c r="AB1137" s="9"/>
      <c r="AC1137" s="9"/>
      <c r="AD1137" s="9"/>
      <c r="AF1137" s="10"/>
      <c r="AG1137" s="10"/>
      <c r="AH1137" s="10"/>
      <c r="AI1137" s="10"/>
    </row>
    <row r="1138" spans="28:35" ht="15" hidden="1" customHeight="1">
      <c r="AB1138" s="9"/>
      <c r="AC1138" s="9"/>
      <c r="AD1138" s="9"/>
      <c r="AF1138" s="10"/>
      <c r="AG1138" s="10"/>
      <c r="AH1138" s="10"/>
      <c r="AI1138" s="10"/>
    </row>
    <row r="1139" spans="28:35" ht="15" hidden="1" customHeight="1">
      <c r="AB1139" s="9"/>
      <c r="AC1139" s="9"/>
      <c r="AD1139" s="9"/>
      <c r="AF1139" s="10"/>
      <c r="AG1139" s="10"/>
      <c r="AH1139" s="10"/>
      <c r="AI1139" s="10"/>
    </row>
    <row r="1140" spans="28:35" ht="15" hidden="1" customHeight="1">
      <c r="AB1140" s="9"/>
      <c r="AC1140" s="9"/>
      <c r="AD1140" s="9"/>
      <c r="AF1140" s="10"/>
      <c r="AG1140" s="10"/>
      <c r="AH1140" s="10"/>
      <c r="AI1140" s="10"/>
    </row>
    <row r="1141" spans="28:35" ht="15" hidden="1" customHeight="1">
      <c r="AB1141" s="9"/>
      <c r="AC1141" s="9"/>
      <c r="AD1141" s="9"/>
      <c r="AF1141" s="10"/>
      <c r="AG1141" s="10"/>
      <c r="AH1141" s="10"/>
      <c r="AI1141" s="10"/>
    </row>
    <row r="1142" spans="28:35" ht="15" hidden="1" customHeight="1">
      <c r="AB1142" s="9"/>
      <c r="AC1142" s="9"/>
      <c r="AD1142" s="9"/>
      <c r="AF1142" s="10"/>
      <c r="AG1142" s="10"/>
      <c r="AH1142" s="10"/>
      <c r="AI1142" s="10"/>
    </row>
    <row r="1143" spans="28:35" ht="15" hidden="1" customHeight="1">
      <c r="AB1143" s="9"/>
      <c r="AC1143" s="9"/>
      <c r="AD1143" s="9"/>
      <c r="AF1143" s="10"/>
      <c r="AG1143" s="10"/>
      <c r="AH1143" s="10"/>
      <c r="AI1143" s="10"/>
    </row>
    <row r="1144" spans="28:35" ht="15" hidden="1" customHeight="1">
      <c r="AB1144" s="9"/>
      <c r="AC1144" s="9"/>
      <c r="AD1144" s="9"/>
      <c r="AF1144" s="10"/>
      <c r="AG1144" s="10"/>
      <c r="AH1144" s="10"/>
      <c r="AI1144" s="10"/>
    </row>
    <row r="1145" spans="28:35" ht="15" hidden="1" customHeight="1">
      <c r="AB1145" s="9"/>
      <c r="AC1145" s="9"/>
      <c r="AD1145" s="9"/>
      <c r="AF1145" s="10"/>
      <c r="AG1145" s="10"/>
      <c r="AH1145" s="10"/>
      <c r="AI1145" s="10"/>
    </row>
    <row r="1146" spans="28:35" ht="15" hidden="1" customHeight="1">
      <c r="AB1146" s="9"/>
      <c r="AC1146" s="9"/>
      <c r="AD1146" s="9"/>
      <c r="AF1146" s="10"/>
      <c r="AG1146" s="10"/>
      <c r="AH1146" s="10"/>
      <c r="AI1146" s="10"/>
    </row>
    <row r="1147" spans="28:35" ht="15" hidden="1" customHeight="1">
      <c r="AB1147" s="9"/>
      <c r="AC1147" s="9"/>
      <c r="AD1147" s="9"/>
      <c r="AF1147" s="10"/>
      <c r="AG1147" s="10"/>
      <c r="AH1147" s="10"/>
      <c r="AI1147" s="10"/>
    </row>
    <row r="1148" spans="28:35" ht="15" hidden="1" customHeight="1">
      <c r="AB1148" s="9"/>
      <c r="AC1148" s="9"/>
      <c r="AD1148" s="9"/>
      <c r="AF1148" s="10"/>
      <c r="AG1148" s="10"/>
      <c r="AH1148" s="10"/>
      <c r="AI1148" s="10"/>
    </row>
    <row r="1149" spans="28:35" ht="15" hidden="1" customHeight="1">
      <c r="AB1149" s="9"/>
      <c r="AC1149" s="9"/>
      <c r="AD1149" s="9"/>
      <c r="AF1149" s="10"/>
      <c r="AG1149" s="10"/>
      <c r="AH1149" s="10"/>
      <c r="AI1149" s="10"/>
    </row>
    <row r="1150" spans="28:35" ht="15" hidden="1" customHeight="1">
      <c r="AB1150" s="9"/>
      <c r="AC1150" s="9"/>
      <c r="AD1150" s="9"/>
      <c r="AF1150" s="10"/>
      <c r="AG1150" s="10"/>
      <c r="AH1150" s="10"/>
      <c r="AI1150" s="10"/>
    </row>
    <row r="1151" spans="28:35" ht="15" hidden="1" customHeight="1">
      <c r="AB1151" s="9"/>
      <c r="AC1151" s="9"/>
      <c r="AD1151" s="9"/>
      <c r="AF1151" s="10"/>
      <c r="AG1151" s="10"/>
      <c r="AH1151" s="10"/>
      <c r="AI1151" s="10"/>
    </row>
    <row r="1152" spans="28:35" ht="15" hidden="1" customHeight="1">
      <c r="AB1152" s="9"/>
      <c r="AC1152" s="9"/>
      <c r="AD1152" s="9"/>
      <c r="AF1152" s="10"/>
      <c r="AG1152" s="10"/>
      <c r="AH1152" s="10"/>
      <c r="AI1152" s="10"/>
    </row>
    <row r="1153" spans="28:35" ht="15" hidden="1" customHeight="1">
      <c r="AB1153" s="9"/>
      <c r="AC1153" s="9"/>
      <c r="AD1153" s="9"/>
      <c r="AF1153" s="10"/>
      <c r="AG1153" s="10"/>
      <c r="AH1153" s="10"/>
      <c r="AI1153" s="10"/>
    </row>
    <row r="1154" spans="28:35" ht="15" hidden="1" customHeight="1">
      <c r="AB1154" s="9"/>
      <c r="AC1154" s="9"/>
      <c r="AD1154" s="9"/>
      <c r="AF1154" s="10"/>
      <c r="AG1154" s="10"/>
      <c r="AH1154" s="10"/>
      <c r="AI1154" s="10"/>
    </row>
    <row r="1155" spans="28:35" ht="15" hidden="1" customHeight="1">
      <c r="AB1155" s="9"/>
      <c r="AC1155" s="9"/>
      <c r="AD1155" s="9"/>
      <c r="AF1155" s="10"/>
      <c r="AG1155" s="10"/>
      <c r="AH1155" s="10"/>
      <c r="AI1155" s="10"/>
    </row>
    <row r="1156" spans="28:35" ht="15" hidden="1" customHeight="1">
      <c r="AB1156" s="9"/>
      <c r="AC1156" s="9"/>
      <c r="AD1156" s="9"/>
      <c r="AF1156" s="10"/>
      <c r="AG1156" s="10"/>
      <c r="AH1156" s="10"/>
      <c r="AI1156" s="10"/>
    </row>
    <row r="1157" spans="28:35" ht="15" hidden="1" customHeight="1">
      <c r="AB1157" s="9"/>
      <c r="AC1157" s="9"/>
      <c r="AD1157" s="9"/>
      <c r="AF1157" s="10"/>
      <c r="AG1157" s="10"/>
      <c r="AH1157" s="10"/>
      <c r="AI1157" s="10"/>
    </row>
    <row r="1158" spans="28:35" ht="15" hidden="1" customHeight="1">
      <c r="AB1158" s="9"/>
      <c r="AC1158" s="9"/>
      <c r="AD1158" s="9"/>
      <c r="AF1158" s="10"/>
      <c r="AG1158" s="10"/>
      <c r="AH1158" s="10"/>
      <c r="AI1158" s="10"/>
    </row>
    <row r="1159" spans="28:35" ht="15" hidden="1" customHeight="1">
      <c r="AB1159" s="9"/>
      <c r="AC1159" s="9"/>
      <c r="AD1159" s="9"/>
      <c r="AF1159" s="10"/>
      <c r="AG1159" s="10"/>
      <c r="AH1159" s="10"/>
      <c r="AI1159" s="10"/>
    </row>
    <row r="1160" spans="28:35" ht="15" hidden="1" customHeight="1">
      <c r="AB1160" s="9"/>
      <c r="AC1160" s="9"/>
      <c r="AD1160" s="9"/>
      <c r="AF1160" s="10"/>
      <c r="AG1160" s="10"/>
      <c r="AH1160" s="10"/>
      <c r="AI1160" s="10"/>
    </row>
    <row r="1161" spans="28:35" ht="15" hidden="1" customHeight="1">
      <c r="AB1161" s="9"/>
      <c r="AC1161" s="9"/>
      <c r="AD1161" s="9"/>
      <c r="AF1161" s="10"/>
      <c r="AG1161" s="10"/>
      <c r="AH1161" s="10"/>
      <c r="AI1161" s="10"/>
    </row>
    <row r="1162" spans="28:35" ht="15" hidden="1" customHeight="1">
      <c r="AB1162" s="9"/>
      <c r="AC1162" s="9"/>
      <c r="AD1162" s="9"/>
      <c r="AF1162" s="10"/>
      <c r="AG1162" s="10"/>
      <c r="AH1162" s="10"/>
      <c r="AI1162" s="10"/>
    </row>
    <row r="1163" spans="28:35" ht="15" hidden="1" customHeight="1">
      <c r="AB1163" s="9"/>
      <c r="AC1163" s="9"/>
      <c r="AD1163" s="9"/>
      <c r="AF1163" s="10"/>
      <c r="AG1163" s="10"/>
      <c r="AH1163" s="10"/>
      <c r="AI1163" s="10"/>
    </row>
    <row r="1164" spans="28:35" ht="15" hidden="1" customHeight="1">
      <c r="AB1164" s="9"/>
      <c r="AC1164" s="9"/>
      <c r="AD1164" s="9"/>
      <c r="AF1164" s="10"/>
      <c r="AG1164" s="10"/>
      <c r="AH1164" s="10"/>
      <c r="AI1164" s="10"/>
    </row>
    <row r="1165" spans="28:35" ht="15" hidden="1" customHeight="1">
      <c r="AB1165" s="9"/>
      <c r="AC1165" s="9"/>
      <c r="AD1165" s="9"/>
      <c r="AF1165" s="10"/>
      <c r="AG1165" s="10"/>
      <c r="AH1165" s="10"/>
      <c r="AI1165" s="10"/>
    </row>
    <row r="1166" spans="28:35" ht="15" hidden="1" customHeight="1">
      <c r="AB1166" s="9"/>
      <c r="AC1166" s="9"/>
      <c r="AD1166" s="9"/>
      <c r="AF1166" s="10"/>
      <c r="AG1166" s="10"/>
      <c r="AH1166" s="10"/>
      <c r="AI1166" s="10"/>
    </row>
    <row r="1167" spans="28:35" ht="15" hidden="1" customHeight="1">
      <c r="AB1167" s="9"/>
      <c r="AC1167" s="9"/>
      <c r="AD1167" s="9"/>
      <c r="AF1167" s="10"/>
      <c r="AG1167" s="10"/>
      <c r="AH1167" s="10"/>
      <c r="AI1167" s="10"/>
    </row>
    <row r="1168" spans="28:35" ht="15" hidden="1" customHeight="1">
      <c r="AB1168" s="9"/>
      <c r="AC1168" s="9"/>
      <c r="AD1168" s="9"/>
      <c r="AF1168" s="10"/>
      <c r="AG1168" s="10"/>
      <c r="AH1168" s="10"/>
      <c r="AI1168" s="10"/>
    </row>
    <row r="1169" spans="28:35" ht="15" hidden="1" customHeight="1">
      <c r="AB1169" s="9"/>
      <c r="AC1169" s="9"/>
      <c r="AD1169" s="9"/>
      <c r="AF1169" s="10"/>
      <c r="AG1169" s="10"/>
      <c r="AH1169" s="10"/>
      <c r="AI1169" s="10"/>
    </row>
    <row r="1170" spans="28:35" ht="15" hidden="1" customHeight="1">
      <c r="AB1170" s="9"/>
      <c r="AC1170" s="9"/>
      <c r="AD1170" s="9"/>
      <c r="AF1170" s="10"/>
      <c r="AG1170" s="10"/>
      <c r="AH1170" s="10"/>
      <c r="AI1170" s="10"/>
    </row>
    <row r="1171" spans="28:35" ht="15" hidden="1" customHeight="1">
      <c r="AB1171" s="9"/>
      <c r="AC1171" s="9"/>
      <c r="AD1171" s="9"/>
      <c r="AF1171" s="10"/>
      <c r="AG1171" s="10"/>
      <c r="AH1171" s="10"/>
      <c r="AI1171" s="10"/>
    </row>
    <row r="1172" spans="28:35" ht="15" hidden="1" customHeight="1">
      <c r="AB1172" s="9"/>
      <c r="AC1172" s="9"/>
      <c r="AD1172" s="9"/>
      <c r="AF1172" s="10"/>
      <c r="AG1172" s="10"/>
      <c r="AH1172" s="10"/>
      <c r="AI1172" s="10"/>
    </row>
    <row r="1173" spans="28:35" ht="15" hidden="1" customHeight="1">
      <c r="AB1173" s="9"/>
      <c r="AC1173" s="9"/>
      <c r="AD1173" s="9"/>
      <c r="AF1173" s="10"/>
      <c r="AG1173" s="10"/>
      <c r="AH1173" s="10"/>
      <c r="AI1173" s="10"/>
    </row>
    <row r="1174" spans="28:35" ht="15" hidden="1" customHeight="1">
      <c r="AB1174" s="9"/>
      <c r="AC1174" s="9"/>
      <c r="AD1174" s="9"/>
      <c r="AF1174" s="10"/>
      <c r="AG1174" s="10"/>
      <c r="AH1174" s="10"/>
      <c r="AI1174" s="10"/>
    </row>
    <row r="1175" spans="28:35" ht="15" hidden="1" customHeight="1">
      <c r="AB1175" s="9"/>
      <c r="AC1175" s="9"/>
      <c r="AD1175" s="9"/>
      <c r="AF1175" s="10"/>
      <c r="AG1175" s="10"/>
      <c r="AH1175" s="10"/>
      <c r="AI1175" s="10"/>
    </row>
    <row r="1176" spans="28:35" ht="15" hidden="1" customHeight="1">
      <c r="AB1176" s="9"/>
      <c r="AC1176" s="9"/>
      <c r="AD1176" s="9"/>
      <c r="AF1176" s="10"/>
      <c r="AG1176" s="10"/>
      <c r="AH1176" s="10"/>
      <c r="AI1176" s="10"/>
    </row>
    <row r="1177" spans="28:35" ht="15" hidden="1" customHeight="1">
      <c r="AB1177" s="9"/>
      <c r="AC1177" s="9"/>
      <c r="AD1177" s="9"/>
      <c r="AF1177" s="10"/>
      <c r="AG1177" s="10"/>
      <c r="AH1177" s="10"/>
      <c r="AI1177" s="10"/>
    </row>
    <row r="1178" spans="28:35" ht="15" hidden="1" customHeight="1">
      <c r="AB1178" s="9"/>
      <c r="AC1178" s="9"/>
      <c r="AD1178" s="9"/>
      <c r="AF1178" s="10"/>
      <c r="AG1178" s="10"/>
      <c r="AH1178" s="10"/>
      <c r="AI1178" s="10"/>
    </row>
    <row r="1179" spans="28:35" ht="15" hidden="1" customHeight="1">
      <c r="AB1179" s="9"/>
      <c r="AC1179" s="9"/>
      <c r="AD1179" s="9"/>
      <c r="AF1179" s="10"/>
      <c r="AG1179" s="10"/>
      <c r="AH1179" s="10"/>
      <c r="AI1179" s="10"/>
    </row>
    <row r="1180" spans="28:35" ht="15" hidden="1" customHeight="1">
      <c r="AB1180" s="9"/>
      <c r="AC1180" s="9"/>
      <c r="AD1180" s="9"/>
      <c r="AF1180" s="10"/>
      <c r="AG1180" s="10"/>
      <c r="AH1180" s="10"/>
      <c r="AI1180" s="10"/>
    </row>
    <row r="1181" spans="28:35" ht="15" hidden="1" customHeight="1">
      <c r="AB1181" s="9"/>
      <c r="AC1181" s="9"/>
      <c r="AD1181" s="9"/>
      <c r="AF1181" s="10"/>
      <c r="AG1181" s="10"/>
      <c r="AH1181" s="10"/>
      <c r="AI1181" s="10"/>
    </row>
    <row r="1182" spans="28:35" ht="15" hidden="1" customHeight="1">
      <c r="AB1182" s="9"/>
      <c r="AC1182" s="9"/>
      <c r="AD1182" s="9"/>
      <c r="AF1182" s="10"/>
      <c r="AG1182" s="10"/>
      <c r="AH1182" s="10"/>
      <c r="AI1182" s="10"/>
    </row>
    <row r="1183" spans="28:35" ht="15" hidden="1" customHeight="1">
      <c r="AB1183" s="9"/>
      <c r="AC1183" s="9"/>
      <c r="AD1183" s="9"/>
      <c r="AF1183" s="10"/>
      <c r="AG1183" s="10"/>
      <c r="AH1183" s="10"/>
      <c r="AI1183" s="10"/>
    </row>
    <row r="1184" spans="28:35" ht="15" hidden="1" customHeight="1">
      <c r="AB1184" s="9"/>
      <c r="AC1184" s="9"/>
      <c r="AD1184" s="9"/>
      <c r="AF1184" s="10"/>
      <c r="AG1184" s="10"/>
      <c r="AH1184" s="10"/>
      <c r="AI1184" s="10"/>
    </row>
    <row r="1185" spans="28:35" ht="15" hidden="1" customHeight="1">
      <c r="AB1185" s="9"/>
      <c r="AC1185" s="9"/>
      <c r="AD1185" s="9"/>
      <c r="AF1185" s="10"/>
      <c r="AG1185" s="10"/>
      <c r="AH1185" s="10"/>
      <c r="AI1185" s="10"/>
    </row>
    <row r="1186" spans="28:35" ht="15" hidden="1" customHeight="1">
      <c r="AB1186" s="9"/>
      <c r="AC1186" s="9"/>
      <c r="AD1186" s="9"/>
      <c r="AF1186" s="10"/>
      <c r="AG1186" s="10"/>
      <c r="AH1186" s="10"/>
      <c r="AI1186" s="10"/>
    </row>
    <row r="1187" spans="28:35" ht="15" hidden="1" customHeight="1">
      <c r="AB1187" s="9"/>
      <c r="AC1187" s="9"/>
      <c r="AD1187" s="9"/>
      <c r="AF1187" s="10"/>
      <c r="AG1187" s="10"/>
      <c r="AH1187" s="10"/>
      <c r="AI1187" s="10"/>
    </row>
    <row r="1188" spans="28:35" ht="15" hidden="1" customHeight="1">
      <c r="AB1188" s="9"/>
      <c r="AC1188" s="9"/>
      <c r="AD1188" s="9"/>
      <c r="AF1188" s="10"/>
      <c r="AG1188" s="10"/>
      <c r="AH1188" s="10"/>
      <c r="AI1188" s="10"/>
    </row>
    <row r="1189" spans="28:35" ht="15" hidden="1" customHeight="1">
      <c r="AB1189" s="9"/>
      <c r="AC1189" s="9"/>
      <c r="AD1189" s="9"/>
      <c r="AF1189" s="10"/>
      <c r="AG1189" s="10"/>
      <c r="AH1189" s="10"/>
      <c r="AI1189" s="10"/>
    </row>
    <row r="1190" spans="28:35" ht="15" hidden="1" customHeight="1">
      <c r="AB1190" s="9"/>
      <c r="AC1190" s="9"/>
      <c r="AD1190" s="9"/>
      <c r="AF1190" s="10"/>
      <c r="AG1190" s="10"/>
      <c r="AH1190" s="10"/>
      <c r="AI1190" s="10"/>
    </row>
    <row r="1191" spans="28:35" ht="15" hidden="1" customHeight="1">
      <c r="AB1191" s="9"/>
      <c r="AC1191" s="9"/>
      <c r="AD1191" s="9"/>
      <c r="AF1191" s="10"/>
      <c r="AG1191" s="10"/>
      <c r="AH1191" s="10"/>
      <c r="AI1191" s="10"/>
    </row>
    <row r="1192" spans="28:35" ht="15" hidden="1" customHeight="1">
      <c r="AB1192" s="9"/>
      <c r="AC1192" s="9"/>
      <c r="AD1192" s="9"/>
      <c r="AF1192" s="10"/>
      <c r="AG1192" s="10"/>
      <c r="AH1192" s="10"/>
      <c r="AI1192" s="10"/>
    </row>
    <row r="1193" spans="28:35" ht="15" hidden="1" customHeight="1">
      <c r="AB1193" s="9"/>
      <c r="AC1193" s="9"/>
      <c r="AD1193" s="9"/>
      <c r="AF1193" s="10"/>
      <c r="AG1193" s="10"/>
      <c r="AH1193" s="10"/>
      <c r="AI1193" s="10"/>
    </row>
    <row r="1194" spans="28:35" ht="15" hidden="1" customHeight="1">
      <c r="AB1194" s="9"/>
      <c r="AC1194" s="9"/>
      <c r="AD1194" s="9"/>
      <c r="AF1194" s="10"/>
      <c r="AG1194" s="10"/>
      <c r="AH1194" s="10"/>
      <c r="AI1194" s="10"/>
    </row>
    <row r="1195" spans="28:35" ht="15" hidden="1" customHeight="1">
      <c r="AB1195" s="9"/>
      <c r="AC1195" s="9"/>
      <c r="AD1195" s="9"/>
      <c r="AF1195" s="10"/>
      <c r="AG1195" s="10"/>
      <c r="AH1195" s="10"/>
      <c r="AI1195" s="10"/>
    </row>
    <row r="1196" spans="28:35" ht="15" hidden="1" customHeight="1">
      <c r="AB1196" s="9"/>
      <c r="AC1196" s="9"/>
      <c r="AD1196" s="9"/>
      <c r="AF1196" s="10"/>
      <c r="AG1196" s="10"/>
      <c r="AH1196" s="10"/>
      <c r="AI1196" s="10"/>
    </row>
    <row r="1197" spans="28:35" ht="15" hidden="1" customHeight="1">
      <c r="AB1197" s="9"/>
      <c r="AC1197" s="9"/>
      <c r="AD1197" s="9"/>
      <c r="AF1197" s="10"/>
      <c r="AG1197" s="10"/>
      <c r="AH1197" s="10"/>
      <c r="AI1197" s="10"/>
    </row>
    <row r="1198" spans="28:35" ht="15" hidden="1" customHeight="1">
      <c r="AB1198" s="9"/>
      <c r="AC1198" s="9"/>
      <c r="AD1198" s="9"/>
      <c r="AF1198" s="10"/>
      <c r="AG1198" s="10"/>
      <c r="AH1198" s="10"/>
      <c r="AI1198" s="10"/>
    </row>
    <row r="1199" spans="28:35" ht="15" hidden="1" customHeight="1">
      <c r="AB1199" s="9"/>
      <c r="AC1199" s="9"/>
      <c r="AD1199" s="9"/>
      <c r="AF1199" s="10"/>
      <c r="AG1199" s="10"/>
      <c r="AH1199" s="10"/>
      <c r="AI1199" s="10"/>
    </row>
    <row r="1200" spans="28:35" ht="15" hidden="1" customHeight="1">
      <c r="AB1200" s="9"/>
      <c r="AC1200" s="9"/>
      <c r="AD1200" s="9"/>
      <c r="AF1200" s="10"/>
      <c r="AG1200" s="10"/>
      <c r="AH1200" s="10"/>
      <c r="AI1200" s="10"/>
    </row>
    <row r="1201" spans="28:35" ht="15" hidden="1" customHeight="1">
      <c r="AB1201" s="9"/>
      <c r="AC1201" s="9"/>
      <c r="AD1201" s="9"/>
      <c r="AF1201" s="10"/>
      <c r="AG1201" s="10"/>
      <c r="AH1201" s="10"/>
      <c r="AI1201" s="10"/>
    </row>
    <row r="1202" spans="28:35" ht="15" hidden="1" customHeight="1">
      <c r="AB1202" s="9"/>
      <c r="AC1202" s="9"/>
      <c r="AD1202" s="9"/>
      <c r="AF1202" s="10"/>
      <c r="AG1202" s="10"/>
      <c r="AH1202" s="10"/>
      <c r="AI1202" s="10"/>
    </row>
    <row r="1203" spans="28:35" ht="15" hidden="1" customHeight="1">
      <c r="AB1203" s="9"/>
      <c r="AC1203" s="9"/>
      <c r="AD1203" s="9"/>
      <c r="AF1203" s="10"/>
      <c r="AG1203" s="10"/>
      <c r="AH1203" s="10"/>
      <c r="AI1203" s="10"/>
    </row>
    <row r="1204" spans="28:35" ht="15" hidden="1" customHeight="1">
      <c r="AB1204" s="9"/>
      <c r="AC1204" s="9"/>
      <c r="AD1204" s="9"/>
      <c r="AF1204" s="10"/>
      <c r="AG1204" s="10"/>
      <c r="AH1204" s="10"/>
      <c r="AI1204" s="10"/>
    </row>
    <row r="1205" spans="28:35" ht="15" hidden="1" customHeight="1">
      <c r="AB1205" s="9"/>
      <c r="AC1205" s="9"/>
      <c r="AD1205" s="9"/>
      <c r="AF1205" s="10"/>
      <c r="AG1205" s="10"/>
      <c r="AH1205" s="10"/>
      <c r="AI1205" s="10"/>
    </row>
    <row r="1206" spans="28:35" ht="15" hidden="1" customHeight="1">
      <c r="AB1206" s="9"/>
      <c r="AC1206" s="9"/>
      <c r="AD1206" s="9"/>
      <c r="AF1206" s="10"/>
      <c r="AG1206" s="10"/>
      <c r="AH1206" s="10"/>
      <c r="AI1206" s="10"/>
    </row>
    <row r="1207" spans="28:35" ht="15" hidden="1" customHeight="1">
      <c r="AB1207" s="9"/>
      <c r="AC1207" s="9"/>
      <c r="AD1207" s="9"/>
      <c r="AF1207" s="10"/>
      <c r="AG1207" s="10"/>
      <c r="AH1207" s="10"/>
      <c r="AI1207" s="10"/>
    </row>
    <row r="1208" spans="28:35" ht="15" hidden="1" customHeight="1">
      <c r="AB1208" s="9"/>
      <c r="AC1208" s="9"/>
      <c r="AD1208" s="9"/>
      <c r="AF1208" s="10"/>
      <c r="AG1208" s="10"/>
      <c r="AH1208" s="10"/>
      <c r="AI1208" s="10"/>
    </row>
    <row r="1209" spans="28:35" ht="15" hidden="1" customHeight="1">
      <c r="AB1209" s="9"/>
      <c r="AC1209" s="9"/>
      <c r="AD1209" s="9"/>
      <c r="AF1209" s="10"/>
      <c r="AG1209" s="10"/>
      <c r="AH1209" s="10"/>
      <c r="AI1209" s="10"/>
    </row>
    <row r="1210" spans="28:35" ht="15" hidden="1" customHeight="1">
      <c r="AB1210" s="9"/>
      <c r="AC1210" s="9"/>
      <c r="AD1210" s="9"/>
      <c r="AF1210" s="10"/>
      <c r="AG1210" s="10"/>
      <c r="AH1210" s="10"/>
      <c r="AI1210" s="10"/>
    </row>
    <row r="1211" spans="28:35" ht="15" hidden="1" customHeight="1">
      <c r="AB1211" s="9"/>
      <c r="AC1211" s="9"/>
      <c r="AD1211" s="9"/>
      <c r="AF1211" s="10"/>
      <c r="AG1211" s="10"/>
      <c r="AH1211" s="10"/>
      <c r="AI1211" s="10"/>
    </row>
    <row r="1212" spans="28:35" ht="15" hidden="1" customHeight="1">
      <c r="AB1212" s="9"/>
      <c r="AC1212" s="9"/>
      <c r="AD1212" s="9"/>
      <c r="AF1212" s="10"/>
      <c r="AG1212" s="10"/>
      <c r="AH1212" s="10"/>
      <c r="AI1212" s="10"/>
    </row>
    <row r="1213" spans="28:35" ht="15" hidden="1" customHeight="1">
      <c r="AB1213" s="9"/>
      <c r="AC1213" s="9"/>
      <c r="AD1213" s="9"/>
      <c r="AF1213" s="10"/>
      <c r="AG1213" s="10"/>
      <c r="AH1213" s="10"/>
      <c r="AI1213" s="10"/>
    </row>
    <row r="1214" spans="28:35" ht="15" hidden="1" customHeight="1">
      <c r="AB1214" s="9"/>
      <c r="AC1214" s="9"/>
      <c r="AD1214" s="9"/>
      <c r="AF1214" s="10"/>
      <c r="AG1214" s="10"/>
      <c r="AH1214" s="10"/>
      <c r="AI1214" s="10"/>
    </row>
    <row r="1215" spans="28:35" ht="15" hidden="1" customHeight="1">
      <c r="AB1215" s="9"/>
      <c r="AC1215" s="9"/>
      <c r="AD1215" s="9"/>
      <c r="AF1215" s="10"/>
      <c r="AG1215" s="10"/>
      <c r="AH1215" s="10"/>
      <c r="AI1215" s="10"/>
    </row>
    <row r="1216" spans="28:35" ht="15" hidden="1" customHeight="1">
      <c r="AB1216" s="9"/>
      <c r="AC1216" s="9"/>
      <c r="AD1216" s="9"/>
      <c r="AF1216" s="10"/>
      <c r="AG1216" s="10"/>
      <c r="AH1216" s="10"/>
      <c r="AI1216" s="10"/>
    </row>
    <row r="1217" spans="28:35" ht="15" hidden="1" customHeight="1">
      <c r="AB1217" s="9"/>
      <c r="AC1217" s="9"/>
      <c r="AD1217" s="9"/>
      <c r="AF1217" s="10"/>
      <c r="AG1217" s="10"/>
      <c r="AH1217" s="10"/>
      <c r="AI1217" s="10"/>
    </row>
    <row r="1218" spans="28:35" ht="15" hidden="1" customHeight="1">
      <c r="AB1218" s="9"/>
      <c r="AC1218" s="9"/>
      <c r="AD1218" s="9"/>
      <c r="AF1218" s="10"/>
      <c r="AG1218" s="10"/>
      <c r="AH1218" s="10"/>
      <c r="AI1218" s="10"/>
    </row>
    <row r="1219" spans="28:35" ht="15" hidden="1" customHeight="1">
      <c r="AB1219" s="9"/>
      <c r="AC1219" s="9"/>
      <c r="AD1219" s="9"/>
      <c r="AF1219" s="10"/>
      <c r="AG1219" s="10"/>
      <c r="AH1219" s="10"/>
      <c r="AI1219" s="10"/>
    </row>
    <row r="1220" spans="28:35" ht="15" hidden="1" customHeight="1">
      <c r="AB1220" s="9"/>
      <c r="AC1220" s="9"/>
      <c r="AD1220" s="9"/>
      <c r="AF1220" s="10"/>
      <c r="AG1220" s="10"/>
      <c r="AH1220" s="10"/>
      <c r="AI1220" s="10"/>
    </row>
    <row r="1221" spans="28:35" ht="15" hidden="1" customHeight="1">
      <c r="AB1221" s="9"/>
      <c r="AC1221" s="9"/>
      <c r="AD1221" s="9"/>
      <c r="AF1221" s="10"/>
      <c r="AG1221" s="10"/>
      <c r="AH1221" s="10"/>
      <c r="AI1221" s="10"/>
    </row>
    <row r="1222" spans="28:35" ht="15" hidden="1" customHeight="1">
      <c r="AB1222" s="9"/>
      <c r="AC1222" s="9"/>
      <c r="AD1222" s="9"/>
      <c r="AF1222" s="10"/>
      <c r="AG1222" s="10"/>
      <c r="AH1222" s="10"/>
      <c r="AI1222" s="10"/>
    </row>
    <row r="1223" spans="28:35" ht="15" hidden="1" customHeight="1">
      <c r="AB1223" s="9"/>
      <c r="AC1223" s="9"/>
      <c r="AD1223" s="9"/>
      <c r="AF1223" s="10"/>
      <c r="AG1223" s="10"/>
      <c r="AH1223" s="10"/>
      <c r="AI1223" s="10"/>
    </row>
    <row r="1224" spans="28:35" ht="15" hidden="1" customHeight="1">
      <c r="AB1224" s="9"/>
      <c r="AC1224" s="9"/>
      <c r="AD1224" s="9"/>
      <c r="AF1224" s="10"/>
      <c r="AG1224" s="10"/>
      <c r="AH1224" s="10"/>
      <c r="AI1224" s="10"/>
    </row>
    <row r="1225" spans="28:35" ht="15" hidden="1" customHeight="1">
      <c r="AB1225" s="9"/>
      <c r="AC1225" s="9"/>
      <c r="AD1225" s="9"/>
      <c r="AF1225" s="10"/>
      <c r="AG1225" s="10"/>
      <c r="AH1225" s="10"/>
      <c r="AI1225" s="10"/>
    </row>
    <row r="1226" spans="28:35" ht="15" hidden="1" customHeight="1">
      <c r="AB1226" s="9"/>
      <c r="AC1226" s="9"/>
      <c r="AD1226" s="9"/>
      <c r="AF1226" s="10"/>
      <c r="AG1226" s="10"/>
      <c r="AH1226" s="10"/>
      <c r="AI1226" s="10"/>
    </row>
    <row r="1227" spans="28:35" ht="15" hidden="1" customHeight="1">
      <c r="AB1227" s="9"/>
      <c r="AC1227" s="9"/>
      <c r="AD1227" s="9"/>
      <c r="AF1227" s="10"/>
      <c r="AG1227" s="10"/>
      <c r="AH1227" s="10"/>
      <c r="AI1227" s="10"/>
    </row>
    <row r="1228" spans="28:35" ht="15" hidden="1" customHeight="1">
      <c r="AB1228" s="9"/>
      <c r="AC1228" s="9"/>
      <c r="AD1228" s="9"/>
      <c r="AF1228" s="10"/>
      <c r="AG1228" s="10"/>
      <c r="AH1228" s="10"/>
      <c r="AI1228" s="10"/>
    </row>
    <row r="1229" spans="28:35" ht="15" hidden="1" customHeight="1">
      <c r="AB1229" s="9"/>
      <c r="AC1229" s="9"/>
      <c r="AD1229" s="9"/>
      <c r="AF1229" s="10"/>
      <c r="AG1229" s="10"/>
      <c r="AH1229" s="10"/>
      <c r="AI1229" s="10"/>
    </row>
    <row r="1230" spans="28:35" ht="15" hidden="1" customHeight="1">
      <c r="AB1230" s="9"/>
      <c r="AC1230" s="9"/>
      <c r="AD1230" s="9"/>
      <c r="AF1230" s="10"/>
      <c r="AG1230" s="10"/>
      <c r="AH1230" s="10"/>
      <c r="AI1230" s="10"/>
    </row>
    <row r="1231" spans="28:35" ht="15" hidden="1" customHeight="1">
      <c r="AB1231" s="9"/>
      <c r="AC1231" s="9"/>
      <c r="AD1231" s="9"/>
      <c r="AF1231" s="10"/>
      <c r="AG1231" s="10"/>
      <c r="AH1231" s="10"/>
      <c r="AI1231" s="10"/>
    </row>
    <row r="1232" spans="28:35" ht="15" hidden="1" customHeight="1">
      <c r="AB1232" s="9"/>
      <c r="AC1232" s="9"/>
      <c r="AD1232" s="9"/>
      <c r="AF1232" s="10"/>
      <c r="AG1232" s="10"/>
      <c r="AH1232" s="10"/>
      <c r="AI1232" s="10"/>
    </row>
    <row r="1233" spans="28:35" ht="15" hidden="1" customHeight="1">
      <c r="AB1233" s="9"/>
      <c r="AC1233" s="9"/>
      <c r="AD1233" s="9"/>
      <c r="AF1233" s="10"/>
      <c r="AG1233" s="10"/>
      <c r="AH1233" s="10"/>
      <c r="AI1233" s="10"/>
    </row>
    <row r="1234" spans="28:35" ht="15" hidden="1" customHeight="1">
      <c r="AB1234" s="9"/>
      <c r="AC1234" s="9"/>
      <c r="AD1234" s="9"/>
      <c r="AF1234" s="10"/>
      <c r="AG1234" s="10"/>
      <c r="AH1234" s="10"/>
      <c r="AI1234" s="10"/>
    </row>
    <row r="1235" spans="28:35" ht="15" hidden="1" customHeight="1">
      <c r="AB1235" s="9"/>
      <c r="AC1235" s="9"/>
      <c r="AD1235" s="9"/>
      <c r="AF1235" s="10"/>
      <c r="AG1235" s="10"/>
      <c r="AH1235" s="10"/>
      <c r="AI1235" s="10"/>
    </row>
    <row r="1236" spans="28:35" ht="15" hidden="1" customHeight="1">
      <c r="AB1236" s="9"/>
      <c r="AC1236" s="9"/>
      <c r="AD1236" s="9"/>
      <c r="AF1236" s="10"/>
      <c r="AG1236" s="10"/>
      <c r="AH1236" s="10"/>
      <c r="AI1236" s="10"/>
    </row>
    <row r="1237" spans="28:35" ht="15" hidden="1" customHeight="1">
      <c r="AB1237" s="9"/>
      <c r="AC1237" s="9"/>
      <c r="AD1237" s="9"/>
      <c r="AF1237" s="10"/>
      <c r="AG1237" s="10"/>
      <c r="AH1237" s="10"/>
      <c r="AI1237" s="10"/>
    </row>
    <row r="1238" spans="28:35" ht="15" hidden="1" customHeight="1">
      <c r="AB1238" s="9"/>
      <c r="AC1238" s="9"/>
      <c r="AD1238" s="9"/>
      <c r="AF1238" s="10"/>
      <c r="AG1238" s="10"/>
      <c r="AH1238" s="10"/>
      <c r="AI1238" s="10"/>
    </row>
    <row r="1239" spans="28:35" ht="15" hidden="1" customHeight="1">
      <c r="AB1239" s="9"/>
      <c r="AC1239" s="9"/>
      <c r="AD1239" s="9"/>
      <c r="AF1239" s="10"/>
      <c r="AG1239" s="10"/>
      <c r="AH1239" s="10"/>
      <c r="AI1239" s="10"/>
    </row>
    <row r="1240" spans="28:35" ht="15" hidden="1" customHeight="1">
      <c r="AB1240" s="9"/>
      <c r="AC1240" s="9"/>
      <c r="AD1240" s="9"/>
      <c r="AF1240" s="10"/>
      <c r="AG1240" s="10"/>
      <c r="AH1240" s="10"/>
      <c r="AI1240" s="10"/>
    </row>
    <row r="1241" spans="28:35" ht="15" hidden="1" customHeight="1">
      <c r="AB1241" s="9"/>
      <c r="AC1241" s="9"/>
      <c r="AD1241" s="9"/>
      <c r="AF1241" s="10"/>
      <c r="AG1241" s="10"/>
      <c r="AH1241" s="10"/>
      <c r="AI1241" s="10"/>
    </row>
    <row r="1242" spans="28:35" ht="15" hidden="1" customHeight="1">
      <c r="AB1242" s="9"/>
      <c r="AC1242" s="9"/>
      <c r="AD1242" s="9"/>
      <c r="AF1242" s="10"/>
      <c r="AG1242" s="10"/>
      <c r="AH1242" s="10"/>
      <c r="AI1242" s="10"/>
    </row>
    <row r="1243" spans="28:35" ht="15" hidden="1" customHeight="1">
      <c r="AB1243" s="9"/>
      <c r="AC1243" s="9"/>
      <c r="AD1243" s="9"/>
      <c r="AF1243" s="10"/>
      <c r="AG1243" s="10"/>
      <c r="AH1243" s="10"/>
      <c r="AI1243" s="10"/>
    </row>
    <row r="1244" spans="28:35" ht="15" hidden="1" customHeight="1">
      <c r="AB1244" s="9"/>
      <c r="AC1244" s="9"/>
      <c r="AD1244" s="9"/>
      <c r="AF1244" s="10"/>
      <c r="AG1244" s="10"/>
      <c r="AH1244" s="10"/>
      <c r="AI1244" s="10"/>
    </row>
    <row r="1245" spans="28:35" ht="15" hidden="1" customHeight="1">
      <c r="AB1245" s="9"/>
      <c r="AC1245" s="9"/>
      <c r="AD1245" s="9"/>
      <c r="AF1245" s="10"/>
      <c r="AG1245" s="10"/>
      <c r="AH1245" s="10"/>
      <c r="AI1245" s="10"/>
    </row>
    <row r="1246" spans="28:35" ht="15" hidden="1" customHeight="1">
      <c r="AB1246" s="9"/>
      <c r="AC1246" s="9"/>
      <c r="AD1246" s="9"/>
      <c r="AF1246" s="10"/>
      <c r="AG1246" s="10"/>
      <c r="AH1246" s="10"/>
      <c r="AI1246" s="10"/>
    </row>
    <row r="1247" spans="28:35" ht="15" hidden="1" customHeight="1">
      <c r="AB1247" s="9"/>
      <c r="AC1247" s="9"/>
      <c r="AD1247" s="9"/>
      <c r="AF1247" s="10"/>
      <c r="AG1247" s="10"/>
      <c r="AH1247" s="10"/>
      <c r="AI1247" s="10"/>
    </row>
    <row r="1248" spans="28:35" ht="15" hidden="1" customHeight="1">
      <c r="AB1248" s="9"/>
      <c r="AC1248" s="9"/>
      <c r="AD1248" s="9"/>
      <c r="AF1248" s="10"/>
      <c r="AG1248" s="10"/>
      <c r="AH1248" s="10"/>
      <c r="AI1248" s="10"/>
    </row>
    <row r="1249" spans="28:35" ht="15" hidden="1" customHeight="1">
      <c r="AB1249" s="9"/>
      <c r="AC1249" s="9"/>
      <c r="AD1249" s="9"/>
      <c r="AF1249" s="10"/>
      <c r="AG1249" s="10"/>
      <c r="AH1249" s="10"/>
      <c r="AI1249" s="10"/>
    </row>
    <row r="1250" spans="28:35" ht="15" hidden="1" customHeight="1">
      <c r="AB1250" s="9"/>
      <c r="AC1250" s="9"/>
      <c r="AD1250" s="9"/>
      <c r="AF1250" s="10"/>
      <c r="AG1250" s="10"/>
      <c r="AH1250" s="10"/>
      <c r="AI1250" s="10"/>
    </row>
    <row r="1251" spans="28:35" ht="15" hidden="1" customHeight="1">
      <c r="AB1251" s="9"/>
      <c r="AC1251" s="9"/>
      <c r="AD1251" s="9"/>
      <c r="AF1251" s="10"/>
      <c r="AG1251" s="10"/>
      <c r="AH1251" s="10"/>
      <c r="AI1251" s="10"/>
    </row>
    <row r="1252" spans="28:35" ht="15" hidden="1" customHeight="1">
      <c r="AB1252" s="9"/>
      <c r="AC1252" s="9"/>
      <c r="AD1252" s="9"/>
      <c r="AF1252" s="10"/>
      <c r="AG1252" s="10"/>
      <c r="AH1252" s="10"/>
      <c r="AI1252" s="10"/>
    </row>
    <row r="1253" spans="28:35" ht="15" hidden="1" customHeight="1">
      <c r="AB1253" s="9"/>
      <c r="AC1253" s="9"/>
      <c r="AD1253" s="9"/>
      <c r="AF1253" s="10"/>
      <c r="AG1253" s="10"/>
      <c r="AH1253" s="10"/>
      <c r="AI1253" s="10"/>
    </row>
    <row r="1254" spans="28:35" ht="15" hidden="1" customHeight="1">
      <c r="AB1254" s="9"/>
      <c r="AC1254" s="9"/>
      <c r="AD1254" s="9"/>
      <c r="AF1254" s="10"/>
      <c r="AG1254" s="10"/>
      <c r="AH1254" s="10"/>
      <c r="AI1254" s="10"/>
    </row>
    <row r="1255" spans="28:35" ht="15" hidden="1" customHeight="1">
      <c r="AB1255" s="9"/>
      <c r="AC1255" s="9"/>
      <c r="AD1255" s="9"/>
      <c r="AF1255" s="10"/>
      <c r="AG1255" s="10"/>
      <c r="AH1255" s="10"/>
      <c r="AI1255" s="10"/>
    </row>
    <row r="1256" spans="28:35" ht="15" hidden="1" customHeight="1">
      <c r="AB1256" s="9"/>
      <c r="AC1256" s="9"/>
      <c r="AD1256" s="9"/>
      <c r="AF1256" s="10"/>
      <c r="AG1256" s="10"/>
      <c r="AH1256" s="10"/>
      <c r="AI1256" s="10"/>
    </row>
    <row r="1257" spans="28:35" ht="15" hidden="1" customHeight="1">
      <c r="AB1257" s="9"/>
      <c r="AC1257" s="9"/>
      <c r="AD1257" s="9"/>
      <c r="AF1257" s="10"/>
      <c r="AG1257" s="10"/>
      <c r="AH1257" s="10"/>
      <c r="AI1257" s="10"/>
    </row>
    <row r="1258" spans="28:35" ht="15" hidden="1" customHeight="1">
      <c r="AB1258" s="9"/>
      <c r="AC1258" s="9"/>
      <c r="AD1258" s="9"/>
      <c r="AF1258" s="10"/>
      <c r="AG1258" s="10"/>
      <c r="AH1258" s="10"/>
      <c r="AI1258" s="10"/>
    </row>
    <row r="1259" spans="28:35" ht="15" hidden="1" customHeight="1">
      <c r="AB1259" s="9"/>
      <c r="AC1259" s="9"/>
      <c r="AD1259" s="9"/>
      <c r="AF1259" s="10"/>
      <c r="AG1259" s="10"/>
      <c r="AH1259" s="10"/>
      <c r="AI1259" s="10"/>
    </row>
    <row r="1260" spans="28:35" ht="15" hidden="1" customHeight="1">
      <c r="AB1260" s="9"/>
      <c r="AC1260" s="9"/>
      <c r="AD1260" s="9"/>
      <c r="AF1260" s="10"/>
      <c r="AG1260" s="10"/>
      <c r="AH1260" s="10"/>
      <c r="AI1260" s="10"/>
    </row>
    <row r="1261" spans="28:35" ht="15" hidden="1" customHeight="1">
      <c r="AB1261" s="9"/>
      <c r="AC1261" s="9"/>
      <c r="AD1261" s="9"/>
      <c r="AF1261" s="10"/>
      <c r="AG1261" s="10"/>
      <c r="AH1261" s="10"/>
      <c r="AI1261" s="10"/>
    </row>
    <row r="1262" spans="28:35" ht="15" hidden="1" customHeight="1">
      <c r="AB1262" s="9"/>
      <c r="AC1262" s="9"/>
      <c r="AD1262" s="9"/>
      <c r="AF1262" s="10"/>
      <c r="AG1262" s="10"/>
      <c r="AH1262" s="10"/>
      <c r="AI1262" s="10"/>
    </row>
    <row r="1263" spans="28:35" ht="15" hidden="1" customHeight="1">
      <c r="AB1263" s="9"/>
      <c r="AC1263" s="9"/>
      <c r="AD1263" s="9"/>
      <c r="AF1263" s="10"/>
      <c r="AG1263" s="10"/>
      <c r="AH1263" s="10"/>
      <c r="AI1263" s="10"/>
    </row>
    <row r="1264" spans="28:35" ht="15" hidden="1" customHeight="1">
      <c r="AB1264" s="9"/>
      <c r="AC1264" s="9"/>
      <c r="AD1264" s="9"/>
      <c r="AF1264" s="10"/>
      <c r="AG1264" s="10"/>
      <c r="AH1264" s="10"/>
      <c r="AI1264" s="10"/>
    </row>
    <row r="1265" spans="28:35" ht="15" hidden="1" customHeight="1">
      <c r="AB1265" s="9"/>
      <c r="AC1265" s="9"/>
      <c r="AD1265" s="9"/>
      <c r="AF1265" s="10"/>
      <c r="AG1265" s="10"/>
      <c r="AH1265" s="10"/>
      <c r="AI1265" s="10"/>
    </row>
    <row r="1266" spans="28:35" ht="15" hidden="1" customHeight="1">
      <c r="AB1266" s="9"/>
      <c r="AC1266" s="9"/>
      <c r="AD1266" s="9"/>
      <c r="AF1266" s="10"/>
      <c r="AG1266" s="10"/>
      <c r="AH1266" s="10"/>
      <c r="AI1266" s="10"/>
    </row>
    <row r="1267" spans="28:35" ht="15" hidden="1" customHeight="1">
      <c r="AB1267" s="9"/>
      <c r="AC1267" s="9"/>
      <c r="AD1267" s="9"/>
      <c r="AF1267" s="10"/>
      <c r="AG1267" s="10"/>
      <c r="AH1267" s="10"/>
      <c r="AI1267" s="10"/>
    </row>
    <row r="1268" spans="28:35" ht="15" hidden="1" customHeight="1">
      <c r="AB1268" s="9"/>
      <c r="AC1268" s="9"/>
      <c r="AD1268" s="9"/>
      <c r="AF1268" s="10"/>
      <c r="AG1268" s="10"/>
      <c r="AH1268" s="10"/>
      <c r="AI1268" s="10"/>
    </row>
    <row r="1269" spans="28:35" ht="15" hidden="1" customHeight="1">
      <c r="AB1269" s="9"/>
      <c r="AC1269" s="9"/>
      <c r="AD1269" s="9"/>
      <c r="AF1269" s="10"/>
      <c r="AG1269" s="10"/>
      <c r="AH1269" s="10"/>
      <c r="AI1269" s="10"/>
    </row>
    <row r="1270" spans="28:35" ht="15" hidden="1" customHeight="1">
      <c r="AB1270" s="9"/>
      <c r="AC1270" s="9"/>
      <c r="AD1270" s="9"/>
      <c r="AF1270" s="10"/>
      <c r="AG1270" s="10"/>
      <c r="AH1270" s="10"/>
      <c r="AI1270" s="10"/>
    </row>
    <row r="1271" spans="28:35" ht="15" hidden="1" customHeight="1">
      <c r="AB1271" s="9"/>
      <c r="AC1271" s="9"/>
      <c r="AD1271" s="9"/>
      <c r="AF1271" s="10"/>
      <c r="AG1271" s="10"/>
      <c r="AH1271" s="10"/>
      <c r="AI1271" s="10"/>
    </row>
    <row r="1272" spans="28:35" ht="15" hidden="1" customHeight="1">
      <c r="AB1272" s="9"/>
      <c r="AC1272" s="9"/>
      <c r="AD1272" s="9"/>
      <c r="AF1272" s="10"/>
      <c r="AG1272" s="10"/>
      <c r="AH1272" s="10"/>
      <c r="AI1272" s="10"/>
    </row>
    <row r="1273" spans="28:35" ht="15" hidden="1" customHeight="1">
      <c r="AB1273" s="9"/>
      <c r="AC1273" s="9"/>
      <c r="AD1273" s="9"/>
      <c r="AF1273" s="10"/>
      <c r="AG1273" s="10"/>
      <c r="AH1273" s="10"/>
      <c r="AI1273" s="10"/>
    </row>
    <row r="1274" spans="28:35" ht="15" hidden="1" customHeight="1">
      <c r="AB1274" s="9"/>
      <c r="AC1274" s="9"/>
      <c r="AD1274" s="9"/>
      <c r="AF1274" s="10"/>
      <c r="AG1274" s="10"/>
      <c r="AH1274" s="10"/>
      <c r="AI1274" s="10"/>
    </row>
    <row r="1275" spans="28:35" ht="15" hidden="1" customHeight="1">
      <c r="AB1275" s="9"/>
      <c r="AC1275" s="9"/>
      <c r="AD1275" s="9"/>
      <c r="AF1275" s="10"/>
      <c r="AG1275" s="10"/>
      <c r="AH1275" s="10"/>
      <c r="AI1275" s="10"/>
    </row>
    <row r="1276" spans="28:35" ht="15" hidden="1" customHeight="1">
      <c r="AB1276" s="9"/>
      <c r="AC1276" s="9"/>
      <c r="AD1276" s="9"/>
      <c r="AF1276" s="10"/>
      <c r="AG1276" s="10"/>
      <c r="AH1276" s="10"/>
      <c r="AI1276" s="10"/>
    </row>
    <row r="1277" spans="28:35" ht="15" hidden="1" customHeight="1">
      <c r="AB1277" s="9"/>
      <c r="AC1277" s="9"/>
      <c r="AD1277" s="9"/>
      <c r="AF1277" s="10"/>
      <c r="AG1277" s="10"/>
      <c r="AH1277" s="10"/>
      <c r="AI1277" s="10"/>
    </row>
    <row r="1278" spans="28:35" ht="15" hidden="1" customHeight="1">
      <c r="AB1278" s="9"/>
      <c r="AC1278" s="9"/>
      <c r="AD1278" s="9"/>
      <c r="AF1278" s="10"/>
      <c r="AG1278" s="10"/>
      <c r="AH1278" s="10"/>
      <c r="AI1278" s="10"/>
    </row>
    <row r="1279" spans="28:35" ht="15" hidden="1" customHeight="1">
      <c r="AB1279" s="9"/>
      <c r="AC1279" s="9"/>
      <c r="AD1279" s="9"/>
      <c r="AF1279" s="10"/>
      <c r="AG1279" s="10"/>
      <c r="AH1279" s="10"/>
      <c r="AI1279" s="10"/>
    </row>
    <row r="1280" spans="28:35" ht="15" hidden="1" customHeight="1">
      <c r="AB1280" s="9"/>
      <c r="AC1280" s="9"/>
      <c r="AD1280" s="9"/>
      <c r="AF1280" s="10"/>
      <c r="AG1280" s="10"/>
      <c r="AH1280" s="10"/>
      <c r="AI1280" s="10"/>
    </row>
    <row r="1281" spans="28:35" ht="15" hidden="1" customHeight="1">
      <c r="AB1281" s="9"/>
      <c r="AC1281" s="9"/>
      <c r="AD1281" s="9"/>
      <c r="AF1281" s="10"/>
      <c r="AG1281" s="10"/>
      <c r="AH1281" s="10"/>
      <c r="AI1281" s="10"/>
    </row>
    <row r="1282" spans="28:35" ht="15" hidden="1" customHeight="1">
      <c r="AB1282" s="9"/>
      <c r="AC1282" s="9"/>
      <c r="AD1282" s="9"/>
      <c r="AF1282" s="10"/>
      <c r="AG1282" s="10"/>
      <c r="AH1282" s="10"/>
      <c r="AI1282" s="10"/>
    </row>
    <row r="1283" spans="28:35" ht="15" hidden="1" customHeight="1">
      <c r="AB1283" s="9"/>
      <c r="AC1283" s="9"/>
      <c r="AD1283" s="9"/>
      <c r="AF1283" s="10"/>
      <c r="AG1283" s="10"/>
      <c r="AH1283" s="10"/>
      <c r="AI1283" s="10"/>
    </row>
    <row r="1284" spans="28:35" ht="15" hidden="1" customHeight="1">
      <c r="AB1284" s="9"/>
      <c r="AC1284" s="9"/>
      <c r="AD1284" s="9"/>
      <c r="AF1284" s="10"/>
      <c r="AG1284" s="10"/>
      <c r="AH1284" s="10"/>
      <c r="AI1284" s="10"/>
    </row>
    <row r="1285" spans="28:35" ht="15" hidden="1" customHeight="1">
      <c r="AB1285" s="9"/>
      <c r="AC1285" s="9"/>
      <c r="AD1285" s="9"/>
      <c r="AF1285" s="10"/>
      <c r="AG1285" s="10"/>
      <c r="AH1285" s="10"/>
      <c r="AI1285" s="10"/>
    </row>
    <row r="1286" spans="28:35" ht="15" hidden="1" customHeight="1">
      <c r="AB1286" s="9"/>
      <c r="AC1286" s="9"/>
      <c r="AD1286" s="9"/>
      <c r="AF1286" s="10"/>
      <c r="AG1286" s="10"/>
      <c r="AH1286" s="10"/>
      <c r="AI1286" s="10"/>
    </row>
    <row r="1287" spans="28:35" ht="15" hidden="1" customHeight="1">
      <c r="AB1287" s="9"/>
      <c r="AC1287" s="9"/>
      <c r="AD1287" s="9"/>
      <c r="AF1287" s="10"/>
      <c r="AG1287" s="10"/>
      <c r="AH1287" s="10"/>
      <c r="AI1287" s="10"/>
    </row>
    <row r="1288" spans="28:35" ht="15" hidden="1" customHeight="1">
      <c r="AB1288" s="9"/>
      <c r="AC1288" s="9"/>
      <c r="AD1288" s="9"/>
      <c r="AF1288" s="10"/>
      <c r="AG1288" s="10"/>
      <c r="AH1288" s="10"/>
      <c r="AI1288" s="10"/>
    </row>
    <row r="1289" spans="28:35" ht="15" hidden="1" customHeight="1">
      <c r="AB1289" s="9"/>
      <c r="AC1289" s="9"/>
      <c r="AD1289" s="9"/>
      <c r="AF1289" s="10"/>
      <c r="AG1289" s="10"/>
      <c r="AH1289" s="10"/>
      <c r="AI1289" s="10"/>
    </row>
    <row r="1290" spans="28:35" ht="15" hidden="1" customHeight="1">
      <c r="AB1290" s="9"/>
      <c r="AC1290" s="9"/>
      <c r="AD1290" s="9"/>
      <c r="AF1290" s="10"/>
      <c r="AG1290" s="10"/>
      <c r="AH1290" s="10"/>
      <c r="AI1290" s="10"/>
    </row>
    <row r="1291" spans="28:35" ht="15" hidden="1" customHeight="1">
      <c r="AB1291" s="9"/>
      <c r="AC1291" s="9"/>
      <c r="AD1291" s="9"/>
      <c r="AF1291" s="10"/>
      <c r="AG1291" s="10"/>
      <c r="AH1291" s="10"/>
      <c r="AI1291" s="10"/>
    </row>
    <row r="1292" spans="28:35" ht="15" hidden="1" customHeight="1">
      <c r="AB1292" s="9"/>
      <c r="AC1292" s="9"/>
      <c r="AD1292" s="9"/>
      <c r="AF1292" s="10"/>
      <c r="AG1292" s="10"/>
      <c r="AH1292" s="10"/>
      <c r="AI1292" s="10"/>
    </row>
    <row r="1293" spans="28:35" ht="15" hidden="1" customHeight="1">
      <c r="AB1293" s="9"/>
      <c r="AC1293" s="9"/>
      <c r="AD1293" s="9"/>
      <c r="AF1293" s="10"/>
      <c r="AG1293" s="10"/>
      <c r="AH1293" s="10"/>
      <c r="AI1293" s="10"/>
    </row>
    <row r="1294" spans="28:35" ht="15" hidden="1" customHeight="1">
      <c r="AB1294" s="9"/>
      <c r="AC1294" s="9"/>
      <c r="AD1294" s="9"/>
      <c r="AF1294" s="10"/>
      <c r="AG1294" s="10"/>
      <c r="AH1294" s="10"/>
      <c r="AI1294" s="10"/>
    </row>
    <row r="1295" spans="28:35" ht="15" hidden="1" customHeight="1">
      <c r="AB1295" s="9"/>
      <c r="AC1295" s="9"/>
      <c r="AD1295" s="9"/>
      <c r="AF1295" s="10"/>
      <c r="AG1295" s="10"/>
      <c r="AH1295" s="10"/>
      <c r="AI1295" s="10"/>
    </row>
    <row r="1296" spans="28:35" ht="15" hidden="1" customHeight="1">
      <c r="AB1296" s="9"/>
      <c r="AC1296" s="9"/>
      <c r="AD1296" s="9"/>
      <c r="AF1296" s="10"/>
      <c r="AG1296" s="10"/>
      <c r="AH1296" s="10"/>
      <c r="AI1296" s="10"/>
    </row>
    <row r="1297" spans="28:35" ht="15" hidden="1" customHeight="1">
      <c r="AB1297" s="9"/>
      <c r="AC1297" s="9"/>
      <c r="AD1297" s="9"/>
      <c r="AF1297" s="10"/>
      <c r="AG1297" s="10"/>
      <c r="AH1297" s="10"/>
      <c r="AI1297" s="10"/>
    </row>
    <row r="1298" spans="28:35" ht="15" hidden="1" customHeight="1">
      <c r="AB1298" s="9"/>
      <c r="AC1298" s="9"/>
      <c r="AD1298" s="9"/>
      <c r="AF1298" s="10"/>
      <c r="AG1298" s="10"/>
      <c r="AH1298" s="10"/>
      <c r="AI1298" s="10"/>
    </row>
    <row r="1299" spans="28:35" ht="15" hidden="1" customHeight="1">
      <c r="AB1299" s="9"/>
      <c r="AC1299" s="9"/>
      <c r="AD1299" s="9"/>
      <c r="AF1299" s="10"/>
      <c r="AG1299" s="10"/>
      <c r="AH1299" s="10"/>
      <c r="AI1299" s="10"/>
    </row>
    <row r="1300" spans="28:35" ht="15" hidden="1" customHeight="1">
      <c r="AB1300" s="9"/>
      <c r="AC1300" s="9"/>
      <c r="AD1300" s="9"/>
      <c r="AF1300" s="10"/>
      <c r="AG1300" s="10"/>
      <c r="AH1300" s="10"/>
      <c r="AI1300" s="10"/>
    </row>
    <row r="1301" spans="28:35" ht="15" hidden="1" customHeight="1">
      <c r="AB1301" s="9"/>
      <c r="AC1301" s="9"/>
      <c r="AD1301" s="9"/>
      <c r="AF1301" s="10"/>
      <c r="AG1301" s="10"/>
      <c r="AH1301" s="10"/>
      <c r="AI1301" s="10"/>
    </row>
    <row r="1302" spans="28:35" ht="15" hidden="1" customHeight="1">
      <c r="AB1302" s="9"/>
      <c r="AC1302" s="9"/>
      <c r="AD1302" s="9"/>
      <c r="AF1302" s="10"/>
      <c r="AG1302" s="10"/>
      <c r="AH1302" s="10"/>
      <c r="AI1302" s="10"/>
    </row>
    <row r="1303" spans="28:35" ht="15" hidden="1" customHeight="1">
      <c r="AB1303" s="9"/>
      <c r="AC1303" s="9"/>
      <c r="AD1303" s="9"/>
      <c r="AF1303" s="10"/>
      <c r="AG1303" s="10"/>
      <c r="AH1303" s="10"/>
      <c r="AI1303" s="10"/>
    </row>
    <row r="1304" spans="28:35" ht="15" hidden="1" customHeight="1">
      <c r="AB1304" s="9"/>
      <c r="AC1304" s="9"/>
      <c r="AD1304" s="9"/>
      <c r="AF1304" s="10"/>
      <c r="AG1304" s="10"/>
      <c r="AH1304" s="10"/>
      <c r="AI1304" s="10"/>
    </row>
    <row r="1305" spans="28:35" ht="15" hidden="1" customHeight="1">
      <c r="AB1305" s="9"/>
      <c r="AC1305" s="9"/>
      <c r="AD1305" s="9"/>
      <c r="AF1305" s="10"/>
      <c r="AG1305" s="10"/>
      <c r="AH1305" s="10"/>
      <c r="AI1305" s="10"/>
    </row>
    <row r="1306" spans="28:35" ht="15" hidden="1" customHeight="1">
      <c r="AB1306" s="9"/>
      <c r="AC1306" s="9"/>
      <c r="AD1306" s="9"/>
      <c r="AF1306" s="10"/>
      <c r="AG1306" s="10"/>
      <c r="AH1306" s="10"/>
      <c r="AI1306" s="10"/>
    </row>
    <row r="1307" spans="28:35" ht="15" hidden="1" customHeight="1">
      <c r="AB1307" s="9"/>
      <c r="AC1307" s="9"/>
      <c r="AD1307" s="9"/>
      <c r="AF1307" s="10"/>
      <c r="AG1307" s="10"/>
      <c r="AH1307" s="10"/>
      <c r="AI1307" s="10"/>
    </row>
    <row r="1308" spans="28:35" ht="15" hidden="1" customHeight="1">
      <c r="AB1308" s="9"/>
      <c r="AC1308" s="9"/>
      <c r="AD1308" s="9"/>
      <c r="AF1308" s="10"/>
      <c r="AG1308" s="10"/>
      <c r="AH1308" s="10"/>
      <c r="AI1308" s="10"/>
    </row>
    <row r="1309" spans="28:35" ht="15" hidden="1" customHeight="1">
      <c r="AB1309" s="9"/>
      <c r="AC1309" s="9"/>
      <c r="AD1309" s="9"/>
      <c r="AF1309" s="10"/>
      <c r="AG1309" s="10"/>
      <c r="AH1309" s="10"/>
      <c r="AI1309" s="10"/>
    </row>
    <row r="1310" spans="28:35" ht="15" hidden="1" customHeight="1">
      <c r="AB1310" s="9"/>
      <c r="AC1310" s="9"/>
      <c r="AD1310" s="9"/>
      <c r="AF1310" s="10"/>
      <c r="AG1310" s="10"/>
      <c r="AH1310" s="10"/>
      <c r="AI1310" s="10"/>
    </row>
    <row r="1311" spans="28:35" ht="15" hidden="1" customHeight="1">
      <c r="AB1311" s="9"/>
      <c r="AC1311" s="9"/>
      <c r="AD1311" s="9"/>
      <c r="AF1311" s="10"/>
      <c r="AG1311" s="10"/>
      <c r="AH1311" s="10"/>
      <c r="AI1311" s="10"/>
    </row>
    <row r="1312" spans="28:35" ht="15" hidden="1" customHeight="1">
      <c r="AB1312" s="9"/>
      <c r="AC1312" s="9"/>
      <c r="AD1312" s="9"/>
      <c r="AF1312" s="10"/>
      <c r="AG1312" s="10"/>
      <c r="AH1312" s="10"/>
      <c r="AI1312" s="10"/>
    </row>
    <row r="1313" spans="28:35" ht="15" hidden="1" customHeight="1">
      <c r="AB1313" s="9"/>
      <c r="AC1313" s="9"/>
      <c r="AD1313" s="9"/>
      <c r="AF1313" s="10"/>
      <c r="AG1313" s="10"/>
      <c r="AH1313" s="10"/>
      <c r="AI1313" s="10"/>
    </row>
    <row r="1314" spans="28:35" ht="15" hidden="1" customHeight="1">
      <c r="AB1314" s="9"/>
      <c r="AC1314" s="9"/>
      <c r="AD1314" s="9"/>
      <c r="AF1314" s="10"/>
      <c r="AG1314" s="10"/>
      <c r="AH1314" s="10"/>
      <c r="AI1314" s="10"/>
    </row>
    <row r="1315" spans="28:35" ht="15" hidden="1" customHeight="1">
      <c r="AB1315" s="9"/>
      <c r="AC1315" s="9"/>
      <c r="AD1315" s="9"/>
      <c r="AF1315" s="10"/>
      <c r="AG1315" s="10"/>
      <c r="AH1315" s="10"/>
      <c r="AI1315" s="10"/>
    </row>
    <row r="1316" spans="28:35" ht="15" hidden="1" customHeight="1">
      <c r="AB1316" s="9"/>
      <c r="AC1316" s="9"/>
      <c r="AD1316" s="9"/>
      <c r="AF1316" s="10"/>
      <c r="AG1316" s="10"/>
      <c r="AH1316" s="10"/>
      <c r="AI1316" s="10"/>
    </row>
    <row r="1317" spans="28:35" ht="15" hidden="1" customHeight="1">
      <c r="AB1317" s="9"/>
      <c r="AC1317" s="9"/>
      <c r="AD1317" s="9"/>
      <c r="AF1317" s="10"/>
      <c r="AG1317" s="10"/>
      <c r="AH1317" s="10"/>
      <c r="AI1317" s="10"/>
    </row>
    <row r="1318" spans="28:35" ht="15" hidden="1" customHeight="1">
      <c r="AB1318" s="9"/>
      <c r="AC1318" s="9"/>
      <c r="AD1318" s="9"/>
      <c r="AF1318" s="10"/>
      <c r="AG1318" s="10"/>
      <c r="AH1318" s="10"/>
      <c r="AI1318" s="10"/>
    </row>
    <row r="1319" spans="28:35" ht="15" hidden="1" customHeight="1">
      <c r="AB1319" s="9"/>
      <c r="AC1319" s="9"/>
      <c r="AD1319" s="9"/>
      <c r="AF1319" s="10"/>
      <c r="AG1319" s="10"/>
      <c r="AH1319" s="10"/>
      <c r="AI1319" s="10"/>
    </row>
    <row r="1320" spans="28:35" ht="15" hidden="1" customHeight="1">
      <c r="AB1320" s="9"/>
      <c r="AC1320" s="9"/>
      <c r="AD1320" s="9"/>
      <c r="AF1320" s="10"/>
      <c r="AG1320" s="10"/>
      <c r="AH1320" s="10"/>
      <c r="AI1320" s="10"/>
    </row>
    <row r="1321" spans="28:35" ht="15" hidden="1" customHeight="1">
      <c r="AB1321" s="9"/>
      <c r="AC1321" s="9"/>
      <c r="AD1321" s="9"/>
      <c r="AF1321" s="10"/>
      <c r="AG1321" s="10"/>
      <c r="AH1321" s="10"/>
      <c r="AI1321" s="10"/>
    </row>
    <row r="1322" spans="28:35" ht="15" hidden="1" customHeight="1">
      <c r="AB1322" s="9"/>
      <c r="AC1322" s="9"/>
      <c r="AD1322" s="9"/>
      <c r="AF1322" s="10"/>
      <c r="AG1322" s="10"/>
      <c r="AH1322" s="10"/>
      <c r="AI1322" s="10"/>
    </row>
    <row r="1323" spans="28:35" ht="15" hidden="1" customHeight="1">
      <c r="AB1323" s="9"/>
      <c r="AC1323" s="9"/>
      <c r="AD1323" s="9"/>
      <c r="AF1323" s="10"/>
      <c r="AG1323" s="10"/>
      <c r="AH1323" s="10"/>
      <c r="AI1323" s="10"/>
    </row>
    <row r="1324" spans="28:35" ht="15" hidden="1" customHeight="1">
      <c r="AB1324" s="9"/>
      <c r="AC1324" s="9"/>
      <c r="AD1324" s="9"/>
      <c r="AF1324" s="10"/>
      <c r="AG1324" s="10"/>
      <c r="AH1324" s="10"/>
      <c r="AI1324" s="10"/>
    </row>
    <row r="1325" spans="28:35" ht="15" hidden="1" customHeight="1">
      <c r="AB1325" s="9"/>
      <c r="AC1325" s="9"/>
      <c r="AD1325" s="9"/>
      <c r="AF1325" s="10"/>
      <c r="AG1325" s="10"/>
      <c r="AH1325" s="10"/>
      <c r="AI1325" s="10"/>
    </row>
    <row r="1326" spans="28:35" ht="15" hidden="1" customHeight="1">
      <c r="AB1326" s="9"/>
      <c r="AC1326" s="9"/>
      <c r="AD1326" s="9"/>
      <c r="AF1326" s="10"/>
      <c r="AG1326" s="10"/>
      <c r="AH1326" s="10"/>
      <c r="AI1326" s="10"/>
    </row>
    <row r="1327" spans="28:35" ht="15" hidden="1" customHeight="1">
      <c r="AB1327" s="9"/>
      <c r="AC1327" s="9"/>
      <c r="AD1327" s="9"/>
      <c r="AF1327" s="10"/>
      <c r="AG1327" s="10"/>
      <c r="AH1327" s="10"/>
      <c r="AI1327" s="10"/>
    </row>
    <row r="1328" spans="28:35" ht="15" hidden="1" customHeight="1">
      <c r="AB1328" s="9"/>
      <c r="AC1328" s="9"/>
      <c r="AD1328" s="9"/>
      <c r="AF1328" s="10"/>
      <c r="AG1328" s="10"/>
      <c r="AH1328" s="10"/>
      <c r="AI1328" s="10"/>
    </row>
    <row r="1329" spans="28:35" ht="15" hidden="1" customHeight="1">
      <c r="AB1329" s="9"/>
      <c r="AC1329" s="9"/>
      <c r="AD1329" s="9"/>
      <c r="AF1329" s="10"/>
      <c r="AG1329" s="10"/>
      <c r="AH1329" s="10"/>
      <c r="AI1329" s="10"/>
    </row>
    <row r="1330" spans="28:35" ht="15" hidden="1" customHeight="1">
      <c r="AB1330" s="9"/>
      <c r="AC1330" s="9"/>
      <c r="AD1330" s="9"/>
      <c r="AF1330" s="10"/>
      <c r="AG1330" s="10"/>
      <c r="AH1330" s="10"/>
      <c r="AI1330" s="10"/>
    </row>
    <row r="1331" spans="28:35" ht="15" hidden="1" customHeight="1">
      <c r="AB1331" s="9"/>
      <c r="AC1331" s="9"/>
      <c r="AD1331" s="9"/>
      <c r="AF1331" s="10"/>
      <c r="AG1331" s="10"/>
      <c r="AH1331" s="10"/>
      <c r="AI1331" s="10"/>
    </row>
    <row r="1332" spans="28:35" ht="15" hidden="1" customHeight="1">
      <c r="AB1332" s="9"/>
      <c r="AC1332" s="9"/>
      <c r="AD1332" s="9"/>
      <c r="AF1332" s="10"/>
      <c r="AG1332" s="10"/>
      <c r="AH1332" s="10"/>
      <c r="AI1332" s="10"/>
    </row>
    <row r="1333" spans="28:35" ht="15" hidden="1" customHeight="1">
      <c r="AB1333" s="9"/>
      <c r="AC1333" s="9"/>
      <c r="AD1333" s="9"/>
      <c r="AF1333" s="10"/>
      <c r="AG1333" s="10"/>
      <c r="AH1333" s="10"/>
      <c r="AI1333" s="10"/>
    </row>
    <row r="1334" spans="28:35" ht="15" hidden="1" customHeight="1">
      <c r="AB1334" s="9"/>
      <c r="AC1334" s="9"/>
      <c r="AD1334" s="9"/>
      <c r="AF1334" s="10"/>
      <c r="AG1334" s="10"/>
      <c r="AH1334" s="10"/>
      <c r="AI1334" s="10"/>
    </row>
    <row r="1335" spans="28:35" ht="15" hidden="1" customHeight="1">
      <c r="AB1335" s="9"/>
      <c r="AC1335" s="9"/>
      <c r="AD1335" s="9"/>
      <c r="AF1335" s="10"/>
      <c r="AG1335" s="10"/>
      <c r="AH1335" s="10"/>
      <c r="AI1335" s="10"/>
    </row>
    <row r="1336" spans="28:35" ht="15" hidden="1" customHeight="1">
      <c r="AB1336" s="9"/>
      <c r="AC1336" s="9"/>
      <c r="AD1336" s="9"/>
      <c r="AF1336" s="10"/>
      <c r="AG1336" s="10"/>
      <c r="AH1336" s="10"/>
      <c r="AI1336" s="10"/>
    </row>
    <row r="1337" spans="28:35" ht="15" hidden="1" customHeight="1">
      <c r="AB1337" s="9"/>
      <c r="AC1337" s="9"/>
      <c r="AD1337" s="9"/>
      <c r="AF1337" s="10"/>
      <c r="AG1337" s="10"/>
      <c r="AH1337" s="10"/>
      <c r="AI1337" s="10"/>
    </row>
    <row r="1338" spans="28:35" ht="15" hidden="1" customHeight="1">
      <c r="AB1338" s="9"/>
      <c r="AC1338" s="9"/>
      <c r="AD1338" s="9"/>
      <c r="AF1338" s="10"/>
      <c r="AG1338" s="10"/>
      <c r="AH1338" s="10"/>
      <c r="AI1338" s="10"/>
    </row>
    <row r="1339" spans="28:35" ht="15" hidden="1" customHeight="1">
      <c r="AB1339" s="9"/>
      <c r="AC1339" s="9"/>
      <c r="AD1339" s="9"/>
      <c r="AF1339" s="10"/>
      <c r="AG1339" s="10"/>
      <c r="AH1339" s="10"/>
      <c r="AI1339" s="10"/>
    </row>
    <row r="1340" spans="28:35" ht="15" hidden="1" customHeight="1">
      <c r="AB1340" s="9"/>
      <c r="AC1340" s="9"/>
      <c r="AD1340" s="9"/>
      <c r="AF1340" s="10"/>
      <c r="AG1340" s="10"/>
      <c r="AH1340" s="10"/>
      <c r="AI1340" s="10"/>
    </row>
    <row r="1341" spans="28:35" ht="15" hidden="1" customHeight="1">
      <c r="AB1341" s="9"/>
      <c r="AC1341" s="9"/>
      <c r="AD1341" s="9"/>
      <c r="AF1341" s="10"/>
      <c r="AG1341" s="10"/>
      <c r="AH1341" s="10"/>
      <c r="AI1341" s="10"/>
    </row>
    <row r="1342" spans="28:35" ht="15" hidden="1" customHeight="1">
      <c r="AB1342" s="9"/>
      <c r="AC1342" s="9"/>
      <c r="AD1342" s="9"/>
      <c r="AF1342" s="10"/>
      <c r="AG1342" s="10"/>
      <c r="AH1342" s="10"/>
      <c r="AI1342" s="10"/>
    </row>
    <row r="1343" spans="28:35" ht="15" hidden="1" customHeight="1">
      <c r="AB1343" s="9"/>
      <c r="AC1343" s="9"/>
      <c r="AD1343" s="9"/>
      <c r="AF1343" s="10"/>
      <c r="AG1343" s="10"/>
      <c r="AH1343" s="10"/>
      <c r="AI1343" s="10"/>
    </row>
    <row r="1344" spans="28:35" ht="15" hidden="1" customHeight="1">
      <c r="AB1344" s="9"/>
      <c r="AC1344" s="9"/>
      <c r="AD1344" s="9"/>
      <c r="AF1344" s="10"/>
      <c r="AG1344" s="10"/>
      <c r="AH1344" s="10"/>
      <c r="AI1344" s="10"/>
    </row>
    <row r="1345" spans="28:35" ht="15" hidden="1" customHeight="1">
      <c r="AB1345" s="9"/>
      <c r="AC1345" s="9"/>
      <c r="AD1345" s="9"/>
      <c r="AF1345" s="10"/>
      <c r="AG1345" s="10"/>
      <c r="AH1345" s="10"/>
      <c r="AI1345" s="10"/>
    </row>
    <row r="1346" spans="28:35" ht="15" hidden="1" customHeight="1">
      <c r="AB1346" s="9"/>
      <c r="AC1346" s="9"/>
      <c r="AD1346" s="9"/>
      <c r="AF1346" s="10"/>
      <c r="AG1346" s="10"/>
      <c r="AH1346" s="10"/>
      <c r="AI1346" s="10"/>
    </row>
    <row r="1347" spans="28:35" ht="15" hidden="1" customHeight="1">
      <c r="AB1347" s="9"/>
      <c r="AC1347" s="9"/>
      <c r="AD1347" s="9"/>
      <c r="AF1347" s="10"/>
      <c r="AG1347" s="10"/>
      <c r="AH1347" s="10"/>
      <c r="AI1347" s="10"/>
    </row>
    <row r="1348" spans="28:35" ht="15" hidden="1" customHeight="1">
      <c r="AB1348" s="9"/>
      <c r="AC1348" s="9"/>
      <c r="AD1348" s="9"/>
      <c r="AF1348" s="10"/>
      <c r="AG1348" s="10"/>
      <c r="AH1348" s="10"/>
      <c r="AI1348" s="10"/>
    </row>
    <row r="1349" spans="28:35" ht="15" hidden="1" customHeight="1">
      <c r="AB1349" s="9"/>
      <c r="AC1349" s="9"/>
      <c r="AD1349" s="9"/>
      <c r="AF1349" s="10"/>
      <c r="AG1349" s="10"/>
      <c r="AH1349" s="10"/>
      <c r="AI1349" s="10"/>
    </row>
    <row r="1350" spans="28:35" ht="15" hidden="1" customHeight="1">
      <c r="AB1350" s="9"/>
      <c r="AC1350" s="9"/>
      <c r="AD1350" s="9"/>
      <c r="AF1350" s="10"/>
      <c r="AG1350" s="10"/>
      <c r="AH1350" s="10"/>
      <c r="AI1350" s="10"/>
    </row>
    <row r="1351" spans="28:35" ht="15" hidden="1" customHeight="1">
      <c r="AB1351" s="9"/>
      <c r="AC1351" s="9"/>
      <c r="AD1351" s="9"/>
      <c r="AF1351" s="10"/>
      <c r="AG1351" s="10"/>
      <c r="AH1351" s="10"/>
      <c r="AI1351" s="10"/>
    </row>
    <row r="1352" spans="28:35" ht="15" hidden="1" customHeight="1">
      <c r="AB1352" s="9"/>
      <c r="AC1352" s="9"/>
      <c r="AD1352" s="9"/>
      <c r="AF1352" s="10"/>
      <c r="AG1352" s="10"/>
      <c r="AH1352" s="10"/>
      <c r="AI1352" s="10"/>
    </row>
    <row r="1353" spans="28:35" ht="15" hidden="1" customHeight="1">
      <c r="AB1353" s="9"/>
      <c r="AC1353" s="9"/>
      <c r="AD1353" s="9"/>
      <c r="AF1353" s="10"/>
      <c r="AG1353" s="10"/>
      <c r="AH1353" s="10"/>
      <c r="AI1353" s="10"/>
    </row>
    <row r="1354" spans="28:35" ht="15" hidden="1" customHeight="1">
      <c r="AB1354" s="9"/>
      <c r="AC1354" s="9"/>
      <c r="AD1354" s="9"/>
      <c r="AF1354" s="10"/>
      <c r="AG1354" s="10"/>
      <c r="AH1354" s="10"/>
      <c r="AI1354" s="10"/>
    </row>
    <row r="1355" spans="28:35" ht="15" hidden="1" customHeight="1">
      <c r="AB1355" s="9"/>
      <c r="AC1355" s="9"/>
      <c r="AD1355" s="9"/>
      <c r="AF1355" s="10"/>
      <c r="AG1355" s="10"/>
      <c r="AH1355" s="10"/>
      <c r="AI1355" s="10"/>
    </row>
    <row r="1356" spans="28:35" ht="15" hidden="1" customHeight="1">
      <c r="AB1356" s="9"/>
      <c r="AC1356" s="9"/>
      <c r="AD1356" s="9"/>
      <c r="AF1356" s="10"/>
      <c r="AG1356" s="10"/>
      <c r="AH1356" s="10"/>
      <c r="AI1356" s="10"/>
    </row>
    <row r="1357" spans="28:35" ht="15" hidden="1" customHeight="1">
      <c r="AB1357" s="9"/>
      <c r="AC1357" s="9"/>
      <c r="AD1357" s="9"/>
      <c r="AF1357" s="10"/>
      <c r="AG1357" s="10"/>
      <c r="AH1357" s="10"/>
      <c r="AI1357" s="10"/>
    </row>
    <row r="1358" spans="28:35" ht="15" hidden="1" customHeight="1">
      <c r="AB1358" s="9"/>
      <c r="AC1358" s="9"/>
      <c r="AD1358" s="9"/>
      <c r="AF1358" s="10"/>
      <c r="AG1358" s="10"/>
      <c r="AH1358" s="10"/>
      <c r="AI1358" s="10"/>
    </row>
    <row r="1359" spans="28:35" ht="15" hidden="1" customHeight="1">
      <c r="AB1359" s="9"/>
      <c r="AC1359" s="9"/>
      <c r="AD1359" s="9"/>
      <c r="AF1359" s="10"/>
      <c r="AG1359" s="10"/>
      <c r="AH1359" s="10"/>
      <c r="AI1359" s="10"/>
    </row>
    <row r="1360" spans="28:35" ht="15" hidden="1" customHeight="1">
      <c r="AB1360" s="9"/>
      <c r="AC1360" s="9"/>
      <c r="AD1360" s="9"/>
      <c r="AF1360" s="10"/>
      <c r="AG1360" s="10"/>
      <c r="AH1360" s="10"/>
      <c r="AI1360" s="10"/>
    </row>
    <row r="1361" spans="28:35" ht="15" hidden="1" customHeight="1">
      <c r="AB1361" s="9"/>
      <c r="AC1361" s="9"/>
      <c r="AD1361" s="9"/>
      <c r="AF1361" s="10"/>
      <c r="AG1361" s="10"/>
      <c r="AH1361" s="10"/>
      <c r="AI1361" s="10"/>
    </row>
    <row r="1362" spans="28:35" ht="15" hidden="1" customHeight="1">
      <c r="AB1362" s="9"/>
      <c r="AC1362" s="9"/>
      <c r="AD1362" s="9"/>
      <c r="AF1362" s="10"/>
      <c r="AG1362" s="10"/>
      <c r="AH1362" s="10"/>
      <c r="AI1362" s="10"/>
    </row>
    <row r="1363" spans="28:35" ht="15" hidden="1" customHeight="1">
      <c r="AB1363" s="9"/>
      <c r="AC1363" s="9"/>
      <c r="AD1363" s="9"/>
      <c r="AF1363" s="10"/>
      <c r="AG1363" s="10"/>
      <c r="AH1363" s="10"/>
      <c r="AI1363" s="10"/>
    </row>
    <row r="1364" spans="28:35" ht="15" hidden="1" customHeight="1">
      <c r="AB1364" s="9"/>
      <c r="AC1364" s="9"/>
      <c r="AD1364" s="9"/>
      <c r="AF1364" s="10"/>
      <c r="AG1364" s="10"/>
      <c r="AH1364" s="10"/>
      <c r="AI1364" s="10"/>
    </row>
    <row r="1365" spans="28:35" ht="15" hidden="1" customHeight="1">
      <c r="AB1365" s="9"/>
      <c r="AC1365" s="9"/>
      <c r="AD1365" s="9"/>
      <c r="AF1365" s="10"/>
      <c r="AG1365" s="10"/>
      <c r="AH1365" s="10"/>
      <c r="AI1365" s="10"/>
    </row>
    <row r="1366" spans="28:35" ht="15" hidden="1" customHeight="1">
      <c r="AB1366" s="9"/>
      <c r="AC1366" s="9"/>
      <c r="AD1366" s="9"/>
      <c r="AF1366" s="10"/>
      <c r="AG1366" s="10"/>
      <c r="AH1366" s="10"/>
      <c r="AI1366" s="10"/>
    </row>
    <row r="1367" spans="28:35" ht="15" hidden="1" customHeight="1">
      <c r="AB1367" s="9"/>
      <c r="AC1367" s="9"/>
      <c r="AD1367" s="9"/>
      <c r="AF1367" s="10"/>
      <c r="AG1367" s="10"/>
      <c r="AH1367" s="10"/>
      <c r="AI1367" s="10"/>
    </row>
    <row r="1368" spans="28:35" ht="15" hidden="1" customHeight="1">
      <c r="AB1368" s="9"/>
      <c r="AC1368" s="9"/>
      <c r="AD1368" s="9"/>
      <c r="AF1368" s="10"/>
      <c r="AG1368" s="10"/>
      <c r="AH1368" s="10"/>
      <c r="AI1368" s="10"/>
    </row>
    <row r="1369" spans="28:35" ht="15" hidden="1" customHeight="1">
      <c r="AB1369" s="9"/>
      <c r="AC1369" s="9"/>
      <c r="AD1369" s="9"/>
      <c r="AF1369" s="10"/>
      <c r="AG1369" s="10"/>
      <c r="AH1369" s="10"/>
      <c r="AI1369" s="10"/>
    </row>
    <row r="1370" spans="28:35" ht="15" hidden="1" customHeight="1">
      <c r="AB1370" s="9"/>
      <c r="AC1370" s="9"/>
      <c r="AD1370" s="9"/>
      <c r="AF1370" s="10"/>
      <c r="AG1370" s="10"/>
      <c r="AH1370" s="10"/>
      <c r="AI1370" s="10"/>
    </row>
    <row r="1371" spans="28:35" ht="15" hidden="1" customHeight="1">
      <c r="AB1371" s="9"/>
      <c r="AC1371" s="9"/>
      <c r="AD1371" s="9"/>
      <c r="AF1371" s="10"/>
      <c r="AG1371" s="10"/>
      <c r="AH1371" s="10"/>
      <c r="AI1371" s="10"/>
    </row>
    <row r="1372" spans="28:35" ht="15" hidden="1" customHeight="1">
      <c r="AB1372" s="9"/>
      <c r="AC1372" s="9"/>
      <c r="AD1372" s="9"/>
      <c r="AF1372" s="10"/>
      <c r="AG1372" s="10"/>
      <c r="AH1372" s="10"/>
      <c r="AI1372" s="10"/>
    </row>
    <row r="1373" spans="28:35" ht="15" hidden="1" customHeight="1">
      <c r="AB1373" s="9"/>
      <c r="AC1373" s="9"/>
      <c r="AD1373" s="9"/>
      <c r="AF1373" s="10"/>
      <c r="AG1373" s="10"/>
      <c r="AH1373" s="10"/>
      <c r="AI1373" s="10"/>
    </row>
    <row r="1374" spans="28:35" ht="15" hidden="1" customHeight="1">
      <c r="AB1374" s="9"/>
      <c r="AC1374" s="9"/>
      <c r="AD1374" s="9"/>
      <c r="AF1374" s="10"/>
      <c r="AG1374" s="10"/>
      <c r="AH1374" s="10"/>
      <c r="AI1374" s="10"/>
    </row>
    <row r="1375" spans="28:35" ht="15" hidden="1" customHeight="1">
      <c r="AB1375" s="9"/>
      <c r="AC1375" s="9"/>
      <c r="AD1375" s="9"/>
      <c r="AF1375" s="10"/>
      <c r="AG1375" s="10"/>
      <c r="AH1375" s="10"/>
      <c r="AI1375" s="10"/>
    </row>
    <row r="1376" spans="28:35" ht="15" hidden="1" customHeight="1">
      <c r="AB1376" s="9"/>
      <c r="AC1376" s="9"/>
      <c r="AD1376" s="9"/>
      <c r="AF1376" s="10"/>
      <c r="AG1376" s="10"/>
      <c r="AH1376" s="10"/>
      <c r="AI1376" s="10"/>
    </row>
    <row r="1377" spans="28:35" ht="15" hidden="1" customHeight="1">
      <c r="AB1377" s="9"/>
      <c r="AC1377" s="9"/>
      <c r="AD1377" s="9"/>
      <c r="AF1377" s="10"/>
      <c r="AG1377" s="10"/>
      <c r="AH1377" s="10"/>
      <c r="AI1377" s="10"/>
    </row>
    <row r="1378" spans="28:35" ht="15" hidden="1" customHeight="1">
      <c r="AB1378" s="9"/>
      <c r="AC1378" s="9"/>
      <c r="AD1378" s="9"/>
      <c r="AF1378" s="10"/>
      <c r="AG1378" s="10"/>
      <c r="AH1378" s="10"/>
      <c r="AI1378" s="10"/>
    </row>
    <row r="1379" spans="28:35" ht="15" hidden="1" customHeight="1">
      <c r="AB1379" s="9"/>
      <c r="AC1379" s="9"/>
      <c r="AD1379" s="9"/>
      <c r="AF1379" s="10"/>
      <c r="AG1379" s="10"/>
      <c r="AH1379" s="10"/>
      <c r="AI1379" s="10"/>
    </row>
    <row r="1380" spans="28:35" ht="15" hidden="1" customHeight="1">
      <c r="AB1380" s="9"/>
      <c r="AC1380" s="9"/>
      <c r="AD1380" s="9"/>
      <c r="AF1380" s="10"/>
      <c r="AG1380" s="10"/>
      <c r="AH1380" s="10"/>
      <c r="AI1380" s="10"/>
    </row>
    <row r="1381" spans="28:35" ht="15" hidden="1" customHeight="1">
      <c r="AB1381" s="9"/>
      <c r="AC1381" s="9"/>
      <c r="AD1381" s="9"/>
      <c r="AF1381" s="10"/>
      <c r="AG1381" s="10"/>
      <c r="AH1381" s="10"/>
      <c r="AI1381" s="10"/>
    </row>
    <row r="1382" spans="28:35" ht="15" hidden="1" customHeight="1">
      <c r="AB1382" s="9"/>
      <c r="AC1382" s="9"/>
      <c r="AD1382" s="9"/>
      <c r="AF1382" s="10"/>
      <c r="AG1382" s="10"/>
      <c r="AH1382" s="10"/>
      <c r="AI1382" s="10"/>
    </row>
    <row r="1383" spans="28:35" ht="15" hidden="1" customHeight="1">
      <c r="AB1383" s="9"/>
      <c r="AC1383" s="9"/>
      <c r="AD1383" s="9"/>
      <c r="AF1383" s="10"/>
      <c r="AG1383" s="10"/>
      <c r="AH1383" s="10"/>
      <c r="AI1383" s="10"/>
    </row>
    <row r="1384" spans="28:35" ht="15" hidden="1" customHeight="1">
      <c r="AB1384" s="9"/>
      <c r="AC1384" s="9"/>
      <c r="AD1384" s="9"/>
      <c r="AF1384" s="10"/>
      <c r="AG1384" s="10"/>
      <c r="AH1384" s="10"/>
      <c r="AI1384" s="10"/>
    </row>
    <row r="1385" spans="28:35" ht="15" hidden="1" customHeight="1">
      <c r="AB1385" s="9"/>
      <c r="AC1385" s="9"/>
      <c r="AD1385" s="9"/>
      <c r="AF1385" s="10"/>
      <c r="AG1385" s="10"/>
      <c r="AH1385" s="10"/>
      <c r="AI1385" s="10"/>
    </row>
    <row r="1386" spans="28:35" ht="15" hidden="1" customHeight="1">
      <c r="AB1386" s="9"/>
      <c r="AC1386" s="9"/>
      <c r="AD1386" s="9"/>
      <c r="AF1386" s="10"/>
      <c r="AG1386" s="10"/>
      <c r="AH1386" s="10"/>
      <c r="AI1386" s="10"/>
    </row>
    <row r="1387" spans="28:35" ht="15" hidden="1" customHeight="1">
      <c r="AB1387" s="9"/>
      <c r="AC1387" s="9"/>
      <c r="AD1387" s="9"/>
      <c r="AF1387" s="10"/>
      <c r="AG1387" s="10"/>
      <c r="AH1387" s="10"/>
      <c r="AI1387" s="10"/>
    </row>
    <row r="1388" spans="28:35" ht="15" hidden="1" customHeight="1">
      <c r="AB1388" s="9"/>
      <c r="AC1388" s="9"/>
      <c r="AD1388" s="9"/>
      <c r="AF1388" s="10"/>
      <c r="AG1388" s="10"/>
      <c r="AH1388" s="10"/>
      <c r="AI1388" s="10"/>
    </row>
    <row r="1389" spans="28:35" ht="15" hidden="1" customHeight="1">
      <c r="AB1389" s="9"/>
      <c r="AC1389" s="9"/>
      <c r="AD1389" s="9"/>
      <c r="AF1389" s="10"/>
      <c r="AG1389" s="10"/>
      <c r="AH1389" s="10"/>
      <c r="AI1389" s="10"/>
    </row>
    <row r="1390" spans="28:35" ht="15" hidden="1" customHeight="1">
      <c r="AB1390" s="9"/>
      <c r="AC1390" s="9"/>
      <c r="AD1390" s="9"/>
      <c r="AF1390" s="10"/>
      <c r="AG1390" s="10"/>
      <c r="AH1390" s="10"/>
      <c r="AI1390" s="10"/>
    </row>
    <row r="1391" spans="28:35" ht="15" hidden="1" customHeight="1">
      <c r="AB1391" s="9"/>
      <c r="AC1391" s="9"/>
      <c r="AD1391" s="9"/>
      <c r="AF1391" s="10"/>
      <c r="AG1391" s="10"/>
      <c r="AH1391" s="10"/>
      <c r="AI1391" s="10"/>
    </row>
    <row r="1392" spans="28:35" ht="15" hidden="1" customHeight="1">
      <c r="AB1392" s="9"/>
      <c r="AC1392" s="9"/>
      <c r="AD1392" s="9"/>
      <c r="AF1392" s="10"/>
      <c r="AG1392" s="10"/>
      <c r="AH1392" s="10"/>
      <c r="AI1392" s="10"/>
    </row>
    <row r="1393" spans="28:35" ht="15" hidden="1" customHeight="1">
      <c r="AB1393" s="9"/>
      <c r="AC1393" s="9"/>
      <c r="AD1393" s="9"/>
      <c r="AF1393" s="10"/>
      <c r="AG1393" s="10"/>
      <c r="AH1393" s="10"/>
      <c r="AI1393" s="10"/>
    </row>
    <row r="1394" spans="28:35" ht="15" hidden="1" customHeight="1">
      <c r="AB1394" s="9"/>
      <c r="AC1394" s="9"/>
      <c r="AD1394" s="9"/>
      <c r="AF1394" s="10"/>
      <c r="AG1394" s="10"/>
      <c r="AH1394" s="10"/>
      <c r="AI1394" s="10"/>
    </row>
    <row r="1395" spans="28:35" ht="15" hidden="1" customHeight="1">
      <c r="AB1395" s="9"/>
      <c r="AC1395" s="9"/>
      <c r="AD1395" s="9"/>
      <c r="AF1395" s="10"/>
      <c r="AG1395" s="10"/>
      <c r="AH1395" s="10"/>
      <c r="AI1395" s="10"/>
    </row>
    <row r="1396" spans="28:35" ht="15" hidden="1" customHeight="1">
      <c r="AB1396" s="9"/>
      <c r="AC1396" s="9"/>
      <c r="AD1396" s="9"/>
      <c r="AF1396" s="10"/>
      <c r="AG1396" s="10"/>
      <c r="AH1396" s="10"/>
      <c r="AI1396" s="10"/>
    </row>
    <row r="1397" spans="28:35" ht="15" hidden="1" customHeight="1">
      <c r="AB1397" s="9"/>
      <c r="AC1397" s="9"/>
      <c r="AD1397" s="9"/>
      <c r="AF1397" s="10"/>
      <c r="AG1397" s="10"/>
      <c r="AH1397" s="10"/>
      <c r="AI1397" s="10"/>
    </row>
    <row r="1398" spans="28:35" ht="15" hidden="1" customHeight="1">
      <c r="AB1398" s="9"/>
      <c r="AC1398" s="9"/>
      <c r="AD1398" s="9"/>
      <c r="AF1398" s="10"/>
      <c r="AG1398" s="10"/>
      <c r="AH1398" s="10"/>
      <c r="AI1398" s="10"/>
    </row>
    <row r="1399" spans="28:35" ht="15" hidden="1" customHeight="1">
      <c r="AB1399" s="9"/>
      <c r="AC1399" s="9"/>
      <c r="AD1399" s="9"/>
      <c r="AF1399" s="10"/>
      <c r="AG1399" s="10"/>
      <c r="AH1399" s="10"/>
      <c r="AI1399" s="10"/>
    </row>
    <row r="1400" spans="28:35" ht="15" hidden="1" customHeight="1">
      <c r="AB1400" s="9"/>
      <c r="AC1400" s="9"/>
      <c r="AD1400" s="9"/>
      <c r="AF1400" s="10"/>
      <c r="AG1400" s="10"/>
      <c r="AH1400" s="10"/>
      <c r="AI1400" s="10"/>
    </row>
    <row r="1401" spans="28:35" ht="15" hidden="1" customHeight="1">
      <c r="AB1401" s="9"/>
      <c r="AC1401" s="9"/>
      <c r="AD1401" s="9"/>
      <c r="AF1401" s="10"/>
      <c r="AG1401" s="10"/>
      <c r="AH1401" s="10"/>
      <c r="AI1401" s="10"/>
    </row>
    <row r="1402" spans="28:35" ht="15" hidden="1" customHeight="1">
      <c r="AB1402" s="9"/>
      <c r="AC1402" s="9"/>
      <c r="AD1402" s="9"/>
      <c r="AF1402" s="10"/>
      <c r="AG1402" s="10"/>
      <c r="AH1402" s="10"/>
      <c r="AI1402" s="10"/>
    </row>
    <row r="1403" spans="28:35" ht="15" hidden="1" customHeight="1">
      <c r="AB1403" s="9"/>
      <c r="AC1403" s="9"/>
      <c r="AD1403" s="9"/>
      <c r="AF1403" s="10"/>
      <c r="AG1403" s="10"/>
      <c r="AH1403" s="10"/>
      <c r="AI1403" s="10"/>
    </row>
    <row r="1404" spans="28:35" ht="15" hidden="1" customHeight="1">
      <c r="AB1404" s="9"/>
      <c r="AC1404" s="9"/>
      <c r="AD1404" s="9"/>
      <c r="AF1404" s="10"/>
      <c r="AG1404" s="10"/>
      <c r="AH1404" s="10"/>
      <c r="AI1404" s="10"/>
    </row>
    <row r="1405" spans="28:35" ht="15" hidden="1" customHeight="1">
      <c r="AB1405" s="9"/>
      <c r="AC1405" s="9"/>
      <c r="AD1405" s="9"/>
      <c r="AF1405" s="10"/>
      <c r="AG1405" s="10"/>
      <c r="AH1405" s="10"/>
      <c r="AI1405" s="10"/>
    </row>
    <row r="1406" spans="28:35" ht="15" hidden="1" customHeight="1">
      <c r="AB1406" s="9"/>
      <c r="AC1406" s="9"/>
      <c r="AD1406" s="9"/>
      <c r="AF1406" s="10"/>
      <c r="AG1406" s="10"/>
      <c r="AH1406" s="10"/>
      <c r="AI1406" s="10"/>
    </row>
    <row r="1407" spans="28:35" ht="15" hidden="1" customHeight="1">
      <c r="AB1407" s="9"/>
      <c r="AC1407" s="9"/>
      <c r="AD1407" s="9"/>
      <c r="AF1407" s="10"/>
      <c r="AG1407" s="10"/>
      <c r="AH1407" s="10"/>
      <c r="AI1407" s="10"/>
    </row>
    <row r="1408" spans="28:35" ht="15" hidden="1" customHeight="1">
      <c r="AB1408" s="9"/>
      <c r="AC1408" s="9"/>
      <c r="AD1408" s="9"/>
      <c r="AF1408" s="10"/>
      <c r="AG1408" s="10"/>
      <c r="AH1408" s="10"/>
      <c r="AI1408" s="10"/>
    </row>
    <row r="1409" spans="28:35" ht="15" hidden="1" customHeight="1">
      <c r="AB1409" s="9"/>
      <c r="AC1409" s="9"/>
      <c r="AD1409" s="9"/>
      <c r="AF1409" s="10"/>
      <c r="AG1409" s="10"/>
      <c r="AH1409" s="10"/>
      <c r="AI1409" s="10"/>
    </row>
    <row r="1410" spans="28:35" ht="15" hidden="1" customHeight="1">
      <c r="AB1410" s="9"/>
      <c r="AC1410" s="9"/>
      <c r="AD1410" s="9"/>
      <c r="AF1410" s="10"/>
      <c r="AG1410" s="10"/>
      <c r="AH1410" s="10"/>
      <c r="AI1410" s="10"/>
    </row>
    <row r="1411" spans="28:35" ht="15" hidden="1" customHeight="1">
      <c r="AB1411" s="9"/>
      <c r="AC1411" s="9"/>
      <c r="AD1411" s="9"/>
      <c r="AF1411" s="10"/>
      <c r="AG1411" s="10"/>
      <c r="AH1411" s="10"/>
      <c r="AI1411" s="10"/>
    </row>
    <row r="1412" spans="28:35" ht="15" hidden="1" customHeight="1">
      <c r="AB1412" s="9"/>
      <c r="AC1412" s="9"/>
      <c r="AD1412" s="9"/>
      <c r="AF1412" s="10"/>
      <c r="AG1412" s="10"/>
      <c r="AH1412" s="10"/>
      <c r="AI1412" s="10"/>
    </row>
    <row r="1413" spans="28:35" ht="15" hidden="1" customHeight="1">
      <c r="AB1413" s="9"/>
      <c r="AC1413" s="9"/>
      <c r="AD1413" s="9"/>
      <c r="AF1413" s="10"/>
      <c r="AG1413" s="10"/>
      <c r="AH1413" s="10"/>
      <c r="AI1413" s="10"/>
    </row>
    <row r="1414" spans="28:35" ht="15" hidden="1" customHeight="1">
      <c r="AB1414" s="9"/>
      <c r="AC1414" s="9"/>
      <c r="AD1414" s="9"/>
      <c r="AF1414" s="10"/>
      <c r="AG1414" s="10"/>
      <c r="AH1414" s="10"/>
      <c r="AI1414" s="10"/>
    </row>
    <row r="1415" spans="28:35" ht="15" hidden="1" customHeight="1">
      <c r="AB1415" s="9"/>
      <c r="AC1415" s="9"/>
      <c r="AD1415" s="9"/>
      <c r="AF1415" s="10"/>
      <c r="AG1415" s="10"/>
      <c r="AH1415" s="10"/>
      <c r="AI1415" s="10"/>
    </row>
    <row r="1416" spans="28:35" ht="15" hidden="1" customHeight="1">
      <c r="AB1416" s="9"/>
      <c r="AC1416" s="9"/>
      <c r="AD1416" s="9"/>
      <c r="AF1416" s="10"/>
      <c r="AG1416" s="10"/>
      <c r="AH1416" s="10"/>
      <c r="AI1416" s="10"/>
    </row>
    <row r="1417" spans="28:35" ht="15" hidden="1" customHeight="1">
      <c r="AB1417" s="9"/>
      <c r="AC1417" s="9"/>
      <c r="AD1417" s="9"/>
      <c r="AF1417" s="10"/>
      <c r="AG1417" s="10"/>
      <c r="AH1417" s="10"/>
      <c r="AI1417" s="10"/>
    </row>
    <row r="1418" spans="28:35" ht="15" hidden="1" customHeight="1">
      <c r="AB1418" s="9"/>
      <c r="AC1418" s="9"/>
      <c r="AD1418" s="9"/>
      <c r="AF1418" s="10"/>
      <c r="AG1418" s="10"/>
      <c r="AH1418" s="10"/>
      <c r="AI1418" s="10"/>
    </row>
    <row r="1419" spans="28:35" ht="15" hidden="1" customHeight="1">
      <c r="AB1419" s="9"/>
      <c r="AC1419" s="9"/>
      <c r="AD1419" s="9"/>
      <c r="AF1419" s="10"/>
      <c r="AG1419" s="10"/>
      <c r="AH1419" s="10"/>
      <c r="AI1419" s="10"/>
    </row>
    <row r="1420" spans="28:35" ht="15" hidden="1" customHeight="1">
      <c r="AB1420" s="9"/>
      <c r="AC1420" s="9"/>
      <c r="AD1420" s="9"/>
      <c r="AF1420" s="10"/>
      <c r="AG1420" s="10"/>
      <c r="AH1420" s="10"/>
      <c r="AI1420" s="10"/>
    </row>
    <row r="1421" spans="28:35" ht="15" hidden="1" customHeight="1">
      <c r="AB1421" s="9"/>
      <c r="AC1421" s="9"/>
      <c r="AD1421" s="9"/>
      <c r="AF1421" s="10"/>
      <c r="AG1421" s="10"/>
      <c r="AH1421" s="10"/>
      <c r="AI1421" s="10"/>
    </row>
    <row r="1422" spans="28:35" ht="15" hidden="1" customHeight="1">
      <c r="AB1422" s="9"/>
      <c r="AC1422" s="9"/>
      <c r="AD1422" s="9"/>
      <c r="AF1422" s="10"/>
      <c r="AG1422" s="10"/>
      <c r="AH1422" s="10"/>
      <c r="AI1422" s="10"/>
    </row>
    <row r="1423" spans="28:35" ht="15" hidden="1" customHeight="1">
      <c r="AB1423" s="9"/>
      <c r="AC1423" s="9"/>
      <c r="AD1423" s="9"/>
      <c r="AF1423" s="10"/>
      <c r="AG1423" s="10"/>
      <c r="AH1423" s="10"/>
      <c r="AI1423" s="10"/>
    </row>
    <row r="1424" spans="28:35" ht="15" hidden="1" customHeight="1">
      <c r="AB1424" s="9"/>
      <c r="AC1424" s="9"/>
      <c r="AD1424" s="9"/>
      <c r="AF1424" s="10"/>
      <c r="AG1424" s="10"/>
      <c r="AH1424" s="10"/>
      <c r="AI1424" s="10"/>
    </row>
    <row r="1425" spans="28:35" ht="15" hidden="1" customHeight="1">
      <c r="AB1425" s="9"/>
      <c r="AC1425" s="9"/>
      <c r="AD1425" s="9"/>
      <c r="AF1425" s="10"/>
      <c r="AG1425" s="10"/>
      <c r="AH1425" s="10"/>
      <c r="AI1425" s="10"/>
    </row>
    <row r="1426" spans="28:35" ht="15" hidden="1" customHeight="1">
      <c r="AB1426" s="9"/>
      <c r="AC1426" s="9"/>
      <c r="AD1426" s="9"/>
      <c r="AF1426" s="10"/>
      <c r="AG1426" s="10"/>
      <c r="AH1426" s="10"/>
      <c r="AI1426" s="10"/>
    </row>
    <row r="1427" spans="28:35" ht="15" hidden="1" customHeight="1">
      <c r="AB1427" s="9"/>
      <c r="AC1427" s="9"/>
      <c r="AD1427" s="9"/>
      <c r="AF1427" s="10"/>
      <c r="AG1427" s="10"/>
      <c r="AH1427" s="10"/>
      <c r="AI1427" s="10"/>
    </row>
    <row r="1428" spans="28:35" ht="15" hidden="1" customHeight="1">
      <c r="AB1428" s="9"/>
      <c r="AC1428" s="9"/>
      <c r="AD1428" s="9"/>
      <c r="AF1428" s="10"/>
      <c r="AG1428" s="10"/>
      <c r="AH1428" s="10"/>
      <c r="AI1428" s="10"/>
    </row>
    <row r="1429" spans="28:35" ht="15" hidden="1" customHeight="1">
      <c r="AB1429" s="9"/>
      <c r="AC1429" s="9"/>
      <c r="AD1429" s="9"/>
      <c r="AF1429" s="10"/>
      <c r="AG1429" s="10"/>
      <c r="AH1429" s="10"/>
      <c r="AI1429" s="10"/>
    </row>
    <row r="1430" spans="28:35" ht="15" hidden="1" customHeight="1">
      <c r="AB1430" s="9"/>
      <c r="AC1430" s="9"/>
      <c r="AD1430" s="9"/>
      <c r="AF1430" s="10"/>
      <c r="AG1430" s="10"/>
      <c r="AH1430" s="10"/>
      <c r="AI1430" s="10"/>
    </row>
    <row r="1431" spans="28:35" ht="15" hidden="1" customHeight="1">
      <c r="AB1431" s="9"/>
      <c r="AC1431" s="9"/>
      <c r="AD1431" s="9"/>
      <c r="AF1431" s="10"/>
      <c r="AG1431" s="10"/>
      <c r="AH1431" s="10"/>
      <c r="AI1431" s="10"/>
    </row>
    <row r="1432" spans="28:35" ht="15" hidden="1" customHeight="1">
      <c r="AB1432" s="9"/>
      <c r="AC1432" s="9"/>
      <c r="AD1432" s="9"/>
      <c r="AF1432" s="10"/>
      <c r="AG1432" s="10"/>
      <c r="AH1432" s="10"/>
      <c r="AI1432" s="10"/>
    </row>
    <row r="1433" spans="28:35" ht="15" hidden="1" customHeight="1">
      <c r="AB1433" s="9"/>
      <c r="AC1433" s="9"/>
      <c r="AD1433" s="9"/>
      <c r="AF1433" s="10"/>
      <c r="AG1433" s="10"/>
      <c r="AH1433" s="10"/>
      <c r="AI1433" s="10"/>
    </row>
    <row r="1434" spans="28:35" ht="15" hidden="1" customHeight="1">
      <c r="AB1434" s="9"/>
      <c r="AC1434" s="9"/>
      <c r="AD1434" s="9"/>
      <c r="AF1434" s="10"/>
      <c r="AG1434" s="10"/>
      <c r="AH1434" s="10"/>
      <c r="AI1434" s="10"/>
    </row>
    <row r="1435" spans="28:35" ht="15" hidden="1" customHeight="1">
      <c r="AB1435" s="9"/>
      <c r="AC1435" s="9"/>
      <c r="AD1435" s="9"/>
      <c r="AF1435" s="10"/>
      <c r="AG1435" s="10"/>
      <c r="AH1435" s="10"/>
      <c r="AI1435" s="10"/>
    </row>
    <row r="1436" spans="28:35" ht="15" hidden="1" customHeight="1">
      <c r="AB1436" s="9"/>
      <c r="AC1436" s="9"/>
      <c r="AD1436" s="9"/>
      <c r="AF1436" s="10"/>
      <c r="AG1436" s="10"/>
      <c r="AH1436" s="10"/>
      <c r="AI1436" s="10"/>
    </row>
    <row r="1437" spans="28:35" ht="15" hidden="1" customHeight="1">
      <c r="AB1437" s="9"/>
      <c r="AC1437" s="9"/>
      <c r="AD1437" s="9"/>
      <c r="AF1437" s="10"/>
      <c r="AG1437" s="10"/>
      <c r="AH1437" s="10"/>
      <c r="AI1437" s="10"/>
    </row>
    <row r="1438" spans="28:35" ht="15" hidden="1" customHeight="1">
      <c r="AB1438" s="9"/>
      <c r="AC1438" s="9"/>
      <c r="AD1438" s="9"/>
      <c r="AF1438" s="10"/>
      <c r="AG1438" s="10"/>
      <c r="AH1438" s="10"/>
      <c r="AI1438" s="10"/>
    </row>
    <row r="1439" spans="28:35" ht="15" hidden="1" customHeight="1">
      <c r="AB1439" s="9"/>
      <c r="AC1439" s="9"/>
      <c r="AD1439" s="9"/>
      <c r="AF1439" s="10"/>
      <c r="AG1439" s="10"/>
      <c r="AH1439" s="10"/>
      <c r="AI1439" s="10"/>
    </row>
    <row r="1440" spans="28:35" ht="15" hidden="1" customHeight="1">
      <c r="AB1440" s="9"/>
      <c r="AC1440" s="9"/>
      <c r="AD1440" s="9"/>
      <c r="AF1440" s="10"/>
      <c r="AG1440" s="10"/>
      <c r="AH1440" s="10"/>
      <c r="AI1440" s="10"/>
    </row>
    <row r="1441" spans="28:35" ht="15" hidden="1" customHeight="1">
      <c r="AB1441" s="9"/>
      <c r="AC1441" s="9"/>
      <c r="AD1441" s="9"/>
      <c r="AF1441" s="10"/>
      <c r="AG1441" s="10"/>
      <c r="AH1441" s="10"/>
      <c r="AI1441" s="10"/>
    </row>
    <row r="1442" spans="28:35" ht="15" hidden="1" customHeight="1">
      <c r="AB1442" s="9"/>
      <c r="AC1442" s="9"/>
      <c r="AD1442" s="9"/>
      <c r="AF1442" s="10"/>
      <c r="AG1442" s="10"/>
      <c r="AH1442" s="10"/>
      <c r="AI1442" s="10"/>
    </row>
    <row r="1443" spans="28:35" ht="15" hidden="1" customHeight="1">
      <c r="AB1443" s="9"/>
      <c r="AC1443" s="9"/>
      <c r="AD1443" s="9"/>
      <c r="AF1443" s="10"/>
      <c r="AG1443" s="10"/>
      <c r="AH1443" s="10"/>
      <c r="AI1443" s="10"/>
    </row>
    <row r="1444" spans="28:35" ht="15" hidden="1" customHeight="1">
      <c r="AB1444" s="9"/>
      <c r="AC1444" s="9"/>
      <c r="AD1444" s="9"/>
      <c r="AF1444" s="10"/>
      <c r="AG1444" s="10"/>
      <c r="AH1444" s="10"/>
      <c r="AI1444" s="10"/>
    </row>
    <row r="1445" spans="28:35" ht="15" hidden="1" customHeight="1">
      <c r="AB1445" s="9"/>
      <c r="AC1445" s="9"/>
      <c r="AD1445" s="9"/>
      <c r="AF1445" s="10"/>
      <c r="AG1445" s="10"/>
      <c r="AH1445" s="10"/>
      <c r="AI1445" s="10"/>
    </row>
    <row r="1446" spans="28:35" ht="15" hidden="1" customHeight="1">
      <c r="AB1446" s="9"/>
      <c r="AC1446" s="9"/>
      <c r="AD1446" s="9"/>
      <c r="AF1446" s="10"/>
      <c r="AG1446" s="10"/>
      <c r="AH1446" s="10"/>
      <c r="AI1446" s="10"/>
    </row>
    <row r="1447" spans="28:35" ht="15" hidden="1" customHeight="1">
      <c r="AB1447" s="9"/>
      <c r="AC1447" s="9"/>
      <c r="AD1447" s="9"/>
      <c r="AF1447" s="10"/>
      <c r="AG1447" s="10"/>
      <c r="AH1447" s="10"/>
      <c r="AI1447" s="10"/>
    </row>
    <row r="1448" spans="28:35" ht="15" hidden="1" customHeight="1">
      <c r="AB1448" s="9"/>
      <c r="AC1448" s="9"/>
      <c r="AD1448" s="9"/>
      <c r="AF1448" s="10"/>
      <c r="AG1448" s="10"/>
      <c r="AH1448" s="10"/>
      <c r="AI1448" s="10"/>
    </row>
    <row r="1449" spans="28:35" ht="15" hidden="1" customHeight="1">
      <c r="AB1449" s="9"/>
      <c r="AC1449" s="9"/>
      <c r="AD1449" s="9"/>
      <c r="AF1449" s="10"/>
      <c r="AG1449" s="10"/>
      <c r="AH1449" s="10"/>
      <c r="AI1449" s="10"/>
    </row>
    <row r="1450" spans="28:35" ht="15" hidden="1" customHeight="1">
      <c r="AB1450" s="9"/>
      <c r="AC1450" s="9"/>
      <c r="AD1450" s="9"/>
      <c r="AF1450" s="10"/>
      <c r="AG1450" s="10"/>
      <c r="AH1450" s="10"/>
      <c r="AI1450" s="10"/>
    </row>
    <row r="1451" spans="28:35" ht="15" hidden="1" customHeight="1">
      <c r="AB1451" s="9"/>
      <c r="AC1451" s="9"/>
      <c r="AD1451" s="9"/>
      <c r="AF1451" s="10"/>
      <c r="AG1451" s="10"/>
      <c r="AH1451" s="10"/>
      <c r="AI1451" s="10"/>
    </row>
    <row r="1452" spans="28:35" ht="15" hidden="1" customHeight="1">
      <c r="AB1452" s="9"/>
      <c r="AC1452" s="9"/>
      <c r="AD1452" s="9"/>
      <c r="AF1452" s="10"/>
      <c r="AG1452" s="10"/>
      <c r="AH1452" s="10"/>
      <c r="AI1452" s="10"/>
    </row>
    <row r="1453" spans="28:35" ht="15" hidden="1" customHeight="1">
      <c r="AB1453" s="9"/>
      <c r="AC1453" s="9"/>
      <c r="AD1453" s="9"/>
      <c r="AF1453" s="10"/>
      <c r="AG1453" s="10"/>
      <c r="AH1453" s="10"/>
      <c r="AI1453" s="10"/>
    </row>
    <row r="1454" spans="28:35" ht="15" hidden="1" customHeight="1">
      <c r="AB1454" s="9"/>
      <c r="AC1454" s="9"/>
      <c r="AD1454" s="9"/>
      <c r="AF1454" s="10"/>
      <c r="AG1454" s="10"/>
      <c r="AH1454" s="10"/>
      <c r="AI1454" s="10"/>
    </row>
    <row r="1455" spans="28:35" ht="15" hidden="1" customHeight="1">
      <c r="AB1455" s="9"/>
      <c r="AC1455" s="9"/>
      <c r="AD1455" s="9"/>
      <c r="AF1455" s="10"/>
      <c r="AG1455" s="10"/>
      <c r="AH1455" s="10"/>
      <c r="AI1455" s="10"/>
    </row>
    <row r="1456" spans="28:35" ht="15" hidden="1" customHeight="1">
      <c r="AB1456" s="9"/>
      <c r="AC1456" s="9"/>
      <c r="AD1456" s="9"/>
      <c r="AF1456" s="10"/>
      <c r="AG1456" s="10"/>
      <c r="AH1456" s="10"/>
      <c r="AI1456" s="10"/>
    </row>
    <row r="1457" spans="28:35" ht="15" hidden="1" customHeight="1">
      <c r="AB1457" s="9"/>
      <c r="AC1457" s="9"/>
      <c r="AD1457" s="9"/>
      <c r="AF1457" s="10"/>
      <c r="AG1457" s="10"/>
      <c r="AH1457" s="10"/>
      <c r="AI1457" s="10"/>
    </row>
    <row r="1458" spans="28:35" ht="15" hidden="1" customHeight="1">
      <c r="AB1458" s="9"/>
      <c r="AC1458" s="9"/>
      <c r="AD1458" s="9"/>
      <c r="AF1458" s="10"/>
      <c r="AG1458" s="10"/>
      <c r="AH1458" s="10"/>
      <c r="AI1458" s="10"/>
    </row>
    <row r="1459" spans="28:35" ht="15" hidden="1" customHeight="1">
      <c r="AB1459" s="9"/>
      <c r="AC1459" s="9"/>
      <c r="AD1459" s="9"/>
      <c r="AF1459" s="10"/>
      <c r="AG1459" s="10"/>
      <c r="AH1459" s="10"/>
      <c r="AI1459" s="10"/>
    </row>
    <row r="1460" spans="28:35" ht="15" hidden="1" customHeight="1">
      <c r="AB1460" s="9"/>
      <c r="AC1460" s="9"/>
      <c r="AD1460" s="9"/>
      <c r="AF1460" s="10"/>
      <c r="AG1460" s="10"/>
      <c r="AH1460" s="10"/>
      <c r="AI1460" s="10"/>
    </row>
    <row r="1461" spans="28:35" ht="15" hidden="1" customHeight="1">
      <c r="AB1461" s="9"/>
      <c r="AC1461" s="9"/>
      <c r="AD1461" s="9"/>
      <c r="AF1461" s="10"/>
      <c r="AG1461" s="10"/>
      <c r="AH1461" s="10"/>
      <c r="AI1461" s="10"/>
    </row>
    <row r="1462" spans="28:35" ht="15" hidden="1" customHeight="1">
      <c r="AB1462" s="9"/>
      <c r="AC1462" s="9"/>
      <c r="AD1462" s="9"/>
      <c r="AF1462" s="10"/>
      <c r="AG1462" s="10"/>
      <c r="AH1462" s="10"/>
      <c r="AI1462" s="10"/>
    </row>
    <row r="1463" spans="28:35" ht="15" hidden="1" customHeight="1">
      <c r="AB1463" s="9"/>
      <c r="AC1463" s="9"/>
      <c r="AD1463" s="9"/>
      <c r="AF1463" s="10"/>
      <c r="AG1463" s="10"/>
      <c r="AH1463" s="10"/>
      <c r="AI1463" s="10"/>
    </row>
    <row r="1464" spans="28:35" ht="15" hidden="1" customHeight="1">
      <c r="AB1464" s="9"/>
      <c r="AC1464" s="9"/>
      <c r="AD1464" s="9"/>
      <c r="AF1464" s="10"/>
      <c r="AG1464" s="10"/>
      <c r="AH1464" s="10"/>
      <c r="AI1464" s="10"/>
    </row>
    <row r="1465" spans="28:35" ht="15" hidden="1" customHeight="1">
      <c r="AB1465" s="9"/>
      <c r="AC1465" s="9"/>
      <c r="AD1465" s="9"/>
      <c r="AF1465" s="10"/>
      <c r="AG1465" s="10"/>
      <c r="AH1465" s="10"/>
      <c r="AI1465" s="10"/>
    </row>
    <row r="1466" spans="28:35" ht="15" hidden="1" customHeight="1">
      <c r="AB1466" s="9"/>
      <c r="AC1466" s="9"/>
      <c r="AD1466" s="9"/>
      <c r="AF1466" s="10"/>
      <c r="AG1466" s="10"/>
      <c r="AH1466" s="10"/>
      <c r="AI1466" s="10"/>
    </row>
    <row r="1467" spans="28:35" ht="15" hidden="1" customHeight="1">
      <c r="AB1467" s="9"/>
      <c r="AC1467" s="9"/>
      <c r="AD1467" s="9"/>
      <c r="AF1467" s="10"/>
      <c r="AG1467" s="10"/>
      <c r="AH1467" s="10"/>
      <c r="AI1467" s="10"/>
    </row>
    <row r="1468" spans="28:35" ht="15" hidden="1" customHeight="1">
      <c r="AB1468" s="9"/>
      <c r="AC1468" s="9"/>
      <c r="AD1468" s="9"/>
      <c r="AF1468" s="10"/>
      <c r="AG1468" s="10"/>
      <c r="AH1468" s="10"/>
      <c r="AI1468" s="10"/>
    </row>
    <row r="1469" spans="28:35" ht="15" hidden="1" customHeight="1">
      <c r="AB1469" s="9"/>
      <c r="AC1469" s="9"/>
      <c r="AD1469" s="9"/>
      <c r="AF1469" s="10"/>
      <c r="AG1469" s="10"/>
      <c r="AH1469" s="10"/>
      <c r="AI1469" s="10"/>
    </row>
    <row r="1470" spans="28:35" ht="15" hidden="1" customHeight="1">
      <c r="AB1470" s="9"/>
      <c r="AC1470" s="9"/>
      <c r="AD1470" s="9"/>
      <c r="AF1470" s="10"/>
      <c r="AG1470" s="10"/>
      <c r="AH1470" s="10"/>
      <c r="AI1470" s="10"/>
    </row>
    <row r="1471" spans="28:35" ht="15" hidden="1" customHeight="1">
      <c r="AB1471" s="9"/>
      <c r="AC1471" s="9"/>
      <c r="AD1471" s="9"/>
      <c r="AF1471" s="10"/>
      <c r="AG1471" s="10"/>
      <c r="AH1471" s="10"/>
      <c r="AI1471" s="10"/>
    </row>
    <row r="1472" spans="28:35" ht="15" hidden="1" customHeight="1">
      <c r="AB1472" s="9"/>
      <c r="AC1472" s="9"/>
      <c r="AD1472" s="9"/>
      <c r="AF1472" s="10"/>
      <c r="AG1472" s="10"/>
      <c r="AH1472" s="10"/>
      <c r="AI1472" s="10"/>
    </row>
    <row r="1473" spans="28:35" ht="15" hidden="1" customHeight="1">
      <c r="AB1473" s="9"/>
      <c r="AC1473" s="9"/>
      <c r="AD1473" s="9"/>
      <c r="AF1473" s="10"/>
      <c r="AG1473" s="10"/>
      <c r="AH1473" s="10"/>
      <c r="AI1473" s="10"/>
    </row>
    <row r="1474" spans="28:35" ht="15" hidden="1" customHeight="1">
      <c r="AB1474" s="9"/>
      <c r="AC1474" s="9"/>
      <c r="AD1474" s="9"/>
      <c r="AF1474" s="10"/>
      <c r="AG1474" s="10"/>
      <c r="AH1474" s="10"/>
      <c r="AI1474" s="10"/>
    </row>
    <row r="1475" spans="28:35" ht="15" hidden="1" customHeight="1">
      <c r="AB1475" s="9"/>
      <c r="AC1475" s="9"/>
      <c r="AD1475" s="9"/>
      <c r="AF1475" s="10"/>
      <c r="AG1475" s="10"/>
      <c r="AH1475" s="10"/>
      <c r="AI1475" s="10"/>
    </row>
    <row r="1476" spans="28:35" ht="15" hidden="1" customHeight="1">
      <c r="AB1476" s="9"/>
      <c r="AC1476" s="9"/>
      <c r="AD1476" s="9"/>
      <c r="AF1476" s="10"/>
      <c r="AG1476" s="10"/>
      <c r="AH1476" s="10"/>
      <c r="AI1476" s="10"/>
    </row>
    <row r="1477" spans="28:35" ht="15" hidden="1" customHeight="1">
      <c r="AB1477" s="9"/>
      <c r="AC1477" s="9"/>
      <c r="AD1477" s="9"/>
      <c r="AF1477" s="10"/>
      <c r="AG1477" s="10"/>
      <c r="AH1477" s="10"/>
      <c r="AI1477" s="10"/>
    </row>
    <row r="1478" spans="28:35" ht="15" hidden="1" customHeight="1">
      <c r="AB1478" s="9"/>
      <c r="AC1478" s="9"/>
      <c r="AD1478" s="9"/>
      <c r="AF1478" s="10"/>
      <c r="AG1478" s="10"/>
      <c r="AH1478" s="10"/>
      <c r="AI1478" s="10"/>
    </row>
    <row r="1479" spans="28:35" ht="15" hidden="1" customHeight="1">
      <c r="AB1479" s="9"/>
      <c r="AC1479" s="9"/>
      <c r="AD1479" s="9"/>
      <c r="AF1479" s="10"/>
      <c r="AG1479" s="10"/>
      <c r="AH1479" s="10"/>
      <c r="AI1479" s="10"/>
    </row>
    <row r="1480" spans="28:35" ht="15" hidden="1" customHeight="1">
      <c r="AB1480" s="9"/>
      <c r="AC1480" s="9"/>
      <c r="AD1480" s="9"/>
      <c r="AF1480" s="10"/>
      <c r="AG1480" s="10"/>
      <c r="AH1480" s="10"/>
      <c r="AI1480" s="10"/>
    </row>
    <row r="1481" spans="28:35" ht="15" hidden="1" customHeight="1">
      <c r="AB1481" s="9"/>
      <c r="AC1481" s="9"/>
      <c r="AD1481" s="9"/>
      <c r="AF1481" s="10"/>
      <c r="AG1481" s="10"/>
      <c r="AH1481" s="10"/>
      <c r="AI1481" s="10"/>
    </row>
    <row r="1482" spans="28:35" ht="15" hidden="1" customHeight="1">
      <c r="AB1482" s="9"/>
      <c r="AC1482" s="9"/>
      <c r="AD1482" s="9"/>
      <c r="AF1482" s="10"/>
      <c r="AG1482" s="10"/>
      <c r="AH1482" s="10"/>
      <c r="AI1482" s="10"/>
    </row>
    <row r="1483" spans="28:35" ht="15" hidden="1" customHeight="1">
      <c r="AB1483" s="9"/>
      <c r="AC1483" s="9"/>
      <c r="AD1483" s="9"/>
      <c r="AF1483" s="10"/>
      <c r="AG1483" s="10"/>
      <c r="AH1483" s="10"/>
      <c r="AI1483" s="10"/>
    </row>
    <row r="1484" spans="28:35" ht="15" hidden="1" customHeight="1">
      <c r="AB1484" s="9"/>
      <c r="AC1484" s="9"/>
      <c r="AD1484" s="9"/>
      <c r="AF1484" s="10"/>
      <c r="AG1484" s="10"/>
      <c r="AH1484" s="10"/>
      <c r="AI1484" s="10"/>
    </row>
    <row r="1485" spans="28:35" ht="15" hidden="1" customHeight="1">
      <c r="AB1485" s="9"/>
      <c r="AC1485" s="9"/>
      <c r="AD1485" s="9"/>
      <c r="AF1485" s="10"/>
      <c r="AG1485" s="10"/>
      <c r="AH1485" s="10"/>
      <c r="AI1485" s="10"/>
    </row>
    <row r="1486" spans="28:35" ht="15" hidden="1" customHeight="1">
      <c r="AB1486" s="9"/>
      <c r="AC1486" s="9"/>
      <c r="AD1486" s="9"/>
      <c r="AF1486" s="10"/>
      <c r="AG1486" s="10"/>
      <c r="AH1486" s="10"/>
      <c r="AI1486" s="10"/>
    </row>
    <row r="1487" spans="28:35" ht="15" hidden="1" customHeight="1">
      <c r="AB1487" s="9"/>
      <c r="AC1487" s="9"/>
      <c r="AD1487" s="9"/>
      <c r="AF1487" s="10"/>
      <c r="AG1487" s="10"/>
      <c r="AH1487" s="10"/>
      <c r="AI1487" s="10"/>
    </row>
    <row r="1488" spans="28:35" ht="15" hidden="1" customHeight="1">
      <c r="AB1488" s="9"/>
      <c r="AC1488" s="9"/>
      <c r="AD1488" s="9"/>
      <c r="AF1488" s="10"/>
      <c r="AG1488" s="10"/>
      <c r="AH1488" s="10"/>
      <c r="AI1488" s="10"/>
    </row>
    <row r="1489" spans="28:35" ht="15" hidden="1" customHeight="1">
      <c r="AB1489" s="9"/>
      <c r="AC1489" s="9"/>
      <c r="AD1489" s="9"/>
      <c r="AF1489" s="10"/>
      <c r="AG1489" s="10"/>
      <c r="AH1489" s="10"/>
      <c r="AI1489" s="10"/>
    </row>
    <row r="1490" spans="28:35" ht="15" hidden="1" customHeight="1">
      <c r="AB1490" s="9"/>
      <c r="AC1490" s="9"/>
      <c r="AD1490" s="9"/>
      <c r="AF1490" s="10"/>
      <c r="AG1490" s="10"/>
      <c r="AH1490" s="10"/>
      <c r="AI1490" s="10"/>
    </row>
    <row r="1491" spans="28:35" ht="15" hidden="1" customHeight="1">
      <c r="AB1491" s="9"/>
      <c r="AC1491" s="9"/>
      <c r="AD1491" s="9"/>
      <c r="AF1491" s="10"/>
      <c r="AG1491" s="10"/>
      <c r="AH1491" s="10"/>
      <c r="AI1491" s="10"/>
    </row>
    <row r="1492" spans="28:35" ht="15" hidden="1" customHeight="1">
      <c r="AB1492" s="9"/>
      <c r="AC1492" s="9"/>
      <c r="AD1492" s="9"/>
      <c r="AF1492" s="10"/>
      <c r="AG1492" s="10"/>
      <c r="AH1492" s="10"/>
      <c r="AI1492" s="10"/>
    </row>
    <row r="1493" spans="28:35" ht="15" hidden="1" customHeight="1">
      <c r="AB1493" s="9"/>
      <c r="AC1493" s="9"/>
      <c r="AD1493" s="9"/>
      <c r="AF1493" s="10"/>
      <c r="AG1493" s="10"/>
      <c r="AH1493" s="10"/>
      <c r="AI1493" s="10"/>
    </row>
    <row r="1494" spans="28:35" ht="15" hidden="1" customHeight="1">
      <c r="AB1494" s="9"/>
      <c r="AC1494" s="9"/>
      <c r="AD1494" s="9"/>
      <c r="AF1494" s="10"/>
      <c r="AG1494" s="10"/>
      <c r="AH1494" s="10"/>
      <c r="AI1494" s="10"/>
    </row>
    <row r="1495" spans="28:35" ht="15" hidden="1" customHeight="1">
      <c r="AB1495" s="9"/>
      <c r="AC1495" s="9"/>
      <c r="AD1495" s="9"/>
      <c r="AF1495" s="10"/>
      <c r="AG1495" s="10"/>
      <c r="AH1495" s="10"/>
      <c r="AI1495" s="10"/>
    </row>
    <row r="1496" spans="28:35" ht="15" hidden="1" customHeight="1">
      <c r="AB1496" s="9"/>
      <c r="AC1496" s="9"/>
      <c r="AD1496" s="9"/>
      <c r="AF1496" s="10"/>
      <c r="AG1496" s="10"/>
      <c r="AH1496" s="10"/>
      <c r="AI1496" s="10"/>
    </row>
    <row r="1497" spans="28:35" ht="15" hidden="1" customHeight="1">
      <c r="AB1497" s="9"/>
      <c r="AC1497" s="9"/>
      <c r="AD1497" s="9"/>
      <c r="AF1497" s="10"/>
      <c r="AG1497" s="10"/>
      <c r="AH1497" s="10"/>
      <c r="AI1497" s="10"/>
    </row>
    <row r="1498" spans="28:35" ht="15" hidden="1" customHeight="1">
      <c r="AB1498" s="9"/>
      <c r="AC1498" s="9"/>
      <c r="AD1498" s="9"/>
      <c r="AF1498" s="10"/>
      <c r="AG1498" s="10"/>
      <c r="AH1498" s="10"/>
      <c r="AI1498" s="10"/>
    </row>
    <row r="1499" spans="28:35" ht="15" hidden="1" customHeight="1">
      <c r="AB1499" s="9"/>
      <c r="AC1499" s="9"/>
      <c r="AD1499" s="9"/>
      <c r="AF1499" s="10"/>
      <c r="AG1499" s="10"/>
      <c r="AH1499" s="10"/>
      <c r="AI1499" s="10"/>
    </row>
    <row r="1500" spans="28:35" ht="15" hidden="1" customHeight="1">
      <c r="AB1500" s="9"/>
      <c r="AC1500" s="9"/>
      <c r="AD1500" s="9"/>
      <c r="AF1500" s="10"/>
      <c r="AG1500" s="10"/>
      <c r="AH1500" s="10"/>
      <c r="AI1500" s="10"/>
    </row>
    <row r="1501" spans="28:35" ht="15" hidden="1" customHeight="1">
      <c r="AB1501" s="9"/>
      <c r="AC1501" s="9"/>
      <c r="AD1501" s="9"/>
      <c r="AF1501" s="10"/>
      <c r="AG1501" s="10"/>
      <c r="AH1501" s="10"/>
      <c r="AI1501" s="10"/>
    </row>
    <row r="1502" spans="28:35" ht="15" hidden="1" customHeight="1">
      <c r="AB1502" s="9"/>
      <c r="AC1502" s="9"/>
      <c r="AD1502" s="9"/>
      <c r="AF1502" s="10"/>
      <c r="AG1502" s="10"/>
      <c r="AH1502" s="10"/>
      <c r="AI1502" s="10"/>
    </row>
    <row r="1503" spans="28:35" ht="15" hidden="1" customHeight="1">
      <c r="AB1503" s="9"/>
      <c r="AC1503" s="9"/>
      <c r="AD1503" s="9"/>
      <c r="AF1503" s="10"/>
      <c r="AG1503" s="10"/>
      <c r="AH1503" s="10"/>
      <c r="AI1503" s="10"/>
    </row>
    <row r="1504" spans="28:35" ht="15" hidden="1" customHeight="1">
      <c r="AB1504" s="9"/>
      <c r="AC1504" s="9"/>
      <c r="AD1504" s="9"/>
      <c r="AF1504" s="10"/>
      <c r="AG1504" s="10"/>
      <c r="AH1504" s="10"/>
      <c r="AI1504" s="10"/>
    </row>
    <row r="1505" spans="28:35" ht="15" hidden="1" customHeight="1">
      <c r="AB1505" s="9"/>
      <c r="AC1505" s="9"/>
      <c r="AD1505" s="9"/>
      <c r="AF1505" s="10"/>
      <c r="AG1505" s="10"/>
      <c r="AH1505" s="10"/>
      <c r="AI1505" s="10"/>
    </row>
    <row r="1506" spans="28:35" ht="15" hidden="1" customHeight="1">
      <c r="AB1506" s="9"/>
      <c r="AC1506" s="9"/>
      <c r="AD1506" s="9"/>
      <c r="AF1506" s="10"/>
      <c r="AG1506" s="10"/>
      <c r="AH1506" s="10"/>
      <c r="AI1506" s="10"/>
    </row>
    <row r="1507" spans="28:35" ht="15" hidden="1" customHeight="1">
      <c r="AB1507" s="9"/>
      <c r="AC1507" s="9"/>
      <c r="AD1507" s="9"/>
      <c r="AF1507" s="10"/>
      <c r="AG1507" s="10"/>
      <c r="AH1507" s="10"/>
      <c r="AI1507" s="10"/>
    </row>
    <row r="1508" spans="28:35" ht="15" hidden="1" customHeight="1">
      <c r="AB1508" s="9"/>
      <c r="AC1508" s="9"/>
      <c r="AD1508" s="9"/>
      <c r="AF1508" s="10"/>
      <c r="AG1508" s="10"/>
      <c r="AH1508" s="10"/>
      <c r="AI1508" s="10"/>
    </row>
    <row r="1509" spans="28:35" ht="15" hidden="1" customHeight="1">
      <c r="AB1509" s="9"/>
      <c r="AC1509" s="9"/>
      <c r="AD1509" s="9"/>
      <c r="AF1509" s="10"/>
      <c r="AG1509" s="10"/>
      <c r="AH1509" s="10"/>
      <c r="AI1509" s="10"/>
    </row>
    <row r="1510" spans="28:35" ht="15" hidden="1" customHeight="1">
      <c r="AB1510" s="9"/>
      <c r="AC1510" s="9"/>
      <c r="AD1510" s="9"/>
      <c r="AF1510" s="10"/>
      <c r="AG1510" s="10"/>
      <c r="AH1510" s="10"/>
      <c r="AI1510" s="10"/>
    </row>
    <row r="1511" spans="28:35" ht="15" hidden="1" customHeight="1">
      <c r="AB1511" s="9"/>
      <c r="AC1511" s="9"/>
      <c r="AD1511" s="9"/>
      <c r="AF1511" s="10"/>
      <c r="AG1511" s="10"/>
      <c r="AH1511" s="10"/>
      <c r="AI1511" s="10"/>
    </row>
    <row r="1512" spans="28:35" ht="15" hidden="1" customHeight="1">
      <c r="AB1512" s="9"/>
      <c r="AC1512" s="9"/>
      <c r="AD1512" s="9"/>
      <c r="AF1512" s="10"/>
      <c r="AG1512" s="10"/>
      <c r="AH1512" s="10"/>
      <c r="AI1512" s="10"/>
    </row>
    <row r="1513" spans="28:35" ht="15" hidden="1" customHeight="1">
      <c r="AB1513" s="9"/>
      <c r="AC1513" s="9"/>
      <c r="AD1513" s="9"/>
      <c r="AF1513" s="10"/>
      <c r="AG1513" s="10"/>
      <c r="AH1513" s="10"/>
      <c r="AI1513" s="10"/>
    </row>
    <row r="1514" spans="28:35" ht="15" hidden="1" customHeight="1">
      <c r="AB1514" s="9"/>
      <c r="AC1514" s="9"/>
      <c r="AD1514" s="9"/>
      <c r="AF1514" s="10"/>
      <c r="AG1514" s="10"/>
      <c r="AH1514" s="10"/>
      <c r="AI1514" s="10"/>
    </row>
    <row r="1515" spans="28:35" ht="15" hidden="1" customHeight="1">
      <c r="AB1515" s="9"/>
      <c r="AC1515" s="9"/>
      <c r="AD1515" s="9"/>
      <c r="AF1515" s="10"/>
      <c r="AG1515" s="10"/>
      <c r="AH1515" s="10"/>
      <c r="AI1515" s="10"/>
    </row>
    <row r="1516" spans="28:35" ht="15" hidden="1" customHeight="1">
      <c r="AB1516" s="9"/>
      <c r="AC1516" s="9"/>
      <c r="AD1516" s="9"/>
      <c r="AF1516" s="10"/>
      <c r="AG1516" s="10"/>
      <c r="AH1516" s="10"/>
      <c r="AI1516" s="10"/>
    </row>
    <row r="1517" spans="28:35" ht="15" hidden="1" customHeight="1">
      <c r="AB1517" s="9"/>
      <c r="AC1517" s="9"/>
      <c r="AD1517" s="9"/>
      <c r="AF1517" s="10"/>
      <c r="AG1517" s="10"/>
      <c r="AH1517" s="10"/>
      <c r="AI1517" s="10"/>
    </row>
    <row r="1518" spans="28:35" ht="15" hidden="1" customHeight="1">
      <c r="AB1518" s="9"/>
      <c r="AC1518" s="9"/>
      <c r="AD1518" s="9"/>
      <c r="AF1518" s="10"/>
      <c r="AG1518" s="10"/>
      <c r="AH1518" s="10"/>
      <c r="AI1518" s="10"/>
    </row>
    <row r="1519" spans="28:35" ht="15" hidden="1" customHeight="1">
      <c r="AB1519" s="9"/>
      <c r="AC1519" s="9"/>
      <c r="AD1519" s="9"/>
      <c r="AF1519" s="10"/>
      <c r="AG1519" s="10"/>
      <c r="AH1519" s="10"/>
      <c r="AI1519" s="10"/>
    </row>
    <row r="1520" spans="28:35" ht="15" hidden="1" customHeight="1">
      <c r="AB1520" s="9"/>
      <c r="AC1520" s="9"/>
      <c r="AD1520" s="9"/>
      <c r="AF1520" s="10"/>
      <c r="AG1520" s="10"/>
      <c r="AH1520" s="10"/>
      <c r="AI1520" s="10"/>
    </row>
    <row r="1521" spans="28:35" ht="15" hidden="1" customHeight="1">
      <c r="AB1521" s="9"/>
      <c r="AC1521" s="9"/>
      <c r="AD1521" s="9"/>
      <c r="AF1521" s="10"/>
      <c r="AG1521" s="10"/>
      <c r="AH1521" s="10"/>
      <c r="AI1521" s="10"/>
    </row>
    <row r="1522" spans="28:35" ht="15" hidden="1" customHeight="1">
      <c r="AB1522" s="9"/>
      <c r="AC1522" s="9"/>
      <c r="AD1522" s="9"/>
      <c r="AF1522" s="10"/>
      <c r="AG1522" s="10"/>
      <c r="AH1522" s="10"/>
      <c r="AI1522" s="10"/>
    </row>
    <row r="1523" spans="28:35" ht="15" hidden="1" customHeight="1">
      <c r="AB1523" s="9"/>
      <c r="AC1523" s="9"/>
      <c r="AD1523" s="9"/>
      <c r="AF1523" s="10"/>
      <c r="AG1523" s="10"/>
      <c r="AH1523" s="10"/>
      <c r="AI1523" s="10"/>
    </row>
    <row r="1524" spans="28:35" ht="15" hidden="1" customHeight="1">
      <c r="AB1524" s="9"/>
      <c r="AC1524" s="9"/>
      <c r="AD1524" s="9"/>
      <c r="AF1524" s="10"/>
      <c r="AG1524" s="10"/>
      <c r="AH1524" s="10"/>
      <c r="AI1524" s="10"/>
    </row>
    <row r="1525" spans="28:35" ht="15" hidden="1" customHeight="1">
      <c r="AB1525" s="9"/>
      <c r="AC1525" s="9"/>
      <c r="AD1525" s="9"/>
      <c r="AF1525" s="10"/>
      <c r="AG1525" s="10"/>
      <c r="AH1525" s="10"/>
      <c r="AI1525" s="10"/>
    </row>
    <row r="1526" spans="28:35" ht="15" hidden="1" customHeight="1">
      <c r="AB1526" s="9"/>
      <c r="AC1526" s="9"/>
      <c r="AD1526" s="9"/>
      <c r="AF1526" s="10"/>
      <c r="AG1526" s="10"/>
      <c r="AH1526" s="10"/>
      <c r="AI1526" s="10"/>
    </row>
    <row r="1527" spans="28:35" ht="15" hidden="1" customHeight="1">
      <c r="AB1527" s="9"/>
      <c r="AC1527" s="9"/>
      <c r="AD1527" s="9"/>
      <c r="AF1527" s="10"/>
      <c r="AG1527" s="10"/>
      <c r="AH1527" s="10"/>
      <c r="AI1527" s="10"/>
    </row>
    <row r="1528" spans="28:35" ht="15" hidden="1" customHeight="1">
      <c r="AB1528" s="9"/>
      <c r="AC1528" s="9"/>
      <c r="AD1528" s="9"/>
      <c r="AF1528" s="10"/>
      <c r="AG1528" s="10"/>
      <c r="AH1528" s="10"/>
      <c r="AI1528" s="10"/>
    </row>
    <row r="1529" spans="28:35" ht="15" hidden="1" customHeight="1">
      <c r="AB1529" s="9"/>
      <c r="AC1529" s="9"/>
      <c r="AD1529" s="9"/>
      <c r="AF1529" s="10"/>
      <c r="AG1529" s="10"/>
      <c r="AH1529" s="10"/>
      <c r="AI1529" s="10"/>
    </row>
    <row r="1530" spans="28:35" ht="15" hidden="1" customHeight="1">
      <c r="AB1530" s="9"/>
      <c r="AC1530" s="9"/>
      <c r="AD1530" s="9"/>
      <c r="AF1530" s="10"/>
      <c r="AG1530" s="10"/>
      <c r="AH1530" s="10"/>
      <c r="AI1530" s="10"/>
    </row>
    <row r="1531" spans="28:35" ht="15" hidden="1" customHeight="1">
      <c r="AB1531" s="9"/>
      <c r="AC1531" s="9"/>
      <c r="AD1531" s="9"/>
      <c r="AF1531" s="10"/>
      <c r="AG1531" s="10"/>
      <c r="AH1531" s="10"/>
      <c r="AI1531" s="10"/>
    </row>
    <row r="1532" spans="28:35" ht="15" hidden="1" customHeight="1">
      <c r="AB1532" s="9"/>
      <c r="AC1532" s="9"/>
      <c r="AD1532" s="9"/>
      <c r="AF1532" s="10"/>
      <c r="AG1532" s="10"/>
      <c r="AH1532" s="10"/>
      <c r="AI1532" s="10"/>
    </row>
    <row r="1533" spans="28:35" ht="15" hidden="1" customHeight="1">
      <c r="AB1533" s="9"/>
      <c r="AC1533" s="9"/>
      <c r="AD1533" s="9"/>
      <c r="AF1533" s="10"/>
      <c r="AG1533" s="10"/>
      <c r="AH1533" s="10"/>
      <c r="AI1533" s="10"/>
    </row>
    <row r="1534" spans="28:35" ht="15" hidden="1" customHeight="1">
      <c r="AB1534" s="9"/>
      <c r="AC1534" s="9"/>
      <c r="AD1534" s="9"/>
      <c r="AF1534" s="10"/>
      <c r="AG1534" s="10"/>
      <c r="AH1534" s="10"/>
      <c r="AI1534" s="10"/>
    </row>
    <row r="1535" spans="28:35" ht="15" hidden="1" customHeight="1">
      <c r="AB1535" s="9"/>
      <c r="AC1535" s="9"/>
      <c r="AD1535" s="9"/>
      <c r="AF1535" s="10"/>
      <c r="AG1535" s="10"/>
      <c r="AH1535" s="10"/>
      <c r="AI1535" s="10"/>
    </row>
    <row r="1536" spans="28:35" ht="15" hidden="1" customHeight="1">
      <c r="AB1536" s="9"/>
      <c r="AC1536" s="9"/>
      <c r="AD1536" s="9"/>
      <c r="AF1536" s="10"/>
      <c r="AG1536" s="10"/>
      <c r="AH1536" s="10"/>
      <c r="AI1536" s="10"/>
    </row>
    <row r="1537" spans="28:35" ht="15" hidden="1" customHeight="1">
      <c r="AB1537" s="9"/>
      <c r="AC1537" s="9"/>
      <c r="AD1537" s="9"/>
      <c r="AF1537" s="10"/>
      <c r="AG1537" s="10"/>
      <c r="AH1537" s="10"/>
      <c r="AI1537" s="10"/>
    </row>
    <row r="1538" spans="28:35" ht="15" hidden="1" customHeight="1">
      <c r="AB1538" s="9"/>
      <c r="AC1538" s="9"/>
      <c r="AD1538" s="9"/>
      <c r="AF1538" s="10"/>
      <c r="AG1538" s="10"/>
      <c r="AH1538" s="10"/>
      <c r="AI1538" s="10"/>
    </row>
    <row r="1539" spans="28:35" ht="15" hidden="1" customHeight="1">
      <c r="AB1539" s="9"/>
      <c r="AC1539" s="9"/>
      <c r="AD1539" s="9"/>
      <c r="AF1539" s="10"/>
      <c r="AG1539" s="10"/>
      <c r="AH1539" s="10"/>
      <c r="AI1539" s="10"/>
    </row>
    <row r="1540" spans="28:35" ht="15" hidden="1" customHeight="1">
      <c r="AB1540" s="9"/>
      <c r="AC1540" s="9"/>
      <c r="AD1540" s="9"/>
      <c r="AF1540" s="10"/>
      <c r="AG1540" s="10"/>
      <c r="AH1540" s="10"/>
      <c r="AI1540" s="10"/>
    </row>
    <row r="1541" spans="28:35" ht="15" hidden="1" customHeight="1">
      <c r="AB1541" s="9"/>
      <c r="AC1541" s="9"/>
      <c r="AD1541" s="9"/>
      <c r="AF1541" s="10"/>
      <c r="AG1541" s="10"/>
      <c r="AH1541" s="10"/>
      <c r="AI1541" s="10"/>
    </row>
    <row r="1542" spans="28:35" ht="15" hidden="1" customHeight="1">
      <c r="AB1542" s="9"/>
      <c r="AC1542" s="9"/>
      <c r="AD1542" s="9"/>
      <c r="AF1542" s="10"/>
      <c r="AG1542" s="10"/>
      <c r="AH1542" s="10"/>
      <c r="AI1542" s="10"/>
    </row>
    <row r="1543" spans="28:35" ht="15" hidden="1" customHeight="1">
      <c r="AB1543" s="9"/>
      <c r="AC1543" s="9"/>
      <c r="AD1543" s="9"/>
      <c r="AF1543" s="10"/>
      <c r="AG1543" s="10"/>
      <c r="AH1543" s="10"/>
      <c r="AI1543" s="10"/>
    </row>
    <row r="1544" spans="28:35" ht="15" hidden="1" customHeight="1">
      <c r="AB1544" s="9"/>
      <c r="AC1544" s="9"/>
      <c r="AD1544" s="9"/>
      <c r="AF1544" s="10"/>
      <c r="AG1544" s="10"/>
      <c r="AH1544" s="10"/>
      <c r="AI1544" s="10"/>
    </row>
    <row r="1545" spans="28:35" ht="15" hidden="1" customHeight="1">
      <c r="AB1545" s="9"/>
      <c r="AC1545" s="9"/>
      <c r="AD1545" s="9"/>
      <c r="AF1545" s="10"/>
      <c r="AG1545" s="10"/>
      <c r="AH1545" s="10"/>
      <c r="AI1545" s="10"/>
    </row>
    <row r="1546" spans="28:35" ht="15" hidden="1" customHeight="1">
      <c r="AB1546" s="9"/>
      <c r="AC1546" s="9"/>
      <c r="AD1546" s="9"/>
      <c r="AF1546" s="10"/>
      <c r="AG1546" s="10"/>
      <c r="AH1546" s="10"/>
      <c r="AI1546" s="10"/>
    </row>
    <row r="1547" spans="28:35" ht="15" hidden="1" customHeight="1">
      <c r="AB1547" s="9"/>
      <c r="AC1547" s="9"/>
      <c r="AD1547" s="9"/>
      <c r="AF1547" s="10"/>
      <c r="AG1547" s="10"/>
      <c r="AH1547" s="10"/>
      <c r="AI1547" s="10"/>
    </row>
    <row r="1548" spans="28:35" ht="15" hidden="1" customHeight="1">
      <c r="AB1548" s="9"/>
      <c r="AC1548" s="9"/>
      <c r="AD1548" s="9"/>
      <c r="AF1548" s="10"/>
      <c r="AG1548" s="10"/>
      <c r="AH1548" s="10"/>
      <c r="AI1548" s="10"/>
    </row>
    <row r="1549" spans="28:35" ht="15" hidden="1" customHeight="1">
      <c r="AB1549" s="9"/>
      <c r="AC1549" s="9"/>
      <c r="AD1549" s="9"/>
      <c r="AF1549" s="10"/>
      <c r="AG1549" s="10"/>
      <c r="AH1549" s="10"/>
      <c r="AI1549" s="10"/>
    </row>
    <row r="1550" spans="28:35" ht="15" hidden="1" customHeight="1">
      <c r="AB1550" s="9"/>
      <c r="AC1550" s="9"/>
      <c r="AD1550" s="9"/>
      <c r="AF1550" s="10"/>
      <c r="AG1550" s="10"/>
      <c r="AH1550" s="10"/>
      <c r="AI1550" s="10"/>
    </row>
    <row r="1551" spans="28:35" ht="15" hidden="1" customHeight="1">
      <c r="AB1551" s="9"/>
      <c r="AC1551" s="9"/>
      <c r="AD1551" s="9"/>
      <c r="AF1551" s="10"/>
      <c r="AG1551" s="10"/>
      <c r="AH1551" s="10"/>
      <c r="AI1551" s="10"/>
    </row>
    <row r="1552" spans="28:35" ht="15" hidden="1" customHeight="1">
      <c r="AB1552" s="9"/>
      <c r="AC1552" s="9"/>
      <c r="AD1552" s="9"/>
      <c r="AF1552" s="10"/>
      <c r="AG1552" s="10"/>
      <c r="AH1552" s="10"/>
      <c r="AI1552" s="10"/>
    </row>
    <row r="1553" spans="28:35" ht="15" hidden="1" customHeight="1">
      <c r="AB1553" s="9"/>
      <c r="AC1553" s="9"/>
      <c r="AD1553" s="9"/>
      <c r="AF1553" s="10"/>
      <c r="AG1553" s="10"/>
      <c r="AH1553" s="10"/>
      <c r="AI1553" s="10"/>
    </row>
    <row r="1554" spans="28:35" ht="15" hidden="1" customHeight="1">
      <c r="AB1554" s="9"/>
      <c r="AC1554" s="9"/>
      <c r="AD1554" s="9"/>
      <c r="AF1554" s="10"/>
      <c r="AG1554" s="10"/>
      <c r="AH1554" s="10"/>
      <c r="AI1554" s="10"/>
    </row>
    <row r="1555" spans="28:35" ht="15" hidden="1" customHeight="1">
      <c r="AB1555" s="9"/>
      <c r="AC1555" s="9"/>
      <c r="AD1555" s="9"/>
      <c r="AF1555" s="10"/>
      <c r="AG1555" s="10"/>
      <c r="AH1555" s="10"/>
      <c r="AI1555" s="10"/>
    </row>
    <row r="1556" spans="28:35" ht="15" hidden="1" customHeight="1">
      <c r="AB1556" s="9"/>
      <c r="AC1556" s="9"/>
      <c r="AD1556" s="9"/>
      <c r="AF1556" s="10"/>
      <c r="AG1556" s="10"/>
      <c r="AH1556" s="10"/>
      <c r="AI1556" s="10"/>
    </row>
    <row r="1557" spans="28:35" ht="15" hidden="1" customHeight="1">
      <c r="AB1557" s="9"/>
      <c r="AC1557" s="9"/>
      <c r="AD1557" s="9"/>
      <c r="AF1557" s="10"/>
      <c r="AG1557" s="10"/>
      <c r="AH1557" s="10"/>
      <c r="AI1557" s="10"/>
    </row>
    <row r="1558" spans="28:35" ht="15" hidden="1" customHeight="1">
      <c r="AB1558" s="9"/>
      <c r="AC1558" s="9"/>
      <c r="AD1558" s="9"/>
      <c r="AF1558" s="10"/>
      <c r="AG1558" s="10"/>
      <c r="AH1558" s="10"/>
      <c r="AI1558" s="10"/>
    </row>
    <row r="1559" spans="28:35" ht="15" hidden="1" customHeight="1">
      <c r="AB1559" s="9"/>
      <c r="AC1559" s="9"/>
      <c r="AD1559" s="9"/>
      <c r="AF1559" s="10"/>
      <c r="AG1559" s="10"/>
      <c r="AH1559" s="10"/>
      <c r="AI1559" s="10"/>
    </row>
    <row r="1560" spans="28:35" ht="15" hidden="1" customHeight="1">
      <c r="AB1560" s="9"/>
      <c r="AC1560" s="9"/>
      <c r="AD1560" s="9"/>
      <c r="AF1560" s="10"/>
      <c r="AG1560" s="10"/>
      <c r="AH1560" s="10"/>
      <c r="AI1560" s="10"/>
    </row>
    <row r="1561" spans="28:35" ht="15" hidden="1" customHeight="1">
      <c r="AB1561" s="9"/>
      <c r="AC1561" s="9"/>
      <c r="AD1561" s="9"/>
      <c r="AF1561" s="10"/>
      <c r="AG1561" s="10"/>
      <c r="AH1561" s="10"/>
      <c r="AI1561" s="10"/>
    </row>
    <row r="1562" spans="28:35" ht="15" hidden="1" customHeight="1">
      <c r="AB1562" s="9"/>
      <c r="AC1562" s="9"/>
      <c r="AD1562" s="9"/>
      <c r="AF1562" s="10"/>
      <c r="AG1562" s="10"/>
      <c r="AH1562" s="10"/>
      <c r="AI1562" s="10"/>
    </row>
    <row r="1563" spans="28:35" ht="15" hidden="1" customHeight="1">
      <c r="AB1563" s="9"/>
      <c r="AC1563" s="9"/>
      <c r="AD1563" s="9"/>
      <c r="AF1563" s="10"/>
      <c r="AG1563" s="10"/>
      <c r="AH1563" s="10"/>
      <c r="AI1563" s="10"/>
    </row>
    <row r="1564" spans="28:35" ht="15" hidden="1" customHeight="1">
      <c r="AB1564" s="9"/>
      <c r="AC1564" s="9"/>
      <c r="AD1564" s="9"/>
      <c r="AF1564" s="10"/>
      <c r="AG1564" s="10"/>
      <c r="AH1564" s="10"/>
      <c r="AI1564" s="10"/>
    </row>
    <row r="1565" spans="28:35" ht="15" hidden="1" customHeight="1">
      <c r="AB1565" s="9"/>
      <c r="AC1565" s="9"/>
      <c r="AD1565" s="9"/>
      <c r="AF1565" s="10"/>
      <c r="AG1565" s="10"/>
      <c r="AH1565" s="10"/>
      <c r="AI1565" s="10"/>
    </row>
    <row r="1566" spans="28:35" ht="15" hidden="1" customHeight="1">
      <c r="AB1566" s="9"/>
      <c r="AC1566" s="9"/>
      <c r="AD1566" s="9"/>
      <c r="AF1566" s="10"/>
      <c r="AG1566" s="10"/>
      <c r="AH1566" s="10"/>
      <c r="AI1566" s="10"/>
    </row>
    <row r="1567" spans="28:35" ht="15" hidden="1" customHeight="1">
      <c r="AB1567" s="9"/>
      <c r="AC1567" s="9"/>
      <c r="AD1567" s="9"/>
      <c r="AF1567" s="10"/>
      <c r="AG1567" s="10"/>
      <c r="AH1567" s="10"/>
      <c r="AI1567" s="10"/>
    </row>
    <row r="1568" spans="28:35" ht="15" hidden="1" customHeight="1">
      <c r="AB1568" s="9"/>
      <c r="AC1568" s="9"/>
      <c r="AD1568" s="9"/>
      <c r="AF1568" s="10"/>
      <c r="AG1568" s="10"/>
      <c r="AH1568" s="10"/>
      <c r="AI1568" s="10"/>
    </row>
    <row r="1569" spans="28:35" ht="15" hidden="1" customHeight="1">
      <c r="AB1569" s="9"/>
      <c r="AC1569" s="9"/>
      <c r="AD1569" s="9"/>
      <c r="AF1569" s="10"/>
      <c r="AG1569" s="10"/>
      <c r="AH1569" s="10"/>
      <c r="AI1569" s="10"/>
    </row>
    <row r="1570" spans="28:35" ht="15" hidden="1" customHeight="1">
      <c r="AB1570" s="9"/>
      <c r="AC1570" s="9"/>
      <c r="AD1570" s="9"/>
      <c r="AF1570" s="10"/>
      <c r="AG1570" s="10"/>
      <c r="AH1570" s="10"/>
      <c r="AI1570" s="10"/>
    </row>
    <row r="1571" spans="28:35" ht="15" hidden="1" customHeight="1">
      <c r="AB1571" s="9"/>
      <c r="AC1571" s="9"/>
      <c r="AD1571" s="9"/>
      <c r="AF1571" s="10"/>
      <c r="AG1571" s="10"/>
      <c r="AH1571" s="10"/>
      <c r="AI1571" s="10"/>
    </row>
    <row r="1572" spans="28:35" ht="15" hidden="1" customHeight="1">
      <c r="AB1572" s="9"/>
      <c r="AC1572" s="9"/>
      <c r="AD1572" s="9"/>
      <c r="AF1572" s="10"/>
      <c r="AG1572" s="10"/>
      <c r="AH1572" s="10"/>
      <c r="AI1572" s="10"/>
    </row>
    <row r="1573" spans="28:35" ht="15" hidden="1" customHeight="1">
      <c r="AB1573" s="9"/>
      <c r="AC1573" s="9"/>
      <c r="AD1573" s="9"/>
      <c r="AF1573" s="10"/>
      <c r="AG1573" s="10"/>
      <c r="AH1573" s="10"/>
      <c r="AI1573" s="10"/>
    </row>
    <row r="1574" spans="28:35" ht="15" hidden="1" customHeight="1">
      <c r="AB1574" s="9"/>
      <c r="AC1574" s="9"/>
      <c r="AD1574" s="9"/>
      <c r="AF1574" s="10"/>
      <c r="AG1574" s="10"/>
      <c r="AH1574" s="10"/>
      <c r="AI1574" s="10"/>
    </row>
    <row r="1575" spans="28:35" ht="15" hidden="1" customHeight="1">
      <c r="AB1575" s="9"/>
      <c r="AC1575" s="9"/>
      <c r="AD1575" s="9"/>
      <c r="AF1575" s="10"/>
      <c r="AG1575" s="10"/>
      <c r="AH1575" s="10"/>
      <c r="AI1575" s="10"/>
    </row>
    <row r="1576" spans="28:35" ht="15" hidden="1" customHeight="1">
      <c r="AB1576" s="9"/>
      <c r="AC1576" s="9"/>
      <c r="AD1576" s="9"/>
      <c r="AF1576" s="10"/>
      <c r="AG1576" s="10"/>
      <c r="AH1576" s="10"/>
      <c r="AI1576" s="10"/>
    </row>
    <row r="1577" spans="28:35" ht="15" hidden="1" customHeight="1">
      <c r="AB1577" s="9"/>
      <c r="AC1577" s="9"/>
      <c r="AD1577" s="9"/>
      <c r="AF1577" s="10"/>
      <c r="AG1577" s="10"/>
      <c r="AH1577" s="10"/>
      <c r="AI1577" s="10"/>
    </row>
    <row r="1578" spans="28:35" ht="15" hidden="1" customHeight="1">
      <c r="AB1578" s="9"/>
      <c r="AC1578" s="9"/>
      <c r="AD1578" s="9"/>
      <c r="AF1578" s="10"/>
      <c r="AG1578" s="10"/>
      <c r="AH1578" s="10"/>
      <c r="AI1578" s="10"/>
    </row>
    <row r="1579" spans="28:35" ht="15" hidden="1" customHeight="1">
      <c r="AB1579" s="9"/>
      <c r="AC1579" s="9"/>
      <c r="AD1579" s="9"/>
      <c r="AF1579" s="10"/>
      <c r="AG1579" s="10"/>
      <c r="AH1579" s="10"/>
      <c r="AI1579" s="10"/>
    </row>
    <row r="1580" spans="28:35" ht="15" hidden="1" customHeight="1">
      <c r="AB1580" s="9"/>
      <c r="AC1580" s="9"/>
      <c r="AD1580" s="9"/>
      <c r="AF1580" s="10"/>
      <c r="AG1580" s="10"/>
      <c r="AH1580" s="10"/>
      <c r="AI1580" s="10"/>
    </row>
    <row r="1581" spans="28:35" ht="15" hidden="1" customHeight="1">
      <c r="AB1581" s="9"/>
      <c r="AC1581" s="9"/>
      <c r="AD1581" s="9"/>
      <c r="AF1581" s="10"/>
      <c r="AG1581" s="10"/>
      <c r="AH1581" s="10"/>
      <c r="AI1581" s="10"/>
    </row>
    <row r="1582" spans="28:35" ht="15" hidden="1" customHeight="1">
      <c r="AB1582" s="9"/>
      <c r="AC1582" s="9"/>
      <c r="AD1582" s="9"/>
      <c r="AF1582" s="10"/>
      <c r="AG1582" s="10"/>
      <c r="AH1582" s="10"/>
      <c r="AI1582" s="10"/>
    </row>
    <row r="1583" spans="28:35" ht="15" hidden="1" customHeight="1">
      <c r="AB1583" s="9"/>
      <c r="AC1583" s="9"/>
      <c r="AD1583" s="9"/>
      <c r="AF1583" s="10"/>
      <c r="AG1583" s="10"/>
      <c r="AH1583" s="10"/>
      <c r="AI1583" s="10"/>
    </row>
    <row r="1584" spans="28:35" ht="15" hidden="1" customHeight="1">
      <c r="AB1584" s="9"/>
      <c r="AC1584" s="9"/>
      <c r="AD1584" s="9"/>
      <c r="AF1584" s="10"/>
      <c r="AG1584" s="10"/>
      <c r="AH1584" s="10"/>
      <c r="AI1584" s="10"/>
    </row>
    <row r="1585" spans="28:35" ht="15" hidden="1" customHeight="1">
      <c r="AB1585" s="9"/>
      <c r="AC1585" s="9"/>
      <c r="AD1585" s="9"/>
      <c r="AF1585" s="10"/>
      <c r="AG1585" s="10"/>
      <c r="AH1585" s="10"/>
      <c r="AI1585" s="10"/>
    </row>
    <row r="1586" spans="28:35" ht="15" hidden="1" customHeight="1">
      <c r="AB1586" s="9"/>
      <c r="AC1586" s="9"/>
      <c r="AD1586" s="9"/>
      <c r="AF1586" s="10"/>
      <c r="AG1586" s="10"/>
      <c r="AH1586" s="10"/>
      <c r="AI1586" s="10"/>
    </row>
    <row r="1587" spans="28:35" ht="15" hidden="1" customHeight="1">
      <c r="AB1587" s="9"/>
      <c r="AC1587" s="9"/>
      <c r="AD1587" s="9"/>
      <c r="AF1587" s="10"/>
      <c r="AG1587" s="10"/>
      <c r="AH1587" s="10"/>
      <c r="AI1587" s="10"/>
    </row>
    <row r="1588" spans="28:35" ht="15" hidden="1" customHeight="1">
      <c r="AB1588" s="9"/>
      <c r="AC1588" s="9"/>
      <c r="AD1588" s="9"/>
      <c r="AF1588" s="10"/>
      <c r="AG1588" s="10"/>
      <c r="AH1588" s="10"/>
      <c r="AI1588" s="10"/>
    </row>
    <row r="1589" spans="28:35" ht="15" hidden="1" customHeight="1">
      <c r="AB1589" s="9"/>
      <c r="AC1589" s="9"/>
      <c r="AD1589" s="9"/>
      <c r="AF1589" s="10"/>
      <c r="AG1589" s="10"/>
      <c r="AH1589" s="10"/>
      <c r="AI1589" s="10"/>
    </row>
    <row r="1590" spans="28:35" ht="15" hidden="1" customHeight="1">
      <c r="AB1590" s="9"/>
      <c r="AC1590" s="9"/>
      <c r="AD1590" s="9"/>
      <c r="AF1590" s="10"/>
      <c r="AG1590" s="10"/>
      <c r="AH1590" s="10"/>
      <c r="AI1590" s="10"/>
    </row>
    <row r="1591" spans="28:35" ht="15" hidden="1" customHeight="1">
      <c r="AB1591" s="9"/>
      <c r="AC1591" s="9"/>
      <c r="AD1591" s="9"/>
      <c r="AF1591" s="10"/>
      <c r="AG1591" s="10"/>
      <c r="AH1591" s="10"/>
      <c r="AI1591" s="10"/>
    </row>
    <row r="1592" spans="28:35" ht="15" hidden="1" customHeight="1">
      <c r="AB1592" s="9"/>
      <c r="AC1592" s="9"/>
      <c r="AD1592" s="9"/>
      <c r="AF1592" s="10"/>
      <c r="AG1592" s="10"/>
      <c r="AH1592" s="10"/>
      <c r="AI1592" s="10"/>
    </row>
    <row r="1593" spans="28:35" ht="15" hidden="1" customHeight="1">
      <c r="AB1593" s="9"/>
      <c r="AC1593" s="9"/>
      <c r="AD1593" s="9"/>
      <c r="AF1593" s="10"/>
      <c r="AG1593" s="10"/>
      <c r="AH1593" s="10"/>
      <c r="AI1593" s="10"/>
    </row>
    <row r="1594" spans="28:35" ht="15" hidden="1" customHeight="1">
      <c r="AB1594" s="9"/>
      <c r="AC1594" s="9"/>
      <c r="AD1594" s="9"/>
      <c r="AF1594" s="10"/>
      <c r="AG1594" s="10"/>
      <c r="AH1594" s="10"/>
      <c r="AI1594" s="10"/>
    </row>
    <row r="1595" spans="28:35" ht="15" hidden="1" customHeight="1">
      <c r="AB1595" s="9"/>
      <c r="AC1595" s="9"/>
      <c r="AD1595" s="9"/>
      <c r="AF1595" s="10"/>
      <c r="AG1595" s="10"/>
      <c r="AH1595" s="10"/>
      <c r="AI1595" s="10"/>
    </row>
    <row r="1596" spans="28:35" ht="15" hidden="1" customHeight="1">
      <c r="AB1596" s="9"/>
      <c r="AC1596" s="9"/>
      <c r="AD1596" s="9"/>
      <c r="AF1596" s="10"/>
      <c r="AG1596" s="10"/>
      <c r="AH1596" s="10"/>
      <c r="AI1596" s="10"/>
    </row>
    <row r="1597" spans="28:35" ht="15" hidden="1" customHeight="1">
      <c r="AB1597" s="9"/>
      <c r="AC1597" s="9"/>
      <c r="AD1597" s="9"/>
      <c r="AF1597" s="10"/>
      <c r="AG1597" s="10"/>
      <c r="AH1597" s="10"/>
      <c r="AI1597" s="10"/>
    </row>
    <row r="1598" spans="28:35" ht="15" hidden="1" customHeight="1">
      <c r="AB1598" s="9"/>
      <c r="AC1598" s="9"/>
      <c r="AD1598" s="9"/>
      <c r="AF1598" s="10"/>
      <c r="AG1598" s="10"/>
      <c r="AH1598" s="10"/>
      <c r="AI1598" s="10"/>
    </row>
    <row r="1599" spans="28:35" ht="15" hidden="1" customHeight="1">
      <c r="AB1599" s="9"/>
      <c r="AC1599" s="9"/>
      <c r="AD1599" s="9"/>
      <c r="AF1599" s="10"/>
      <c r="AG1599" s="10"/>
      <c r="AH1599" s="10"/>
      <c r="AI1599" s="10"/>
    </row>
    <row r="1600" spans="28:35" ht="15" hidden="1" customHeight="1">
      <c r="AB1600" s="9"/>
      <c r="AC1600" s="9"/>
      <c r="AD1600" s="9"/>
      <c r="AF1600" s="10"/>
      <c r="AG1600" s="10"/>
      <c r="AH1600" s="10"/>
      <c r="AI1600" s="10"/>
    </row>
    <row r="1601" spans="28:35" ht="15" hidden="1" customHeight="1">
      <c r="AB1601" s="9"/>
      <c r="AC1601" s="9"/>
      <c r="AD1601" s="9"/>
      <c r="AF1601" s="10"/>
      <c r="AG1601" s="10"/>
      <c r="AH1601" s="10"/>
      <c r="AI1601" s="10"/>
    </row>
    <row r="1602" spans="28:35" ht="15" hidden="1" customHeight="1">
      <c r="AB1602" s="9"/>
      <c r="AC1602" s="9"/>
      <c r="AD1602" s="9"/>
      <c r="AF1602" s="10"/>
      <c r="AG1602" s="10"/>
      <c r="AH1602" s="10"/>
      <c r="AI1602" s="10"/>
    </row>
    <row r="1603" spans="28:35" ht="15" hidden="1" customHeight="1">
      <c r="AB1603" s="9"/>
      <c r="AC1603" s="9"/>
      <c r="AD1603" s="9"/>
      <c r="AF1603" s="10"/>
      <c r="AG1603" s="10"/>
      <c r="AH1603" s="10"/>
      <c r="AI1603" s="10"/>
    </row>
    <row r="1604" spans="28:35" ht="15" hidden="1" customHeight="1">
      <c r="AB1604" s="9"/>
      <c r="AC1604" s="9"/>
      <c r="AD1604" s="9"/>
      <c r="AF1604" s="10"/>
      <c r="AG1604" s="10"/>
      <c r="AH1604" s="10"/>
      <c r="AI1604" s="10"/>
    </row>
    <row r="1605" spans="28:35" ht="15" hidden="1" customHeight="1">
      <c r="AB1605" s="9"/>
      <c r="AC1605" s="9"/>
      <c r="AD1605" s="9"/>
      <c r="AF1605" s="10"/>
      <c r="AG1605" s="10"/>
      <c r="AH1605" s="10"/>
      <c r="AI1605" s="10"/>
    </row>
    <row r="1606" spans="28:35" ht="15" hidden="1" customHeight="1">
      <c r="AB1606" s="9"/>
      <c r="AC1606" s="9"/>
      <c r="AD1606" s="9"/>
      <c r="AF1606" s="10"/>
      <c r="AG1606" s="10"/>
      <c r="AH1606" s="10"/>
      <c r="AI1606" s="10"/>
    </row>
    <row r="1607" spans="28:35" ht="15" hidden="1" customHeight="1">
      <c r="AB1607" s="9"/>
      <c r="AC1607" s="9"/>
      <c r="AD1607" s="9"/>
      <c r="AF1607" s="10"/>
      <c r="AG1607" s="10"/>
      <c r="AH1607" s="10"/>
      <c r="AI1607" s="10"/>
    </row>
    <row r="1608" spans="28:35" ht="15" hidden="1" customHeight="1">
      <c r="AB1608" s="9"/>
      <c r="AC1608" s="9"/>
      <c r="AD1608" s="9"/>
      <c r="AF1608" s="10"/>
      <c r="AG1608" s="10"/>
      <c r="AH1608" s="10"/>
      <c r="AI1608" s="10"/>
    </row>
    <row r="1609" spans="28:35" ht="15" hidden="1" customHeight="1">
      <c r="AB1609" s="9"/>
      <c r="AC1609" s="9"/>
      <c r="AD1609" s="9"/>
      <c r="AF1609" s="10"/>
      <c r="AG1609" s="10"/>
      <c r="AH1609" s="10"/>
      <c r="AI1609" s="10"/>
    </row>
    <row r="1610" spans="28:35" ht="15" hidden="1" customHeight="1">
      <c r="AB1610" s="9"/>
      <c r="AC1610" s="9"/>
      <c r="AD1610" s="9"/>
      <c r="AF1610" s="10"/>
      <c r="AG1610" s="10"/>
      <c r="AH1610" s="10"/>
      <c r="AI1610" s="10"/>
    </row>
    <row r="1611" spans="28:35" ht="15" hidden="1" customHeight="1">
      <c r="AB1611" s="9"/>
      <c r="AC1611" s="9"/>
      <c r="AD1611" s="9"/>
      <c r="AF1611" s="10"/>
      <c r="AG1611" s="10"/>
      <c r="AH1611" s="10"/>
      <c r="AI1611" s="10"/>
    </row>
    <row r="1612" spans="28:35" ht="15" hidden="1" customHeight="1">
      <c r="AB1612" s="9"/>
      <c r="AC1612" s="9"/>
      <c r="AD1612" s="9"/>
      <c r="AF1612" s="10"/>
      <c r="AG1612" s="10"/>
      <c r="AH1612" s="10"/>
      <c r="AI1612" s="10"/>
    </row>
    <row r="1613" spans="28:35" ht="15" hidden="1" customHeight="1">
      <c r="AB1613" s="9"/>
      <c r="AC1613" s="9"/>
      <c r="AD1613" s="9"/>
      <c r="AF1613" s="10"/>
      <c r="AG1613" s="10"/>
      <c r="AH1613" s="10"/>
      <c r="AI1613" s="10"/>
    </row>
    <row r="1614" spans="28:35" ht="15" hidden="1" customHeight="1">
      <c r="AB1614" s="9"/>
      <c r="AC1614" s="9"/>
      <c r="AD1614" s="9"/>
      <c r="AF1614" s="10"/>
      <c r="AG1614" s="10"/>
      <c r="AH1614" s="10"/>
      <c r="AI1614" s="10"/>
    </row>
    <row r="1615" spans="28:35" ht="15" hidden="1" customHeight="1">
      <c r="AB1615" s="9"/>
      <c r="AC1615" s="9"/>
      <c r="AD1615" s="9"/>
      <c r="AF1615" s="10"/>
      <c r="AG1615" s="10"/>
      <c r="AH1615" s="10"/>
      <c r="AI1615" s="10"/>
    </row>
    <row r="1616" spans="28:35" ht="15" hidden="1" customHeight="1">
      <c r="AB1616" s="9"/>
      <c r="AC1616" s="9"/>
      <c r="AD1616" s="9"/>
      <c r="AF1616" s="10"/>
      <c r="AG1616" s="10"/>
      <c r="AH1616" s="10"/>
      <c r="AI1616" s="10"/>
    </row>
    <row r="1617" spans="28:35" ht="15" hidden="1" customHeight="1">
      <c r="AB1617" s="9"/>
      <c r="AC1617" s="9"/>
      <c r="AD1617" s="9"/>
      <c r="AF1617" s="10"/>
      <c r="AG1617" s="10"/>
      <c r="AH1617" s="10"/>
      <c r="AI1617" s="10"/>
    </row>
    <row r="1618" spans="28:35" ht="15" hidden="1" customHeight="1">
      <c r="AB1618" s="9"/>
      <c r="AC1618" s="9"/>
      <c r="AD1618" s="9"/>
      <c r="AF1618" s="10"/>
      <c r="AG1618" s="10"/>
      <c r="AH1618" s="10"/>
      <c r="AI1618" s="10"/>
    </row>
    <row r="1619" spans="28:35" ht="15" hidden="1" customHeight="1">
      <c r="AB1619" s="9"/>
      <c r="AC1619" s="9"/>
      <c r="AD1619" s="9"/>
      <c r="AF1619" s="10"/>
      <c r="AG1619" s="10"/>
      <c r="AH1619" s="10"/>
      <c r="AI1619" s="10"/>
    </row>
    <row r="1620" spans="28:35" ht="15" hidden="1" customHeight="1">
      <c r="AB1620" s="9"/>
      <c r="AC1620" s="9"/>
      <c r="AD1620" s="9"/>
      <c r="AF1620" s="10"/>
      <c r="AG1620" s="10"/>
      <c r="AH1620" s="10"/>
      <c r="AI1620" s="10"/>
    </row>
    <row r="1621" spans="28:35" ht="15" hidden="1" customHeight="1">
      <c r="AB1621" s="9"/>
      <c r="AC1621" s="9"/>
      <c r="AD1621" s="9"/>
      <c r="AF1621" s="10"/>
      <c r="AG1621" s="10"/>
      <c r="AH1621" s="10"/>
      <c r="AI1621" s="10"/>
    </row>
    <row r="1622" spans="28:35" ht="15" hidden="1" customHeight="1">
      <c r="AB1622" s="9"/>
      <c r="AC1622" s="9"/>
      <c r="AD1622" s="9"/>
      <c r="AF1622" s="10"/>
      <c r="AG1622" s="10"/>
      <c r="AH1622" s="10"/>
      <c r="AI1622" s="10"/>
    </row>
    <row r="1623" spans="28:35" ht="15" hidden="1" customHeight="1">
      <c r="AB1623" s="9"/>
      <c r="AC1623" s="9"/>
      <c r="AD1623" s="9"/>
      <c r="AF1623" s="10"/>
      <c r="AG1623" s="10"/>
      <c r="AH1623" s="10"/>
      <c r="AI1623" s="10"/>
    </row>
    <row r="1624" spans="28:35" ht="15" hidden="1" customHeight="1">
      <c r="AB1624" s="9"/>
      <c r="AC1624" s="9"/>
      <c r="AD1624" s="9"/>
      <c r="AF1624" s="10"/>
      <c r="AG1624" s="10"/>
      <c r="AH1624" s="10"/>
      <c r="AI1624" s="10"/>
    </row>
    <row r="1625" spans="28:35" ht="15" hidden="1" customHeight="1">
      <c r="AB1625" s="9"/>
      <c r="AC1625" s="9"/>
      <c r="AD1625" s="9"/>
      <c r="AF1625" s="10"/>
      <c r="AG1625" s="10"/>
      <c r="AH1625" s="10"/>
      <c r="AI1625" s="10"/>
    </row>
    <row r="1626" spans="28:35" ht="15" hidden="1" customHeight="1">
      <c r="AB1626" s="9"/>
      <c r="AC1626" s="9"/>
      <c r="AD1626" s="9"/>
      <c r="AF1626" s="10"/>
      <c r="AG1626" s="10"/>
      <c r="AH1626" s="10"/>
      <c r="AI1626" s="10"/>
    </row>
    <row r="1627" spans="28:35" ht="15" hidden="1" customHeight="1">
      <c r="AB1627" s="9"/>
      <c r="AC1627" s="9"/>
      <c r="AD1627" s="9"/>
      <c r="AF1627" s="10"/>
      <c r="AG1627" s="10"/>
      <c r="AH1627" s="10"/>
      <c r="AI1627" s="10"/>
    </row>
    <row r="1628" spans="28:35" ht="15" hidden="1" customHeight="1">
      <c r="AB1628" s="9"/>
      <c r="AC1628" s="9"/>
      <c r="AD1628" s="9"/>
      <c r="AF1628" s="10"/>
      <c r="AG1628" s="10"/>
      <c r="AH1628" s="10"/>
      <c r="AI1628" s="10"/>
    </row>
    <row r="1629" spans="28:35" ht="15" hidden="1" customHeight="1">
      <c r="AB1629" s="9"/>
      <c r="AC1629" s="9"/>
      <c r="AD1629" s="9"/>
      <c r="AF1629" s="10"/>
      <c r="AG1629" s="10"/>
      <c r="AH1629" s="10"/>
      <c r="AI1629" s="10"/>
    </row>
    <row r="1630" spans="28:35" ht="15" hidden="1" customHeight="1">
      <c r="AB1630" s="9"/>
      <c r="AC1630" s="9"/>
      <c r="AD1630" s="9"/>
      <c r="AF1630" s="10"/>
      <c r="AG1630" s="10"/>
      <c r="AH1630" s="10"/>
      <c r="AI1630" s="10"/>
    </row>
    <row r="1631" spans="28:35" ht="15" hidden="1" customHeight="1">
      <c r="AB1631" s="9"/>
      <c r="AC1631" s="9"/>
      <c r="AD1631" s="9"/>
      <c r="AF1631" s="10"/>
      <c r="AG1631" s="10"/>
      <c r="AH1631" s="10"/>
      <c r="AI1631" s="10"/>
    </row>
    <row r="1632" spans="28:35" ht="15" hidden="1" customHeight="1">
      <c r="AB1632" s="9"/>
      <c r="AC1632" s="9"/>
      <c r="AD1632" s="9"/>
      <c r="AF1632" s="10"/>
      <c r="AG1632" s="10"/>
      <c r="AH1632" s="10"/>
      <c r="AI1632" s="10"/>
    </row>
    <row r="1633" spans="28:35" ht="15" hidden="1" customHeight="1">
      <c r="AB1633" s="9"/>
      <c r="AC1633" s="9"/>
      <c r="AD1633" s="9"/>
      <c r="AF1633" s="10"/>
      <c r="AG1633" s="10"/>
      <c r="AH1633" s="10"/>
      <c r="AI1633" s="10"/>
    </row>
    <row r="1634" spans="28:35" ht="15" hidden="1" customHeight="1">
      <c r="AB1634" s="9"/>
      <c r="AC1634" s="9"/>
      <c r="AD1634" s="9"/>
      <c r="AF1634" s="10"/>
      <c r="AG1634" s="10"/>
      <c r="AH1634" s="10"/>
      <c r="AI1634" s="10"/>
    </row>
    <row r="1635" spans="28:35" ht="15" hidden="1" customHeight="1">
      <c r="AB1635" s="9"/>
      <c r="AC1635" s="9"/>
      <c r="AD1635" s="9"/>
      <c r="AF1635" s="10"/>
      <c r="AG1635" s="10"/>
      <c r="AH1635" s="10"/>
      <c r="AI1635" s="10"/>
    </row>
    <row r="1636" spans="28:35" ht="15" hidden="1" customHeight="1">
      <c r="AB1636" s="9"/>
      <c r="AC1636" s="9"/>
      <c r="AD1636" s="9"/>
      <c r="AF1636" s="10"/>
      <c r="AG1636" s="10"/>
      <c r="AH1636" s="10"/>
      <c r="AI1636" s="10"/>
    </row>
    <row r="1637" spans="28:35" ht="15" hidden="1" customHeight="1">
      <c r="AB1637" s="9"/>
      <c r="AC1637" s="9"/>
      <c r="AD1637" s="9"/>
      <c r="AF1637" s="10"/>
      <c r="AG1637" s="10"/>
      <c r="AH1637" s="10"/>
      <c r="AI1637" s="10"/>
    </row>
    <row r="1638" spans="28:35" ht="15" hidden="1" customHeight="1">
      <c r="AB1638" s="9"/>
      <c r="AC1638" s="9"/>
      <c r="AD1638" s="9"/>
      <c r="AF1638" s="10"/>
      <c r="AG1638" s="10"/>
      <c r="AH1638" s="10"/>
      <c r="AI1638" s="10"/>
    </row>
    <row r="1639" spans="28:35" ht="15" hidden="1" customHeight="1">
      <c r="AB1639" s="9"/>
      <c r="AC1639" s="9"/>
      <c r="AD1639" s="9"/>
      <c r="AF1639" s="10"/>
      <c r="AG1639" s="10"/>
      <c r="AH1639" s="10"/>
      <c r="AI1639" s="10"/>
    </row>
    <row r="1640" spans="28:35" ht="15" hidden="1" customHeight="1">
      <c r="AB1640" s="9"/>
      <c r="AC1640" s="9"/>
      <c r="AD1640" s="9"/>
      <c r="AF1640" s="10"/>
      <c r="AG1640" s="10"/>
      <c r="AH1640" s="10"/>
      <c r="AI1640" s="10"/>
    </row>
    <row r="1641" spans="28:35" ht="15" hidden="1" customHeight="1">
      <c r="AB1641" s="9"/>
      <c r="AC1641" s="9"/>
      <c r="AD1641" s="9"/>
      <c r="AF1641" s="10"/>
      <c r="AG1641" s="10"/>
      <c r="AH1641" s="10"/>
      <c r="AI1641" s="10"/>
    </row>
    <row r="1642" spans="28:35" ht="15" hidden="1" customHeight="1">
      <c r="AB1642" s="9"/>
      <c r="AC1642" s="9"/>
      <c r="AD1642" s="9"/>
      <c r="AF1642" s="10"/>
      <c r="AG1642" s="10"/>
      <c r="AH1642" s="10"/>
      <c r="AI1642" s="10"/>
    </row>
    <row r="1643" spans="28:35" ht="15" hidden="1" customHeight="1">
      <c r="AB1643" s="9"/>
      <c r="AC1643" s="9"/>
      <c r="AD1643" s="9"/>
      <c r="AF1643" s="10"/>
      <c r="AG1643" s="10"/>
      <c r="AH1643" s="10"/>
      <c r="AI1643" s="10"/>
    </row>
    <row r="1644" spans="28:35" ht="15" hidden="1" customHeight="1">
      <c r="AB1644" s="9"/>
      <c r="AC1644" s="9"/>
      <c r="AD1644" s="9"/>
      <c r="AF1644" s="10"/>
      <c r="AG1644" s="10"/>
      <c r="AH1644" s="10"/>
      <c r="AI1644" s="10"/>
    </row>
    <row r="1645" spans="28:35" ht="15" hidden="1" customHeight="1">
      <c r="AB1645" s="9"/>
      <c r="AC1645" s="9"/>
      <c r="AD1645" s="9"/>
      <c r="AF1645" s="10"/>
      <c r="AG1645" s="10"/>
      <c r="AH1645" s="10"/>
      <c r="AI1645" s="10"/>
    </row>
    <row r="1646" spans="28:35" ht="15" hidden="1" customHeight="1">
      <c r="AB1646" s="9"/>
      <c r="AC1646" s="9"/>
      <c r="AD1646" s="9"/>
      <c r="AF1646" s="10"/>
      <c r="AG1646" s="10"/>
      <c r="AH1646" s="10"/>
      <c r="AI1646" s="10"/>
    </row>
    <row r="1647" spans="28:35" ht="15" hidden="1" customHeight="1">
      <c r="AB1647" s="9"/>
      <c r="AC1647" s="9"/>
      <c r="AD1647" s="9"/>
      <c r="AF1647" s="10"/>
      <c r="AG1647" s="10"/>
      <c r="AH1647" s="10"/>
      <c r="AI1647" s="10"/>
    </row>
    <row r="1648" spans="28:35" ht="15" hidden="1" customHeight="1">
      <c r="AB1648" s="9"/>
      <c r="AC1648" s="9"/>
      <c r="AD1648" s="9"/>
      <c r="AF1648" s="10"/>
      <c r="AG1648" s="10"/>
      <c r="AH1648" s="10"/>
      <c r="AI1648" s="10"/>
    </row>
    <row r="1649" spans="28:35" ht="15" hidden="1" customHeight="1">
      <c r="AB1649" s="9"/>
      <c r="AC1649" s="9"/>
      <c r="AD1649" s="9"/>
      <c r="AF1649" s="10"/>
      <c r="AG1649" s="10"/>
      <c r="AH1649" s="10"/>
      <c r="AI1649" s="10"/>
    </row>
    <row r="1650" spans="28:35" ht="15" hidden="1" customHeight="1">
      <c r="AB1650" s="9"/>
      <c r="AC1650" s="9"/>
      <c r="AD1650" s="9"/>
      <c r="AF1650" s="10"/>
      <c r="AG1650" s="10"/>
      <c r="AH1650" s="10"/>
      <c r="AI1650" s="10"/>
    </row>
    <row r="1651" spans="28:35" ht="15" hidden="1" customHeight="1">
      <c r="AB1651" s="9"/>
      <c r="AC1651" s="9"/>
      <c r="AD1651" s="9"/>
      <c r="AF1651" s="10"/>
      <c r="AG1651" s="10"/>
      <c r="AH1651" s="10"/>
      <c r="AI1651" s="10"/>
    </row>
    <row r="1652" spans="28:35" ht="15" hidden="1" customHeight="1">
      <c r="AB1652" s="9"/>
      <c r="AC1652" s="9"/>
      <c r="AD1652" s="9"/>
      <c r="AF1652" s="10"/>
      <c r="AG1652" s="10"/>
      <c r="AH1652" s="10"/>
      <c r="AI1652" s="10"/>
    </row>
    <row r="1653" spans="28:35" ht="15" hidden="1" customHeight="1">
      <c r="AB1653" s="9"/>
      <c r="AC1653" s="9"/>
      <c r="AD1653" s="9"/>
      <c r="AF1653" s="10"/>
      <c r="AG1653" s="10"/>
      <c r="AH1653" s="10"/>
      <c r="AI1653" s="10"/>
    </row>
    <row r="1654" spans="28:35" ht="15" hidden="1" customHeight="1">
      <c r="AB1654" s="9"/>
      <c r="AC1654" s="9"/>
      <c r="AD1654" s="9"/>
      <c r="AF1654" s="10"/>
      <c r="AG1654" s="10"/>
      <c r="AH1654" s="10"/>
      <c r="AI1654" s="10"/>
    </row>
    <row r="1655" spans="28:35" ht="15" hidden="1" customHeight="1">
      <c r="AB1655" s="9"/>
      <c r="AC1655" s="9"/>
      <c r="AD1655" s="9"/>
      <c r="AF1655" s="10"/>
      <c r="AG1655" s="10"/>
      <c r="AH1655" s="10"/>
      <c r="AI1655" s="10"/>
    </row>
    <row r="1656" spans="28:35" ht="15" hidden="1" customHeight="1">
      <c r="AB1656" s="9"/>
      <c r="AC1656" s="9"/>
      <c r="AD1656" s="9"/>
      <c r="AF1656" s="10"/>
      <c r="AG1656" s="10"/>
      <c r="AH1656" s="10"/>
      <c r="AI1656" s="10"/>
    </row>
    <row r="1657" spans="28:35" ht="15" hidden="1" customHeight="1">
      <c r="AB1657" s="9"/>
      <c r="AC1657" s="9"/>
      <c r="AD1657" s="9"/>
      <c r="AF1657" s="10"/>
      <c r="AG1657" s="10"/>
      <c r="AH1657" s="10"/>
      <c r="AI1657" s="10"/>
    </row>
    <row r="1658" spans="28:35" ht="15" hidden="1" customHeight="1">
      <c r="AB1658" s="9"/>
      <c r="AC1658" s="9"/>
      <c r="AD1658" s="9"/>
      <c r="AF1658" s="10"/>
      <c r="AG1658" s="10"/>
      <c r="AH1658" s="10"/>
      <c r="AI1658" s="10"/>
    </row>
    <row r="1659" spans="28:35" ht="15" hidden="1" customHeight="1">
      <c r="AB1659" s="9"/>
      <c r="AC1659" s="9"/>
      <c r="AD1659" s="9"/>
      <c r="AF1659" s="10"/>
      <c r="AG1659" s="10"/>
      <c r="AH1659" s="10"/>
      <c r="AI1659" s="10"/>
    </row>
    <row r="1660" spans="28:35" ht="15" hidden="1" customHeight="1">
      <c r="AB1660" s="9"/>
      <c r="AC1660" s="9"/>
      <c r="AD1660" s="9"/>
      <c r="AF1660" s="10"/>
      <c r="AG1660" s="10"/>
      <c r="AH1660" s="10"/>
      <c r="AI1660" s="10"/>
    </row>
    <row r="1661" spans="28:35" ht="15" hidden="1" customHeight="1">
      <c r="AB1661" s="9"/>
      <c r="AC1661" s="9"/>
      <c r="AD1661" s="9"/>
      <c r="AF1661" s="10"/>
      <c r="AG1661" s="10"/>
      <c r="AH1661" s="10"/>
      <c r="AI1661" s="10"/>
    </row>
    <row r="1662" spans="28:35" ht="15" hidden="1" customHeight="1">
      <c r="AB1662" s="9"/>
      <c r="AC1662" s="9"/>
      <c r="AD1662" s="9"/>
      <c r="AF1662" s="10"/>
      <c r="AG1662" s="10"/>
      <c r="AH1662" s="10"/>
      <c r="AI1662" s="10"/>
    </row>
    <row r="1663" spans="28:35" ht="15" hidden="1" customHeight="1">
      <c r="AB1663" s="9"/>
      <c r="AC1663" s="9"/>
      <c r="AD1663" s="9"/>
      <c r="AF1663" s="10"/>
      <c r="AG1663" s="10"/>
      <c r="AH1663" s="10"/>
      <c r="AI1663" s="10"/>
    </row>
    <row r="1664" spans="28:35" ht="15" hidden="1" customHeight="1">
      <c r="AB1664" s="9"/>
      <c r="AC1664" s="9"/>
      <c r="AD1664" s="9"/>
      <c r="AF1664" s="10"/>
      <c r="AG1664" s="10"/>
      <c r="AH1664" s="10"/>
      <c r="AI1664" s="10"/>
    </row>
    <row r="1665" spans="28:35" ht="15" hidden="1" customHeight="1">
      <c r="AB1665" s="9"/>
      <c r="AC1665" s="9"/>
      <c r="AD1665" s="9"/>
      <c r="AF1665" s="10"/>
      <c r="AG1665" s="10"/>
      <c r="AH1665" s="10"/>
      <c r="AI1665" s="10"/>
    </row>
    <row r="1666" spans="28:35" ht="15" hidden="1" customHeight="1">
      <c r="AB1666" s="9"/>
      <c r="AC1666" s="9"/>
      <c r="AD1666" s="9"/>
      <c r="AF1666" s="10"/>
      <c r="AG1666" s="10"/>
      <c r="AH1666" s="10"/>
      <c r="AI1666" s="10"/>
    </row>
    <row r="1667" spans="28:35" ht="15" hidden="1" customHeight="1">
      <c r="AB1667" s="9"/>
      <c r="AC1667" s="9"/>
      <c r="AD1667" s="9"/>
      <c r="AF1667" s="10"/>
      <c r="AG1667" s="10"/>
      <c r="AH1667" s="10"/>
      <c r="AI1667" s="10"/>
    </row>
    <row r="1668" spans="28:35" ht="15" hidden="1" customHeight="1">
      <c r="AB1668" s="9"/>
      <c r="AC1668" s="9"/>
      <c r="AD1668" s="9"/>
      <c r="AF1668" s="10"/>
      <c r="AG1668" s="10"/>
      <c r="AH1668" s="10"/>
      <c r="AI1668" s="10"/>
    </row>
    <row r="1669" spans="28:35" ht="15" hidden="1" customHeight="1">
      <c r="AB1669" s="9"/>
      <c r="AC1669" s="9"/>
      <c r="AD1669" s="9"/>
      <c r="AF1669" s="10"/>
      <c r="AG1669" s="10"/>
      <c r="AH1669" s="10"/>
      <c r="AI1669" s="10"/>
    </row>
    <row r="1670" spans="28:35" ht="15" hidden="1" customHeight="1">
      <c r="AB1670" s="9"/>
      <c r="AC1670" s="9"/>
      <c r="AD1670" s="9"/>
      <c r="AF1670" s="10"/>
      <c r="AG1670" s="10"/>
      <c r="AH1670" s="10"/>
      <c r="AI1670" s="10"/>
    </row>
    <row r="1671" spans="28:35" ht="15" hidden="1" customHeight="1">
      <c r="AB1671" s="9"/>
      <c r="AC1671" s="9"/>
      <c r="AD1671" s="9"/>
      <c r="AF1671" s="10"/>
      <c r="AG1671" s="10"/>
      <c r="AH1671" s="10"/>
      <c r="AI1671" s="10"/>
    </row>
    <row r="1672" spans="28:35" ht="15" hidden="1" customHeight="1">
      <c r="AB1672" s="9"/>
      <c r="AC1672" s="9"/>
      <c r="AD1672" s="9"/>
      <c r="AF1672" s="10"/>
      <c r="AG1672" s="10"/>
      <c r="AH1672" s="10"/>
      <c r="AI1672" s="10"/>
    </row>
    <row r="1673" spans="28:35" ht="15" hidden="1" customHeight="1">
      <c r="AB1673" s="9"/>
      <c r="AC1673" s="9"/>
      <c r="AD1673" s="9"/>
      <c r="AF1673" s="10"/>
      <c r="AG1673" s="10"/>
      <c r="AH1673" s="10"/>
      <c r="AI1673" s="10"/>
    </row>
    <row r="1674" spans="28:35" ht="15" hidden="1" customHeight="1">
      <c r="AB1674" s="9"/>
      <c r="AC1674" s="9"/>
      <c r="AD1674" s="9"/>
      <c r="AF1674" s="10"/>
      <c r="AG1674" s="10"/>
      <c r="AH1674" s="10"/>
      <c r="AI1674" s="10"/>
    </row>
    <row r="1675" spans="28:35" ht="15" hidden="1" customHeight="1">
      <c r="AB1675" s="9"/>
      <c r="AC1675" s="9"/>
      <c r="AD1675" s="9"/>
      <c r="AF1675" s="10"/>
      <c r="AG1675" s="10"/>
      <c r="AH1675" s="10"/>
      <c r="AI1675" s="10"/>
    </row>
    <row r="1676" spans="28:35" ht="15" hidden="1" customHeight="1">
      <c r="AB1676" s="9"/>
      <c r="AC1676" s="9"/>
      <c r="AD1676" s="9"/>
      <c r="AF1676" s="10"/>
      <c r="AG1676" s="10"/>
      <c r="AH1676" s="10"/>
      <c r="AI1676" s="10"/>
    </row>
    <row r="1677" spans="28:35" ht="15" hidden="1" customHeight="1">
      <c r="AB1677" s="9"/>
      <c r="AC1677" s="9"/>
      <c r="AD1677" s="9"/>
      <c r="AF1677" s="10"/>
      <c r="AG1677" s="10"/>
      <c r="AH1677" s="10"/>
      <c r="AI1677" s="10"/>
    </row>
    <row r="1678" spans="28:35" ht="15" hidden="1" customHeight="1">
      <c r="AB1678" s="9"/>
      <c r="AC1678" s="9"/>
      <c r="AD1678" s="9"/>
      <c r="AF1678" s="10"/>
      <c r="AG1678" s="10"/>
      <c r="AH1678" s="10"/>
      <c r="AI1678" s="10"/>
    </row>
    <row r="1679" spans="28:35" ht="15" hidden="1" customHeight="1">
      <c r="AB1679" s="9"/>
      <c r="AC1679" s="9"/>
      <c r="AD1679" s="9"/>
      <c r="AF1679" s="10"/>
      <c r="AG1679" s="10"/>
      <c r="AH1679" s="10"/>
      <c r="AI1679" s="10"/>
    </row>
    <row r="1680" spans="28:35" ht="15" hidden="1" customHeight="1">
      <c r="AB1680" s="9"/>
      <c r="AC1680" s="9"/>
      <c r="AD1680" s="9"/>
      <c r="AF1680" s="10"/>
      <c r="AG1680" s="10"/>
      <c r="AH1680" s="10"/>
      <c r="AI1680" s="10"/>
    </row>
    <row r="1681" spans="28:35" ht="15" hidden="1" customHeight="1">
      <c r="AB1681" s="9"/>
      <c r="AC1681" s="9"/>
      <c r="AD1681" s="9"/>
      <c r="AF1681" s="10"/>
      <c r="AG1681" s="10"/>
      <c r="AH1681" s="10"/>
      <c r="AI1681" s="10"/>
    </row>
    <row r="1682" spans="28:35" ht="15" hidden="1" customHeight="1">
      <c r="AB1682" s="9"/>
      <c r="AC1682" s="9"/>
      <c r="AD1682" s="9"/>
      <c r="AF1682" s="10"/>
      <c r="AG1682" s="10"/>
      <c r="AH1682" s="10"/>
      <c r="AI1682" s="10"/>
    </row>
    <row r="1683" spans="28:35" ht="15" hidden="1" customHeight="1">
      <c r="AB1683" s="9"/>
      <c r="AC1683" s="9"/>
      <c r="AD1683" s="9"/>
      <c r="AF1683" s="10"/>
      <c r="AG1683" s="10"/>
      <c r="AH1683" s="10"/>
      <c r="AI1683" s="10"/>
    </row>
    <row r="1684" spans="28:35" ht="15" hidden="1" customHeight="1">
      <c r="AB1684" s="9"/>
      <c r="AC1684" s="9"/>
      <c r="AD1684" s="9"/>
      <c r="AF1684" s="10"/>
      <c r="AG1684" s="10"/>
      <c r="AH1684" s="10"/>
      <c r="AI1684" s="10"/>
    </row>
    <row r="1685" spans="28:35" ht="15" hidden="1" customHeight="1">
      <c r="AB1685" s="9"/>
      <c r="AC1685" s="9"/>
      <c r="AD1685" s="9"/>
      <c r="AF1685" s="10"/>
      <c r="AG1685" s="10"/>
      <c r="AH1685" s="10"/>
      <c r="AI1685" s="10"/>
    </row>
    <row r="1686" spans="28:35" ht="15" hidden="1" customHeight="1">
      <c r="AB1686" s="9"/>
      <c r="AC1686" s="9"/>
      <c r="AD1686" s="9"/>
      <c r="AF1686" s="10"/>
      <c r="AG1686" s="10"/>
      <c r="AH1686" s="10"/>
      <c r="AI1686" s="10"/>
    </row>
    <row r="1687" spans="28:35" ht="15" hidden="1" customHeight="1">
      <c r="AB1687" s="9"/>
      <c r="AC1687" s="9"/>
      <c r="AD1687" s="9"/>
      <c r="AF1687" s="10"/>
      <c r="AG1687" s="10"/>
      <c r="AH1687" s="10"/>
      <c r="AI1687" s="10"/>
    </row>
    <row r="1688" spans="28:35" ht="15" hidden="1" customHeight="1">
      <c r="AB1688" s="9"/>
      <c r="AC1688" s="9"/>
      <c r="AD1688" s="9"/>
      <c r="AF1688" s="10"/>
      <c r="AG1688" s="10"/>
      <c r="AH1688" s="10"/>
      <c r="AI1688" s="10"/>
    </row>
    <row r="1689" spans="28:35" ht="15" hidden="1" customHeight="1">
      <c r="AB1689" s="9"/>
      <c r="AC1689" s="9"/>
      <c r="AD1689" s="9"/>
      <c r="AF1689" s="10"/>
      <c r="AG1689" s="10"/>
      <c r="AH1689" s="10"/>
      <c r="AI1689" s="10"/>
    </row>
    <row r="1690" spans="28:35" ht="15" hidden="1" customHeight="1">
      <c r="AB1690" s="9"/>
      <c r="AC1690" s="9"/>
      <c r="AD1690" s="9"/>
      <c r="AF1690" s="10"/>
      <c r="AG1690" s="10"/>
      <c r="AH1690" s="10"/>
      <c r="AI1690" s="10"/>
    </row>
    <row r="1691" spans="28:35" ht="15" hidden="1" customHeight="1">
      <c r="AB1691" s="9"/>
      <c r="AC1691" s="9"/>
      <c r="AD1691" s="9"/>
      <c r="AF1691" s="10"/>
      <c r="AG1691" s="10"/>
      <c r="AH1691" s="10"/>
      <c r="AI1691" s="10"/>
    </row>
    <row r="1692" spans="28:35" ht="15" hidden="1" customHeight="1">
      <c r="AB1692" s="9"/>
      <c r="AC1692" s="9"/>
      <c r="AD1692" s="9"/>
      <c r="AF1692" s="10"/>
      <c r="AG1692" s="10"/>
      <c r="AH1692" s="10"/>
      <c r="AI1692" s="10"/>
    </row>
    <row r="1693" spans="28:35" ht="15" hidden="1" customHeight="1">
      <c r="AB1693" s="9"/>
      <c r="AC1693" s="9"/>
      <c r="AD1693" s="9"/>
      <c r="AF1693" s="10"/>
      <c r="AG1693" s="10"/>
      <c r="AH1693" s="10"/>
      <c r="AI1693" s="10"/>
    </row>
    <row r="1694" spans="28:35" ht="15" hidden="1" customHeight="1">
      <c r="AB1694" s="9"/>
      <c r="AC1694" s="9"/>
      <c r="AD1694" s="9"/>
      <c r="AF1694" s="10"/>
      <c r="AG1694" s="10"/>
      <c r="AH1694" s="10"/>
      <c r="AI1694" s="10"/>
    </row>
    <row r="1695" spans="28:35" ht="15" hidden="1" customHeight="1">
      <c r="AB1695" s="9"/>
      <c r="AC1695" s="9"/>
      <c r="AD1695" s="9"/>
      <c r="AF1695" s="10"/>
      <c r="AG1695" s="10"/>
      <c r="AH1695" s="10"/>
      <c r="AI1695" s="10"/>
    </row>
    <row r="1696" spans="28:35" ht="15" hidden="1" customHeight="1">
      <c r="AB1696" s="9"/>
      <c r="AC1696" s="9"/>
      <c r="AD1696" s="9"/>
      <c r="AF1696" s="10"/>
      <c r="AG1696" s="10"/>
      <c r="AH1696" s="10"/>
      <c r="AI1696" s="10"/>
    </row>
    <row r="1697" spans="28:35" ht="15" hidden="1" customHeight="1">
      <c r="AB1697" s="9"/>
      <c r="AC1697" s="9"/>
      <c r="AD1697" s="9"/>
      <c r="AF1697" s="10"/>
      <c r="AG1697" s="10"/>
      <c r="AH1697" s="10"/>
      <c r="AI1697" s="10"/>
    </row>
    <row r="1698" spans="28:35" ht="15" hidden="1" customHeight="1">
      <c r="AB1698" s="9"/>
      <c r="AC1698" s="9"/>
      <c r="AD1698" s="9"/>
      <c r="AF1698" s="10"/>
      <c r="AG1698" s="10"/>
      <c r="AH1698" s="10"/>
      <c r="AI1698" s="10"/>
    </row>
    <row r="1699" spans="28:35" ht="15" hidden="1" customHeight="1">
      <c r="AB1699" s="9"/>
      <c r="AC1699" s="9"/>
      <c r="AD1699" s="9"/>
      <c r="AF1699" s="10"/>
      <c r="AG1699" s="10"/>
      <c r="AH1699" s="10"/>
      <c r="AI1699" s="10"/>
    </row>
    <row r="1700" spans="28:35" ht="15" hidden="1" customHeight="1">
      <c r="AB1700" s="9"/>
      <c r="AC1700" s="9"/>
      <c r="AD1700" s="9"/>
      <c r="AF1700" s="10"/>
      <c r="AG1700" s="10"/>
      <c r="AH1700" s="10"/>
      <c r="AI1700" s="10"/>
    </row>
    <row r="1701" spans="28:35" ht="15" hidden="1" customHeight="1">
      <c r="AB1701" s="9"/>
      <c r="AC1701" s="9"/>
      <c r="AD1701" s="9"/>
      <c r="AF1701" s="10"/>
      <c r="AG1701" s="10"/>
      <c r="AH1701" s="10"/>
      <c r="AI1701" s="10"/>
    </row>
    <row r="1702" spans="28:35" ht="15" hidden="1" customHeight="1">
      <c r="AB1702" s="9"/>
      <c r="AC1702" s="9"/>
      <c r="AD1702" s="9"/>
      <c r="AF1702" s="10"/>
      <c r="AG1702" s="10"/>
      <c r="AH1702" s="10"/>
      <c r="AI1702" s="10"/>
    </row>
    <row r="1703" spans="28:35" ht="15" hidden="1" customHeight="1">
      <c r="AB1703" s="9"/>
      <c r="AC1703" s="9"/>
      <c r="AD1703" s="9"/>
      <c r="AF1703" s="10"/>
      <c r="AG1703" s="10"/>
      <c r="AH1703" s="10"/>
      <c r="AI1703" s="10"/>
    </row>
    <row r="1704" spans="28:35" ht="15" hidden="1" customHeight="1">
      <c r="AB1704" s="9"/>
      <c r="AC1704" s="9"/>
      <c r="AD1704" s="9"/>
      <c r="AF1704" s="10"/>
      <c r="AG1704" s="10"/>
      <c r="AH1704" s="10"/>
      <c r="AI1704" s="10"/>
    </row>
    <row r="1705" spans="28:35" ht="15" hidden="1" customHeight="1">
      <c r="AB1705" s="9"/>
      <c r="AC1705" s="9"/>
      <c r="AD1705" s="9"/>
      <c r="AF1705" s="10"/>
      <c r="AG1705" s="10"/>
      <c r="AH1705" s="10"/>
      <c r="AI1705" s="10"/>
    </row>
    <row r="1706" spans="28:35" ht="15" hidden="1" customHeight="1">
      <c r="AB1706" s="9"/>
      <c r="AC1706" s="9"/>
      <c r="AD1706" s="9"/>
      <c r="AF1706" s="10"/>
      <c r="AG1706" s="10"/>
      <c r="AH1706" s="10"/>
      <c r="AI1706" s="10"/>
    </row>
    <row r="1707" spans="28:35" ht="15" hidden="1" customHeight="1">
      <c r="AB1707" s="9"/>
      <c r="AC1707" s="9"/>
      <c r="AD1707" s="9"/>
      <c r="AF1707" s="10"/>
      <c r="AG1707" s="10"/>
      <c r="AH1707" s="10"/>
      <c r="AI1707" s="10"/>
    </row>
    <row r="1708" spans="28:35" ht="15" hidden="1" customHeight="1">
      <c r="AB1708" s="9"/>
      <c r="AC1708" s="9"/>
      <c r="AD1708" s="9"/>
      <c r="AF1708" s="10"/>
      <c r="AG1708" s="10"/>
      <c r="AH1708" s="10"/>
      <c r="AI1708" s="10"/>
    </row>
    <row r="1709" spans="28:35" ht="15" hidden="1" customHeight="1">
      <c r="AB1709" s="9"/>
      <c r="AC1709" s="9"/>
      <c r="AD1709" s="9"/>
      <c r="AF1709" s="10"/>
      <c r="AG1709" s="10"/>
      <c r="AH1709" s="10"/>
      <c r="AI1709" s="10"/>
    </row>
    <row r="1710" spans="28:35" ht="15" hidden="1" customHeight="1">
      <c r="AB1710" s="9"/>
      <c r="AC1710" s="9"/>
      <c r="AD1710" s="9"/>
      <c r="AF1710" s="10"/>
      <c r="AG1710" s="10"/>
      <c r="AH1710" s="10"/>
      <c r="AI1710" s="10"/>
    </row>
    <row r="1711" spans="28:35" ht="15" hidden="1" customHeight="1">
      <c r="AB1711" s="9"/>
      <c r="AC1711" s="9"/>
      <c r="AD1711" s="9"/>
      <c r="AF1711" s="10"/>
      <c r="AG1711" s="10"/>
      <c r="AH1711" s="10"/>
      <c r="AI1711" s="10"/>
    </row>
    <row r="1712" spans="28:35" ht="15" hidden="1" customHeight="1">
      <c r="AB1712" s="9"/>
      <c r="AC1712" s="9"/>
      <c r="AD1712" s="9"/>
      <c r="AF1712" s="10"/>
      <c r="AG1712" s="10"/>
      <c r="AH1712" s="10"/>
      <c r="AI1712" s="10"/>
    </row>
    <row r="1713" spans="28:35" ht="15" hidden="1" customHeight="1">
      <c r="AB1713" s="9"/>
      <c r="AC1713" s="9"/>
      <c r="AD1713" s="9"/>
      <c r="AF1713" s="10"/>
      <c r="AG1713" s="10"/>
      <c r="AH1713" s="10"/>
      <c r="AI1713" s="10"/>
    </row>
    <row r="1714" spans="28:35" ht="15" hidden="1" customHeight="1">
      <c r="AB1714" s="9"/>
      <c r="AC1714" s="9"/>
      <c r="AD1714" s="9"/>
      <c r="AF1714" s="10"/>
      <c r="AG1714" s="10"/>
      <c r="AH1714" s="10"/>
      <c r="AI1714" s="10"/>
    </row>
    <row r="1715" spans="28:35" ht="15" hidden="1" customHeight="1">
      <c r="AB1715" s="9"/>
      <c r="AC1715" s="9"/>
      <c r="AD1715" s="9"/>
      <c r="AF1715" s="10"/>
      <c r="AG1715" s="10"/>
      <c r="AH1715" s="10"/>
      <c r="AI1715" s="10"/>
    </row>
    <row r="1716" spans="28:35" ht="15" hidden="1" customHeight="1">
      <c r="AB1716" s="9"/>
      <c r="AC1716" s="9"/>
      <c r="AD1716" s="9"/>
      <c r="AF1716" s="10"/>
      <c r="AG1716" s="10"/>
      <c r="AH1716" s="10"/>
      <c r="AI1716" s="10"/>
    </row>
    <row r="1717" spans="28:35" ht="15" hidden="1" customHeight="1">
      <c r="AB1717" s="9"/>
      <c r="AC1717" s="9"/>
      <c r="AD1717" s="9"/>
      <c r="AF1717" s="10"/>
      <c r="AG1717" s="10"/>
      <c r="AH1717" s="10"/>
      <c r="AI1717" s="10"/>
    </row>
    <row r="1718" spans="28:35" ht="15" hidden="1" customHeight="1">
      <c r="AB1718" s="9"/>
      <c r="AC1718" s="9"/>
      <c r="AD1718" s="9"/>
      <c r="AF1718" s="10"/>
      <c r="AG1718" s="10"/>
      <c r="AH1718" s="10"/>
      <c r="AI1718" s="10"/>
    </row>
    <row r="1719" spans="28:35" ht="15" hidden="1" customHeight="1">
      <c r="AB1719" s="9"/>
      <c r="AC1719" s="9"/>
      <c r="AD1719" s="9"/>
      <c r="AF1719" s="10"/>
      <c r="AG1719" s="10"/>
      <c r="AH1719" s="10"/>
      <c r="AI1719" s="10"/>
    </row>
    <row r="1720" spans="28:35" ht="15" hidden="1" customHeight="1">
      <c r="AB1720" s="9"/>
      <c r="AC1720" s="9"/>
      <c r="AD1720" s="9"/>
      <c r="AF1720" s="10"/>
      <c r="AG1720" s="10"/>
      <c r="AH1720" s="10"/>
      <c r="AI1720" s="10"/>
    </row>
    <row r="1721" spans="28:35" ht="15" hidden="1" customHeight="1">
      <c r="AB1721" s="9"/>
      <c r="AC1721" s="9"/>
      <c r="AD1721" s="9"/>
      <c r="AF1721" s="10"/>
      <c r="AG1721" s="10"/>
      <c r="AH1721" s="10"/>
      <c r="AI1721" s="10"/>
    </row>
    <row r="1722" spans="28:35" ht="15" hidden="1" customHeight="1">
      <c r="AB1722" s="9"/>
      <c r="AC1722" s="9"/>
      <c r="AD1722" s="9"/>
      <c r="AF1722" s="10"/>
      <c r="AG1722" s="10"/>
      <c r="AH1722" s="10"/>
      <c r="AI1722" s="10"/>
    </row>
    <row r="1723" spans="28:35" ht="15" hidden="1" customHeight="1">
      <c r="AB1723" s="9"/>
      <c r="AC1723" s="9"/>
      <c r="AD1723" s="9"/>
      <c r="AF1723" s="10"/>
      <c r="AG1723" s="10"/>
      <c r="AH1723" s="10"/>
      <c r="AI1723" s="10"/>
    </row>
    <row r="1724" spans="28:35" ht="15" hidden="1" customHeight="1">
      <c r="AB1724" s="9"/>
      <c r="AC1724" s="9"/>
      <c r="AD1724" s="9"/>
      <c r="AF1724" s="10"/>
      <c r="AG1724" s="10"/>
      <c r="AH1724" s="10"/>
      <c r="AI1724" s="10"/>
    </row>
    <row r="1725" spans="28:35" ht="15" hidden="1" customHeight="1">
      <c r="AB1725" s="9"/>
      <c r="AC1725" s="9"/>
      <c r="AD1725" s="9"/>
      <c r="AF1725" s="10"/>
      <c r="AG1725" s="10"/>
      <c r="AH1725" s="10"/>
      <c r="AI1725" s="10"/>
    </row>
    <row r="1726" spans="28:35" ht="15" hidden="1" customHeight="1">
      <c r="AB1726" s="9"/>
      <c r="AC1726" s="9"/>
      <c r="AD1726" s="9"/>
      <c r="AF1726" s="10"/>
      <c r="AG1726" s="10"/>
      <c r="AH1726" s="10"/>
      <c r="AI1726" s="10"/>
    </row>
    <row r="1727" spans="28:35" ht="15" hidden="1" customHeight="1">
      <c r="AB1727" s="9"/>
      <c r="AC1727" s="9"/>
      <c r="AD1727" s="9"/>
      <c r="AF1727" s="10"/>
      <c r="AG1727" s="10"/>
      <c r="AH1727" s="10"/>
      <c r="AI1727" s="10"/>
    </row>
    <row r="1728" spans="28:35" ht="15" hidden="1" customHeight="1">
      <c r="AB1728" s="9"/>
      <c r="AC1728" s="9"/>
      <c r="AD1728" s="9"/>
      <c r="AF1728" s="10"/>
      <c r="AG1728" s="10"/>
      <c r="AH1728" s="10"/>
      <c r="AI1728" s="10"/>
    </row>
    <row r="1729" spans="28:35" ht="15" hidden="1" customHeight="1">
      <c r="AB1729" s="9"/>
      <c r="AC1729" s="9"/>
      <c r="AD1729" s="9"/>
      <c r="AF1729" s="10"/>
      <c r="AG1729" s="10"/>
      <c r="AH1729" s="10"/>
      <c r="AI1729" s="10"/>
    </row>
    <row r="1730" spans="28:35" ht="15" hidden="1" customHeight="1">
      <c r="AB1730" s="9"/>
      <c r="AC1730" s="9"/>
      <c r="AD1730" s="9"/>
      <c r="AF1730" s="10"/>
      <c r="AG1730" s="10"/>
      <c r="AH1730" s="10"/>
      <c r="AI1730" s="10"/>
    </row>
    <row r="1731" spans="28:35" ht="15" hidden="1" customHeight="1">
      <c r="AB1731" s="9"/>
      <c r="AC1731" s="9"/>
      <c r="AD1731" s="9"/>
      <c r="AF1731" s="10"/>
      <c r="AG1731" s="10"/>
      <c r="AH1731" s="10"/>
      <c r="AI1731" s="10"/>
    </row>
    <row r="1732" spans="28:35" ht="15" hidden="1" customHeight="1">
      <c r="AB1732" s="9"/>
      <c r="AC1732" s="9"/>
      <c r="AD1732" s="9"/>
      <c r="AF1732" s="10"/>
      <c r="AG1732" s="10"/>
      <c r="AH1732" s="10"/>
      <c r="AI1732" s="10"/>
    </row>
    <row r="1733" spans="28:35" ht="15" hidden="1" customHeight="1">
      <c r="AB1733" s="9"/>
      <c r="AC1733" s="9"/>
      <c r="AD1733" s="9"/>
      <c r="AF1733" s="10"/>
      <c r="AG1733" s="10"/>
      <c r="AH1733" s="10"/>
      <c r="AI1733" s="10"/>
    </row>
    <row r="1734" spans="28:35" ht="15" hidden="1" customHeight="1">
      <c r="AB1734" s="9"/>
      <c r="AC1734" s="9"/>
      <c r="AD1734" s="9"/>
      <c r="AF1734" s="10"/>
      <c r="AG1734" s="10"/>
      <c r="AH1734" s="10"/>
      <c r="AI1734" s="10"/>
    </row>
    <row r="1735" spans="28:35" ht="15" hidden="1" customHeight="1">
      <c r="AB1735" s="9"/>
      <c r="AC1735" s="9"/>
      <c r="AD1735" s="9"/>
      <c r="AF1735" s="10"/>
      <c r="AG1735" s="10"/>
      <c r="AH1735" s="10"/>
      <c r="AI1735" s="10"/>
    </row>
    <row r="1736" spans="28:35" ht="15" hidden="1" customHeight="1">
      <c r="AB1736" s="9"/>
      <c r="AC1736" s="9"/>
      <c r="AD1736" s="9"/>
      <c r="AF1736" s="10"/>
      <c r="AG1736" s="10"/>
      <c r="AH1736" s="10"/>
      <c r="AI1736" s="10"/>
    </row>
    <row r="1737" spans="28:35" ht="15" hidden="1" customHeight="1">
      <c r="AB1737" s="9"/>
      <c r="AC1737" s="9"/>
      <c r="AD1737" s="9"/>
      <c r="AF1737" s="10"/>
      <c r="AG1737" s="10"/>
      <c r="AH1737" s="10"/>
      <c r="AI1737" s="10"/>
    </row>
    <row r="1738" spans="28:35" ht="15" hidden="1" customHeight="1">
      <c r="AB1738" s="9"/>
      <c r="AC1738" s="9"/>
      <c r="AD1738" s="9"/>
      <c r="AF1738" s="10"/>
      <c r="AG1738" s="10"/>
      <c r="AH1738" s="10"/>
      <c r="AI1738" s="10"/>
    </row>
    <row r="1739" spans="28:35" ht="15" hidden="1" customHeight="1">
      <c r="AB1739" s="9"/>
      <c r="AC1739" s="9"/>
      <c r="AD1739" s="9"/>
      <c r="AF1739" s="10"/>
      <c r="AG1739" s="10"/>
      <c r="AH1739" s="10"/>
      <c r="AI1739" s="10"/>
    </row>
    <row r="1740" spans="28:35" ht="15" hidden="1" customHeight="1">
      <c r="AB1740" s="9"/>
      <c r="AC1740" s="9"/>
      <c r="AD1740" s="9"/>
      <c r="AF1740" s="10"/>
      <c r="AG1740" s="10"/>
      <c r="AH1740" s="10"/>
      <c r="AI1740" s="10"/>
    </row>
    <row r="1741" spans="28:35" ht="15" hidden="1" customHeight="1">
      <c r="AB1741" s="9"/>
      <c r="AC1741" s="9"/>
      <c r="AD1741" s="9"/>
      <c r="AF1741" s="10"/>
      <c r="AG1741" s="10"/>
      <c r="AH1741" s="10"/>
      <c r="AI1741" s="10"/>
    </row>
    <row r="1742" spans="28:35" ht="15" hidden="1" customHeight="1">
      <c r="AB1742" s="9"/>
      <c r="AC1742" s="9"/>
      <c r="AD1742" s="9"/>
      <c r="AF1742" s="10"/>
      <c r="AG1742" s="10"/>
      <c r="AH1742" s="10"/>
      <c r="AI1742" s="10"/>
    </row>
    <row r="1743" spans="28:35" ht="15" hidden="1" customHeight="1">
      <c r="AB1743" s="9"/>
      <c r="AC1743" s="9"/>
      <c r="AD1743" s="9"/>
      <c r="AF1743" s="10"/>
      <c r="AG1743" s="10"/>
      <c r="AH1743" s="10"/>
      <c r="AI1743" s="10"/>
    </row>
    <row r="1744" spans="28:35" ht="15" hidden="1" customHeight="1">
      <c r="AB1744" s="9"/>
      <c r="AC1744" s="9"/>
      <c r="AD1744" s="9"/>
      <c r="AF1744" s="10"/>
      <c r="AG1744" s="10"/>
      <c r="AH1744" s="10"/>
      <c r="AI1744" s="10"/>
    </row>
    <row r="1745" spans="28:35" ht="15" hidden="1" customHeight="1">
      <c r="AB1745" s="9"/>
      <c r="AC1745" s="9"/>
      <c r="AD1745" s="9"/>
      <c r="AF1745" s="10"/>
      <c r="AG1745" s="10"/>
      <c r="AH1745" s="10"/>
      <c r="AI1745" s="10"/>
    </row>
    <row r="1746" spans="28:35" ht="15" hidden="1" customHeight="1">
      <c r="AB1746" s="9"/>
      <c r="AC1746" s="9"/>
      <c r="AD1746" s="9"/>
      <c r="AF1746" s="10"/>
      <c r="AG1746" s="10"/>
      <c r="AH1746" s="10"/>
      <c r="AI1746" s="10"/>
    </row>
    <row r="1747" spans="28:35" ht="15" hidden="1" customHeight="1">
      <c r="AB1747" s="9"/>
      <c r="AC1747" s="9"/>
      <c r="AD1747" s="9"/>
      <c r="AF1747" s="10"/>
      <c r="AG1747" s="10"/>
      <c r="AH1747" s="10"/>
      <c r="AI1747" s="10"/>
    </row>
    <row r="1748" spans="28:35" ht="15" hidden="1" customHeight="1">
      <c r="AB1748" s="9"/>
      <c r="AC1748" s="9"/>
      <c r="AD1748" s="9"/>
      <c r="AF1748" s="10"/>
      <c r="AG1748" s="10"/>
      <c r="AH1748" s="10"/>
      <c r="AI1748" s="10"/>
    </row>
    <row r="1749" spans="28:35" ht="15" hidden="1" customHeight="1">
      <c r="AB1749" s="9"/>
      <c r="AC1749" s="9"/>
      <c r="AD1749" s="9"/>
      <c r="AF1749" s="10"/>
      <c r="AG1749" s="10"/>
      <c r="AH1749" s="10"/>
      <c r="AI1749" s="10"/>
    </row>
    <row r="1750" spans="28:35" ht="15" hidden="1" customHeight="1">
      <c r="AB1750" s="9"/>
      <c r="AC1750" s="9"/>
      <c r="AD1750" s="9"/>
      <c r="AF1750" s="10"/>
      <c r="AG1750" s="10"/>
      <c r="AH1750" s="10"/>
      <c r="AI1750" s="10"/>
    </row>
    <row r="1751" spans="28:35" ht="15" hidden="1" customHeight="1">
      <c r="AB1751" s="9"/>
      <c r="AC1751" s="9"/>
      <c r="AD1751" s="9"/>
      <c r="AF1751" s="10"/>
      <c r="AG1751" s="10"/>
      <c r="AH1751" s="10"/>
      <c r="AI1751" s="10"/>
    </row>
    <row r="1752" spans="28:35" ht="15" hidden="1" customHeight="1">
      <c r="AB1752" s="9"/>
      <c r="AC1752" s="9"/>
      <c r="AD1752" s="9"/>
      <c r="AF1752" s="10"/>
      <c r="AG1752" s="10"/>
      <c r="AH1752" s="10"/>
      <c r="AI1752" s="10"/>
    </row>
    <row r="1753" spans="28:35" ht="15" hidden="1" customHeight="1">
      <c r="AB1753" s="9"/>
      <c r="AC1753" s="9"/>
      <c r="AD1753" s="9"/>
      <c r="AF1753" s="10"/>
      <c r="AG1753" s="10"/>
      <c r="AH1753" s="10"/>
      <c r="AI1753" s="10"/>
    </row>
    <row r="1754" spans="28:35" ht="15" hidden="1" customHeight="1">
      <c r="AB1754" s="9"/>
      <c r="AC1754" s="9"/>
      <c r="AD1754" s="9"/>
      <c r="AF1754" s="10"/>
      <c r="AG1754" s="10"/>
      <c r="AH1754" s="10"/>
      <c r="AI1754" s="10"/>
    </row>
    <row r="1755" spans="28:35" ht="15" hidden="1" customHeight="1">
      <c r="AB1755" s="9"/>
      <c r="AC1755" s="9"/>
      <c r="AD1755" s="9"/>
      <c r="AF1755" s="10"/>
      <c r="AG1755" s="10"/>
      <c r="AH1755" s="10"/>
      <c r="AI1755" s="10"/>
    </row>
    <row r="1756" spans="28:35" ht="15" hidden="1" customHeight="1">
      <c r="AB1756" s="9"/>
      <c r="AC1756" s="9"/>
      <c r="AD1756" s="9"/>
      <c r="AF1756" s="10"/>
      <c r="AG1756" s="10"/>
      <c r="AH1756" s="10"/>
      <c r="AI1756" s="10"/>
    </row>
    <row r="1757" spans="28:35" ht="15" hidden="1" customHeight="1">
      <c r="AB1757" s="9"/>
      <c r="AC1757" s="9"/>
      <c r="AD1757" s="9"/>
      <c r="AF1757" s="10"/>
      <c r="AG1757" s="10"/>
      <c r="AH1757" s="10"/>
      <c r="AI1757" s="10"/>
    </row>
    <row r="1758" spans="28:35" ht="15" hidden="1" customHeight="1">
      <c r="AB1758" s="9"/>
      <c r="AC1758" s="9"/>
      <c r="AD1758" s="9"/>
      <c r="AF1758" s="10"/>
      <c r="AG1758" s="10"/>
      <c r="AH1758" s="10"/>
      <c r="AI1758" s="10"/>
    </row>
    <row r="1759" spans="28:35" ht="15" hidden="1" customHeight="1">
      <c r="AB1759" s="9"/>
      <c r="AC1759" s="9"/>
      <c r="AD1759" s="9"/>
      <c r="AF1759" s="10"/>
      <c r="AG1759" s="10"/>
      <c r="AH1759" s="10"/>
      <c r="AI1759" s="10"/>
    </row>
    <row r="1760" spans="28:35" ht="15" hidden="1" customHeight="1">
      <c r="AB1760" s="9"/>
      <c r="AC1760" s="9"/>
      <c r="AD1760" s="9"/>
      <c r="AF1760" s="10"/>
      <c r="AG1760" s="10"/>
      <c r="AH1760" s="10"/>
      <c r="AI1760" s="10"/>
    </row>
    <row r="1761" spans="28:35" ht="15" hidden="1" customHeight="1">
      <c r="AB1761" s="9"/>
      <c r="AC1761" s="9"/>
      <c r="AD1761" s="9"/>
      <c r="AF1761" s="10"/>
      <c r="AG1761" s="10"/>
      <c r="AH1761" s="10"/>
      <c r="AI1761" s="10"/>
    </row>
    <row r="1762" spans="28:35" ht="15" hidden="1" customHeight="1">
      <c r="AB1762" s="9"/>
      <c r="AC1762" s="9"/>
      <c r="AD1762" s="9"/>
      <c r="AF1762" s="10"/>
      <c r="AG1762" s="10"/>
      <c r="AH1762" s="10"/>
      <c r="AI1762" s="10"/>
    </row>
    <row r="1763" spans="28:35" ht="15" hidden="1" customHeight="1">
      <c r="AB1763" s="9"/>
      <c r="AC1763" s="9"/>
      <c r="AD1763" s="9"/>
      <c r="AF1763" s="10"/>
      <c r="AG1763" s="10"/>
      <c r="AH1763" s="10"/>
      <c r="AI1763" s="10"/>
    </row>
    <row r="1764" spans="28:35" ht="15" hidden="1" customHeight="1">
      <c r="AB1764" s="9"/>
      <c r="AC1764" s="9"/>
      <c r="AD1764" s="9"/>
      <c r="AF1764" s="10"/>
      <c r="AG1764" s="10"/>
      <c r="AH1764" s="10"/>
      <c r="AI1764" s="10"/>
    </row>
    <row r="1765" spans="28:35" ht="15" hidden="1" customHeight="1">
      <c r="AB1765" s="9"/>
      <c r="AC1765" s="9"/>
      <c r="AD1765" s="9"/>
      <c r="AF1765" s="10"/>
      <c r="AG1765" s="10"/>
      <c r="AH1765" s="10"/>
      <c r="AI1765" s="10"/>
    </row>
    <row r="1766" spans="28:35" ht="15" hidden="1" customHeight="1">
      <c r="AB1766" s="9"/>
      <c r="AC1766" s="9"/>
      <c r="AD1766" s="9"/>
      <c r="AF1766" s="10"/>
      <c r="AG1766" s="10"/>
      <c r="AH1766" s="10"/>
      <c r="AI1766" s="10"/>
    </row>
    <row r="1767" spans="28:35" ht="15" hidden="1" customHeight="1">
      <c r="AB1767" s="9"/>
      <c r="AC1767" s="9"/>
      <c r="AD1767" s="9"/>
      <c r="AF1767" s="10"/>
      <c r="AG1767" s="10"/>
      <c r="AH1767" s="10"/>
      <c r="AI1767" s="10"/>
    </row>
    <row r="1768" spans="28:35" ht="15" hidden="1" customHeight="1">
      <c r="AB1768" s="9"/>
      <c r="AC1768" s="9"/>
      <c r="AD1768" s="9"/>
      <c r="AF1768" s="10"/>
      <c r="AG1768" s="10"/>
      <c r="AH1768" s="10"/>
      <c r="AI1768" s="10"/>
    </row>
    <row r="1769" spans="28:35" ht="15" hidden="1" customHeight="1">
      <c r="AB1769" s="9"/>
      <c r="AC1769" s="9"/>
      <c r="AD1769" s="9"/>
      <c r="AF1769" s="10"/>
      <c r="AG1769" s="10"/>
      <c r="AH1769" s="10"/>
      <c r="AI1769" s="10"/>
    </row>
    <row r="1770" spans="28:35" ht="15" hidden="1" customHeight="1">
      <c r="AB1770" s="9"/>
      <c r="AC1770" s="9"/>
      <c r="AD1770" s="9"/>
      <c r="AF1770" s="10"/>
      <c r="AG1770" s="10"/>
      <c r="AH1770" s="10"/>
      <c r="AI1770" s="10"/>
    </row>
    <row r="1771" spans="28:35" ht="15" hidden="1" customHeight="1">
      <c r="AB1771" s="9"/>
      <c r="AC1771" s="9"/>
      <c r="AD1771" s="9"/>
      <c r="AF1771" s="10"/>
      <c r="AG1771" s="10"/>
      <c r="AH1771" s="10"/>
      <c r="AI1771" s="10"/>
    </row>
    <row r="1772" spans="28:35" ht="15" hidden="1" customHeight="1">
      <c r="AB1772" s="9"/>
      <c r="AC1772" s="9"/>
      <c r="AD1772" s="9"/>
      <c r="AF1772" s="10"/>
      <c r="AG1772" s="10"/>
      <c r="AH1772" s="10"/>
      <c r="AI1772" s="10"/>
    </row>
    <row r="1773" spans="28:35" ht="15" hidden="1" customHeight="1">
      <c r="AB1773" s="9"/>
      <c r="AC1773" s="9"/>
      <c r="AD1773" s="9"/>
      <c r="AF1773" s="10"/>
      <c r="AG1773" s="10"/>
      <c r="AH1773" s="10"/>
      <c r="AI1773" s="10"/>
    </row>
    <row r="1774" spans="28:35" ht="15" hidden="1" customHeight="1">
      <c r="AB1774" s="9"/>
      <c r="AC1774" s="9"/>
      <c r="AD1774" s="9"/>
      <c r="AF1774" s="10"/>
      <c r="AG1774" s="10"/>
      <c r="AH1774" s="10"/>
      <c r="AI1774" s="10"/>
    </row>
    <row r="1775" spans="28:35" ht="15" hidden="1" customHeight="1">
      <c r="AB1775" s="9"/>
      <c r="AC1775" s="9"/>
      <c r="AD1775" s="9"/>
      <c r="AF1775" s="10"/>
      <c r="AG1775" s="10"/>
      <c r="AH1775" s="10"/>
      <c r="AI1775" s="10"/>
    </row>
    <row r="1776" spans="28:35" ht="15" hidden="1" customHeight="1">
      <c r="AB1776" s="9"/>
      <c r="AC1776" s="9"/>
      <c r="AD1776" s="9"/>
      <c r="AF1776" s="10"/>
      <c r="AG1776" s="10"/>
      <c r="AH1776" s="10"/>
      <c r="AI1776" s="10"/>
    </row>
    <row r="1777" spans="28:35" ht="15" hidden="1" customHeight="1">
      <c r="AB1777" s="9"/>
      <c r="AC1777" s="9"/>
      <c r="AD1777" s="9"/>
      <c r="AF1777" s="10"/>
      <c r="AG1777" s="10"/>
      <c r="AH1777" s="10"/>
      <c r="AI1777" s="10"/>
    </row>
    <row r="1778" spans="28:35" ht="15" hidden="1" customHeight="1">
      <c r="AB1778" s="9"/>
      <c r="AC1778" s="9"/>
      <c r="AD1778" s="9"/>
      <c r="AF1778" s="10"/>
      <c r="AG1778" s="10"/>
      <c r="AH1778" s="10"/>
      <c r="AI1778" s="10"/>
    </row>
    <row r="1779" spans="28:35" ht="15" hidden="1" customHeight="1">
      <c r="AB1779" s="9"/>
      <c r="AC1779" s="9"/>
      <c r="AD1779" s="9"/>
      <c r="AF1779" s="10"/>
      <c r="AG1779" s="10"/>
      <c r="AH1779" s="10"/>
      <c r="AI1779" s="10"/>
    </row>
    <row r="1780" spans="28:35" ht="15" hidden="1" customHeight="1">
      <c r="AB1780" s="9"/>
      <c r="AC1780" s="9"/>
      <c r="AD1780" s="9"/>
      <c r="AF1780" s="10"/>
      <c r="AG1780" s="10"/>
      <c r="AH1780" s="10"/>
      <c r="AI1780" s="10"/>
    </row>
    <row r="1781" spans="28:35" ht="15" hidden="1" customHeight="1">
      <c r="AB1781" s="9"/>
      <c r="AC1781" s="9"/>
      <c r="AD1781" s="9"/>
      <c r="AF1781" s="10"/>
      <c r="AG1781" s="10"/>
      <c r="AH1781" s="10"/>
      <c r="AI1781" s="10"/>
    </row>
    <row r="1782" spans="28:35" ht="15" hidden="1" customHeight="1">
      <c r="AB1782" s="9"/>
      <c r="AC1782" s="9"/>
      <c r="AD1782" s="9"/>
      <c r="AF1782" s="10"/>
      <c r="AG1782" s="10"/>
      <c r="AH1782" s="10"/>
      <c r="AI1782" s="10"/>
    </row>
    <row r="1783" spans="28:35" ht="15" hidden="1" customHeight="1">
      <c r="AB1783" s="9"/>
      <c r="AC1783" s="9"/>
      <c r="AD1783" s="9"/>
      <c r="AF1783" s="10"/>
      <c r="AG1783" s="10"/>
      <c r="AH1783" s="10"/>
      <c r="AI1783" s="10"/>
    </row>
    <row r="1784" spans="28:35" ht="15" hidden="1" customHeight="1">
      <c r="AB1784" s="9"/>
      <c r="AC1784" s="9"/>
      <c r="AD1784" s="9"/>
      <c r="AF1784" s="10"/>
      <c r="AG1784" s="10"/>
      <c r="AH1784" s="10"/>
      <c r="AI1784" s="10"/>
    </row>
    <row r="1785" spans="28:35" ht="15" hidden="1" customHeight="1">
      <c r="AB1785" s="9"/>
      <c r="AC1785" s="9"/>
      <c r="AD1785" s="9"/>
      <c r="AF1785" s="10"/>
      <c r="AG1785" s="10"/>
      <c r="AH1785" s="10"/>
      <c r="AI1785" s="10"/>
    </row>
    <row r="1786" spans="28:35" ht="15" hidden="1" customHeight="1">
      <c r="AB1786" s="9"/>
      <c r="AC1786" s="9"/>
      <c r="AD1786" s="9"/>
      <c r="AF1786" s="10"/>
      <c r="AG1786" s="10"/>
      <c r="AH1786" s="10"/>
      <c r="AI1786" s="10"/>
    </row>
    <row r="1787" spans="28:35" ht="15" hidden="1" customHeight="1">
      <c r="AB1787" s="9"/>
      <c r="AC1787" s="9"/>
      <c r="AD1787" s="9"/>
      <c r="AF1787" s="10"/>
      <c r="AG1787" s="10"/>
      <c r="AH1787" s="10"/>
      <c r="AI1787" s="10"/>
    </row>
    <row r="1788" spans="28:35" ht="15" hidden="1" customHeight="1">
      <c r="AB1788" s="9"/>
      <c r="AC1788" s="9"/>
      <c r="AD1788" s="9"/>
      <c r="AF1788" s="10"/>
      <c r="AG1788" s="10"/>
      <c r="AH1788" s="10"/>
      <c r="AI1788" s="10"/>
    </row>
    <row r="1789" spans="28:35" ht="15" hidden="1" customHeight="1">
      <c r="AB1789" s="9"/>
      <c r="AC1789" s="9"/>
      <c r="AD1789" s="9"/>
      <c r="AF1789" s="10"/>
      <c r="AG1789" s="10"/>
      <c r="AH1789" s="10"/>
      <c r="AI1789" s="10"/>
    </row>
    <row r="1790" spans="28:35" ht="15" hidden="1" customHeight="1">
      <c r="AB1790" s="9"/>
      <c r="AC1790" s="9"/>
      <c r="AD1790" s="9"/>
      <c r="AF1790" s="10"/>
      <c r="AG1790" s="10"/>
      <c r="AH1790" s="10"/>
      <c r="AI1790" s="10"/>
    </row>
    <row r="1791" spans="28:35" ht="15" hidden="1" customHeight="1">
      <c r="AB1791" s="9"/>
      <c r="AC1791" s="9"/>
      <c r="AD1791" s="9"/>
      <c r="AF1791" s="10"/>
      <c r="AG1791" s="10"/>
      <c r="AH1791" s="10"/>
      <c r="AI1791" s="10"/>
    </row>
    <row r="1792" spans="28:35" ht="15" hidden="1" customHeight="1">
      <c r="AB1792" s="9"/>
      <c r="AC1792" s="9"/>
      <c r="AD1792" s="9"/>
      <c r="AF1792" s="10"/>
      <c r="AG1792" s="10"/>
      <c r="AH1792" s="10"/>
      <c r="AI1792" s="10"/>
    </row>
    <row r="1793" spans="28:35" ht="15" hidden="1" customHeight="1">
      <c r="AB1793" s="9"/>
      <c r="AC1793" s="9"/>
      <c r="AD1793" s="9"/>
      <c r="AF1793" s="10"/>
      <c r="AG1793" s="10"/>
      <c r="AH1793" s="10"/>
      <c r="AI1793" s="10"/>
    </row>
    <row r="1794" spans="28:35" ht="15" hidden="1" customHeight="1">
      <c r="AB1794" s="9"/>
      <c r="AC1794" s="9"/>
      <c r="AD1794" s="9"/>
      <c r="AF1794" s="10"/>
      <c r="AG1794" s="10"/>
      <c r="AH1794" s="10"/>
      <c r="AI1794" s="10"/>
    </row>
    <row r="1795" spans="28:35" ht="15" hidden="1" customHeight="1">
      <c r="AB1795" s="9"/>
      <c r="AC1795" s="9"/>
      <c r="AD1795" s="9"/>
      <c r="AF1795" s="10"/>
      <c r="AG1795" s="10"/>
      <c r="AH1795" s="10"/>
      <c r="AI1795" s="10"/>
    </row>
    <row r="1796" spans="28:35" ht="15" hidden="1" customHeight="1">
      <c r="AB1796" s="9"/>
      <c r="AC1796" s="9"/>
      <c r="AD1796" s="9"/>
      <c r="AF1796" s="10"/>
      <c r="AG1796" s="10"/>
      <c r="AH1796" s="10"/>
      <c r="AI1796" s="10"/>
    </row>
    <row r="1797" spans="28:35" ht="15" hidden="1" customHeight="1">
      <c r="AB1797" s="9"/>
      <c r="AC1797" s="9"/>
      <c r="AD1797" s="9"/>
      <c r="AF1797" s="10"/>
      <c r="AG1797" s="10"/>
      <c r="AH1797" s="10"/>
      <c r="AI1797" s="10"/>
    </row>
    <row r="1798" spans="28:35" ht="15" hidden="1" customHeight="1">
      <c r="AB1798" s="9"/>
      <c r="AC1798" s="9"/>
      <c r="AD1798" s="9"/>
      <c r="AF1798" s="10"/>
      <c r="AG1798" s="10"/>
      <c r="AH1798" s="10"/>
      <c r="AI1798" s="10"/>
    </row>
    <row r="1799" spans="28:35" ht="15" hidden="1" customHeight="1">
      <c r="AB1799" s="9"/>
      <c r="AC1799" s="9"/>
      <c r="AD1799" s="9"/>
      <c r="AF1799" s="10"/>
      <c r="AG1799" s="10"/>
      <c r="AH1799" s="10"/>
      <c r="AI1799" s="10"/>
    </row>
    <row r="1800" spans="28:35" ht="15" hidden="1" customHeight="1">
      <c r="AB1800" s="9"/>
      <c r="AC1800" s="9"/>
      <c r="AD1800" s="9"/>
      <c r="AF1800" s="10"/>
      <c r="AG1800" s="10"/>
      <c r="AH1800" s="10"/>
      <c r="AI1800" s="10"/>
    </row>
    <row r="1801" spans="28:35" ht="15" hidden="1" customHeight="1">
      <c r="AB1801" s="9"/>
      <c r="AC1801" s="9"/>
      <c r="AD1801" s="9"/>
      <c r="AF1801" s="10"/>
      <c r="AG1801" s="10"/>
      <c r="AH1801" s="10"/>
      <c r="AI1801" s="10"/>
    </row>
    <row r="1802" spans="28:35" ht="15" hidden="1" customHeight="1">
      <c r="AB1802" s="9"/>
      <c r="AC1802" s="9"/>
      <c r="AD1802" s="9"/>
      <c r="AF1802" s="10"/>
      <c r="AG1802" s="10"/>
      <c r="AH1802" s="10"/>
      <c r="AI1802" s="10"/>
    </row>
    <row r="1803" spans="28:35" ht="15" hidden="1" customHeight="1">
      <c r="AB1803" s="9"/>
      <c r="AC1803" s="9"/>
      <c r="AD1803" s="9"/>
      <c r="AF1803" s="10"/>
      <c r="AG1803" s="10"/>
      <c r="AH1803" s="10"/>
      <c r="AI1803" s="10"/>
    </row>
    <row r="1804" spans="28:35" ht="15" hidden="1" customHeight="1">
      <c r="AB1804" s="9"/>
      <c r="AC1804" s="9"/>
      <c r="AD1804" s="9"/>
      <c r="AF1804" s="10"/>
      <c r="AG1804" s="10"/>
      <c r="AH1804" s="10"/>
      <c r="AI1804" s="10"/>
    </row>
    <row r="1805" spans="28:35" ht="15" hidden="1" customHeight="1">
      <c r="AB1805" s="9"/>
      <c r="AC1805" s="9"/>
      <c r="AD1805" s="9"/>
      <c r="AF1805" s="10"/>
      <c r="AG1805" s="10"/>
      <c r="AH1805" s="10"/>
      <c r="AI1805" s="10"/>
    </row>
    <row r="1806" spans="28:35" ht="15" hidden="1" customHeight="1">
      <c r="AB1806" s="9"/>
      <c r="AC1806" s="9"/>
      <c r="AD1806" s="9"/>
      <c r="AF1806" s="10"/>
      <c r="AG1806" s="10"/>
      <c r="AH1806" s="10"/>
      <c r="AI1806" s="10"/>
    </row>
    <row r="1807" spans="28:35" ht="15" hidden="1" customHeight="1">
      <c r="AB1807" s="9"/>
      <c r="AC1807" s="9"/>
      <c r="AD1807" s="9"/>
      <c r="AF1807" s="10"/>
      <c r="AG1807" s="10"/>
      <c r="AH1807" s="10"/>
      <c r="AI1807" s="10"/>
    </row>
    <row r="1808" spans="28:35" ht="15" hidden="1" customHeight="1">
      <c r="AB1808" s="9"/>
      <c r="AC1808" s="9"/>
      <c r="AD1808" s="9"/>
      <c r="AF1808" s="10"/>
      <c r="AG1808" s="10"/>
      <c r="AH1808" s="10"/>
      <c r="AI1808" s="10"/>
    </row>
    <row r="1809" spans="28:35" ht="15" hidden="1" customHeight="1">
      <c r="AB1809" s="9"/>
      <c r="AC1809" s="9"/>
      <c r="AD1809" s="9"/>
      <c r="AF1809" s="10"/>
      <c r="AG1809" s="10"/>
      <c r="AH1809" s="10"/>
      <c r="AI1809" s="10"/>
    </row>
    <row r="1810" spans="28:35" ht="15" hidden="1" customHeight="1">
      <c r="AB1810" s="9"/>
      <c r="AC1810" s="9"/>
      <c r="AD1810" s="9"/>
      <c r="AF1810" s="10"/>
      <c r="AG1810" s="10"/>
      <c r="AH1810" s="10"/>
      <c r="AI1810" s="10"/>
    </row>
    <row r="1811" spans="28:35" ht="15" hidden="1" customHeight="1">
      <c r="AB1811" s="9"/>
      <c r="AC1811" s="9"/>
      <c r="AD1811" s="9"/>
      <c r="AF1811" s="10"/>
      <c r="AG1811" s="10"/>
      <c r="AH1811" s="10"/>
      <c r="AI1811" s="10"/>
    </row>
    <row r="1812" spans="28:35" ht="15" hidden="1" customHeight="1">
      <c r="AB1812" s="9"/>
      <c r="AC1812" s="9"/>
      <c r="AD1812" s="9"/>
      <c r="AF1812" s="10"/>
      <c r="AG1812" s="10"/>
      <c r="AH1812" s="10"/>
      <c r="AI1812" s="10"/>
    </row>
    <row r="1813" spans="28:35" ht="15" hidden="1" customHeight="1">
      <c r="AB1813" s="9"/>
      <c r="AC1813" s="9"/>
      <c r="AD1813" s="9"/>
      <c r="AF1813" s="10"/>
      <c r="AG1813" s="10"/>
      <c r="AH1813" s="10"/>
      <c r="AI1813" s="10"/>
    </row>
    <row r="1814" spans="28:35" ht="15" hidden="1" customHeight="1">
      <c r="AB1814" s="9"/>
      <c r="AC1814" s="9"/>
      <c r="AD1814" s="9"/>
      <c r="AF1814" s="10"/>
      <c r="AG1814" s="10"/>
      <c r="AH1814" s="10"/>
      <c r="AI1814" s="10"/>
    </row>
    <row r="1815" spans="28:35" ht="15" hidden="1" customHeight="1">
      <c r="AB1815" s="9"/>
      <c r="AC1815" s="9"/>
      <c r="AD1815" s="9"/>
      <c r="AF1815" s="10"/>
      <c r="AG1815" s="10"/>
      <c r="AH1815" s="10"/>
      <c r="AI1815" s="10"/>
    </row>
    <row r="1816" spans="28:35" ht="15" hidden="1" customHeight="1">
      <c r="AB1816" s="9"/>
      <c r="AC1816" s="9"/>
      <c r="AD1816" s="9"/>
      <c r="AF1816" s="10"/>
      <c r="AG1816" s="10"/>
      <c r="AH1816" s="10"/>
      <c r="AI1816" s="10"/>
    </row>
    <row r="1817" spans="28:35" ht="15" hidden="1" customHeight="1">
      <c r="AB1817" s="9"/>
      <c r="AC1817" s="9"/>
      <c r="AD1817" s="9"/>
      <c r="AF1817" s="10"/>
      <c r="AG1817" s="10"/>
      <c r="AH1817" s="10"/>
      <c r="AI1817" s="10"/>
    </row>
    <row r="1818" spans="28:35" ht="15" hidden="1" customHeight="1">
      <c r="AB1818" s="9"/>
      <c r="AC1818" s="9"/>
      <c r="AD1818" s="9"/>
      <c r="AF1818" s="10"/>
      <c r="AG1818" s="10"/>
      <c r="AH1818" s="10"/>
      <c r="AI1818" s="10"/>
    </row>
    <row r="1819" spans="28:35" ht="15" hidden="1" customHeight="1">
      <c r="AB1819" s="9"/>
      <c r="AC1819" s="9"/>
      <c r="AD1819" s="9"/>
      <c r="AF1819" s="10"/>
      <c r="AG1819" s="10"/>
      <c r="AH1819" s="10"/>
      <c r="AI1819" s="10"/>
    </row>
    <row r="1820" spans="28:35" ht="15" hidden="1" customHeight="1">
      <c r="AB1820" s="9"/>
      <c r="AC1820" s="9"/>
      <c r="AD1820" s="9"/>
      <c r="AF1820" s="10"/>
      <c r="AG1820" s="10"/>
      <c r="AH1820" s="10"/>
      <c r="AI1820" s="10"/>
    </row>
    <row r="1821" spans="28:35" ht="15" hidden="1" customHeight="1">
      <c r="AB1821" s="9"/>
      <c r="AC1821" s="9"/>
      <c r="AD1821" s="9"/>
      <c r="AF1821" s="10"/>
      <c r="AG1821" s="10"/>
      <c r="AH1821" s="10"/>
      <c r="AI1821" s="10"/>
    </row>
    <row r="1822" spans="28:35" ht="15" hidden="1" customHeight="1">
      <c r="AB1822" s="9"/>
      <c r="AC1822" s="9"/>
      <c r="AD1822" s="9"/>
      <c r="AF1822" s="10"/>
      <c r="AG1822" s="10"/>
      <c r="AH1822" s="10"/>
      <c r="AI1822" s="10"/>
    </row>
    <row r="1823" spans="28:35" ht="15" hidden="1" customHeight="1">
      <c r="AB1823" s="9"/>
      <c r="AC1823" s="9"/>
      <c r="AD1823" s="9"/>
      <c r="AF1823" s="10"/>
      <c r="AG1823" s="10"/>
      <c r="AH1823" s="10"/>
      <c r="AI1823" s="10"/>
    </row>
    <row r="1824" spans="28:35" ht="15" hidden="1" customHeight="1">
      <c r="AB1824" s="9"/>
      <c r="AC1824" s="9"/>
      <c r="AD1824" s="9"/>
      <c r="AF1824" s="10"/>
      <c r="AG1824" s="10"/>
      <c r="AH1824" s="10"/>
      <c r="AI1824" s="10"/>
    </row>
    <row r="1825" spans="28:35" ht="15" hidden="1" customHeight="1">
      <c r="AB1825" s="9"/>
      <c r="AC1825" s="9"/>
      <c r="AD1825" s="9"/>
      <c r="AF1825" s="10"/>
      <c r="AG1825" s="10"/>
      <c r="AH1825" s="10"/>
      <c r="AI1825" s="10"/>
    </row>
    <row r="1826" spans="28:35" ht="15" hidden="1" customHeight="1">
      <c r="AB1826" s="9"/>
      <c r="AC1826" s="9"/>
      <c r="AD1826" s="9"/>
      <c r="AF1826" s="10"/>
      <c r="AG1826" s="10"/>
      <c r="AH1826" s="10"/>
      <c r="AI1826" s="10"/>
    </row>
    <row r="1827" spans="28:35" ht="15" hidden="1" customHeight="1">
      <c r="AB1827" s="9"/>
      <c r="AC1827" s="9"/>
      <c r="AD1827" s="9"/>
      <c r="AF1827" s="10"/>
      <c r="AG1827" s="10"/>
      <c r="AH1827" s="10"/>
      <c r="AI1827" s="10"/>
    </row>
    <row r="1828" spans="28:35" ht="15" hidden="1" customHeight="1">
      <c r="AB1828" s="9"/>
      <c r="AC1828" s="9"/>
      <c r="AD1828" s="9"/>
      <c r="AF1828" s="10"/>
      <c r="AG1828" s="10"/>
      <c r="AH1828" s="10"/>
      <c r="AI1828" s="10"/>
    </row>
    <row r="1829" spans="28:35" ht="15" hidden="1" customHeight="1">
      <c r="AB1829" s="9"/>
      <c r="AC1829" s="9"/>
      <c r="AD1829" s="9"/>
      <c r="AF1829" s="10"/>
      <c r="AG1829" s="10"/>
      <c r="AH1829" s="10"/>
      <c r="AI1829" s="10"/>
    </row>
    <row r="1830" spans="28:35" ht="15" hidden="1" customHeight="1">
      <c r="AB1830" s="9"/>
      <c r="AC1830" s="9"/>
      <c r="AD1830" s="9"/>
      <c r="AF1830" s="10"/>
      <c r="AG1830" s="10"/>
      <c r="AH1830" s="10"/>
      <c r="AI1830" s="10"/>
    </row>
    <row r="1831" spans="28:35" ht="15" hidden="1" customHeight="1">
      <c r="AB1831" s="9"/>
      <c r="AC1831" s="9"/>
      <c r="AD1831" s="9"/>
      <c r="AF1831" s="10"/>
      <c r="AG1831" s="10"/>
      <c r="AH1831" s="10"/>
      <c r="AI1831" s="10"/>
    </row>
    <row r="1832" spans="28:35" ht="15" hidden="1" customHeight="1">
      <c r="AB1832" s="9"/>
      <c r="AC1832" s="9"/>
      <c r="AD1832" s="9"/>
      <c r="AF1832" s="10"/>
      <c r="AG1832" s="10"/>
      <c r="AH1832" s="10"/>
      <c r="AI1832" s="10"/>
    </row>
    <row r="1833" spans="28:35" ht="15" hidden="1" customHeight="1">
      <c r="AB1833" s="9"/>
      <c r="AC1833" s="9"/>
      <c r="AD1833" s="9"/>
      <c r="AF1833" s="10"/>
      <c r="AG1833" s="10"/>
      <c r="AH1833" s="10"/>
      <c r="AI1833" s="10"/>
    </row>
    <row r="1834" spans="28:35" ht="15" hidden="1" customHeight="1">
      <c r="AB1834" s="9"/>
      <c r="AC1834" s="9"/>
      <c r="AD1834" s="9"/>
      <c r="AF1834" s="10"/>
      <c r="AG1834" s="10"/>
      <c r="AH1834" s="10"/>
      <c r="AI1834" s="10"/>
    </row>
    <row r="1835" spans="28:35" ht="15" hidden="1" customHeight="1">
      <c r="AB1835" s="9"/>
      <c r="AC1835" s="9"/>
      <c r="AD1835" s="9"/>
      <c r="AF1835" s="10"/>
      <c r="AG1835" s="10"/>
      <c r="AH1835" s="10"/>
      <c r="AI1835" s="10"/>
    </row>
    <row r="1836" spans="28:35" ht="15" hidden="1" customHeight="1">
      <c r="AB1836" s="9"/>
      <c r="AC1836" s="9"/>
      <c r="AD1836" s="9"/>
      <c r="AF1836" s="10"/>
      <c r="AG1836" s="10"/>
      <c r="AH1836" s="10"/>
      <c r="AI1836" s="10"/>
    </row>
    <row r="1837" spans="28:35" ht="15" hidden="1" customHeight="1">
      <c r="AB1837" s="9"/>
      <c r="AC1837" s="9"/>
      <c r="AD1837" s="9"/>
      <c r="AF1837" s="10"/>
      <c r="AG1837" s="10"/>
      <c r="AH1837" s="10"/>
      <c r="AI1837" s="10"/>
    </row>
    <row r="1838" spans="28:35" ht="15" hidden="1" customHeight="1">
      <c r="AB1838" s="9"/>
      <c r="AC1838" s="9"/>
      <c r="AD1838" s="9"/>
      <c r="AF1838" s="10"/>
      <c r="AG1838" s="10"/>
      <c r="AH1838" s="10"/>
      <c r="AI1838" s="10"/>
    </row>
    <row r="1839" spans="28:35" ht="15" hidden="1" customHeight="1">
      <c r="AB1839" s="9"/>
      <c r="AC1839" s="9"/>
      <c r="AD1839" s="9"/>
      <c r="AF1839" s="10"/>
      <c r="AG1839" s="10"/>
      <c r="AH1839" s="10"/>
      <c r="AI1839" s="10"/>
    </row>
    <row r="1840" spans="28:35" ht="15" hidden="1" customHeight="1">
      <c r="AB1840" s="9"/>
      <c r="AC1840" s="9"/>
      <c r="AD1840" s="9"/>
      <c r="AF1840" s="10"/>
      <c r="AG1840" s="10"/>
      <c r="AH1840" s="10"/>
      <c r="AI1840" s="10"/>
    </row>
    <row r="1841" spans="28:35" ht="15" hidden="1" customHeight="1">
      <c r="AB1841" s="9"/>
      <c r="AC1841" s="9"/>
      <c r="AD1841" s="9"/>
      <c r="AF1841" s="10"/>
      <c r="AG1841" s="10"/>
      <c r="AH1841" s="10"/>
      <c r="AI1841" s="10"/>
    </row>
    <row r="1842" spans="28:35" ht="15" hidden="1" customHeight="1">
      <c r="AB1842" s="9"/>
      <c r="AC1842" s="9"/>
      <c r="AD1842" s="9"/>
      <c r="AF1842" s="10"/>
      <c r="AG1842" s="10"/>
      <c r="AH1842" s="10"/>
      <c r="AI1842" s="10"/>
    </row>
    <row r="1843" spans="28:35" ht="15" hidden="1" customHeight="1">
      <c r="AB1843" s="9"/>
      <c r="AC1843" s="9"/>
      <c r="AD1843" s="9"/>
      <c r="AF1843" s="10"/>
      <c r="AG1843" s="10"/>
      <c r="AH1843" s="10"/>
      <c r="AI1843" s="10"/>
    </row>
    <row r="1844" spans="28:35" ht="15" hidden="1" customHeight="1">
      <c r="AB1844" s="9"/>
      <c r="AC1844" s="9"/>
      <c r="AD1844" s="9"/>
      <c r="AF1844" s="10"/>
      <c r="AG1844" s="10"/>
      <c r="AH1844" s="10"/>
      <c r="AI1844" s="10"/>
    </row>
    <row r="1845" spans="28:35" ht="15" hidden="1" customHeight="1">
      <c r="AB1845" s="9"/>
      <c r="AC1845" s="9"/>
      <c r="AD1845" s="9"/>
      <c r="AF1845" s="10"/>
      <c r="AG1845" s="10"/>
      <c r="AH1845" s="10"/>
      <c r="AI1845" s="10"/>
    </row>
    <row r="1846" spans="28:35" ht="15" hidden="1" customHeight="1">
      <c r="AB1846" s="9"/>
      <c r="AC1846" s="9"/>
      <c r="AD1846" s="9"/>
      <c r="AF1846" s="10"/>
      <c r="AG1846" s="10"/>
      <c r="AH1846" s="10"/>
      <c r="AI1846" s="10"/>
    </row>
    <row r="1847" spans="28:35" ht="15" hidden="1" customHeight="1">
      <c r="AB1847" s="9"/>
      <c r="AC1847" s="9"/>
      <c r="AD1847" s="9"/>
      <c r="AF1847" s="10"/>
      <c r="AG1847" s="10"/>
      <c r="AH1847" s="10"/>
      <c r="AI1847" s="10"/>
    </row>
    <row r="1848" spans="28:35" ht="15" hidden="1" customHeight="1">
      <c r="AB1848" s="9"/>
      <c r="AC1848" s="9"/>
      <c r="AD1848" s="9"/>
      <c r="AF1848" s="10"/>
      <c r="AG1848" s="10"/>
      <c r="AH1848" s="10"/>
      <c r="AI1848" s="10"/>
    </row>
    <row r="1849" spans="28:35" ht="15" hidden="1" customHeight="1">
      <c r="AB1849" s="9"/>
      <c r="AC1849" s="9"/>
      <c r="AD1849" s="9"/>
      <c r="AF1849" s="10"/>
      <c r="AG1849" s="10"/>
      <c r="AH1849" s="10"/>
      <c r="AI1849" s="10"/>
    </row>
    <row r="1850" spans="28:35" ht="15" hidden="1" customHeight="1">
      <c r="AB1850" s="9"/>
      <c r="AC1850" s="9"/>
      <c r="AD1850" s="9"/>
      <c r="AF1850" s="10"/>
      <c r="AG1850" s="10"/>
      <c r="AH1850" s="10"/>
      <c r="AI1850" s="10"/>
    </row>
    <row r="1851" spans="28:35" ht="15" hidden="1" customHeight="1">
      <c r="AB1851" s="9"/>
      <c r="AC1851" s="9"/>
      <c r="AD1851" s="9"/>
      <c r="AF1851" s="10"/>
      <c r="AG1851" s="10"/>
      <c r="AH1851" s="10"/>
      <c r="AI1851" s="10"/>
    </row>
    <row r="1852" spans="28:35" ht="15" hidden="1" customHeight="1">
      <c r="AB1852" s="9"/>
      <c r="AC1852" s="9"/>
      <c r="AD1852" s="9"/>
      <c r="AF1852" s="10"/>
      <c r="AG1852" s="10"/>
      <c r="AH1852" s="10"/>
      <c r="AI1852" s="10"/>
    </row>
    <row r="1853" spans="28:35" ht="15" hidden="1" customHeight="1">
      <c r="AB1853" s="9"/>
      <c r="AC1853" s="9"/>
      <c r="AD1853" s="9"/>
      <c r="AF1853" s="10"/>
      <c r="AG1853" s="10"/>
      <c r="AH1853" s="10"/>
      <c r="AI1853" s="10"/>
    </row>
    <row r="1854" spans="28:35" ht="15" hidden="1" customHeight="1">
      <c r="AB1854" s="9"/>
      <c r="AC1854" s="9"/>
      <c r="AD1854" s="9"/>
      <c r="AF1854" s="10"/>
      <c r="AG1854" s="10"/>
      <c r="AH1854" s="10"/>
      <c r="AI1854" s="10"/>
    </row>
    <row r="1855" spans="28:35" ht="15" hidden="1" customHeight="1">
      <c r="AB1855" s="9"/>
      <c r="AC1855" s="9"/>
      <c r="AD1855" s="9"/>
      <c r="AF1855" s="10"/>
      <c r="AG1855" s="10"/>
      <c r="AH1855" s="10"/>
      <c r="AI1855" s="10"/>
    </row>
    <row r="1856" spans="28:35" ht="15" hidden="1" customHeight="1">
      <c r="AB1856" s="9"/>
      <c r="AC1856" s="9"/>
      <c r="AD1856" s="9"/>
      <c r="AF1856" s="10"/>
      <c r="AG1856" s="10"/>
      <c r="AH1856" s="10"/>
      <c r="AI1856" s="10"/>
    </row>
    <row r="1857" spans="28:35" ht="15" hidden="1" customHeight="1">
      <c r="AB1857" s="9"/>
      <c r="AC1857" s="9"/>
      <c r="AD1857" s="9"/>
      <c r="AF1857" s="10"/>
      <c r="AG1857" s="10"/>
      <c r="AH1857" s="10"/>
      <c r="AI1857" s="10"/>
    </row>
    <row r="1858" spans="28:35" ht="15" hidden="1" customHeight="1">
      <c r="AB1858" s="9"/>
      <c r="AC1858" s="9"/>
      <c r="AD1858" s="9"/>
      <c r="AF1858" s="10"/>
      <c r="AG1858" s="10"/>
      <c r="AH1858" s="10"/>
      <c r="AI1858" s="10"/>
    </row>
    <row r="1859" spans="28:35" ht="15" hidden="1" customHeight="1">
      <c r="AB1859" s="9"/>
      <c r="AC1859" s="9"/>
      <c r="AD1859" s="9"/>
      <c r="AF1859" s="10"/>
      <c r="AG1859" s="10"/>
      <c r="AH1859" s="10"/>
      <c r="AI1859" s="10"/>
    </row>
    <row r="1860" spans="28:35" ht="15" hidden="1" customHeight="1">
      <c r="AB1860" s="9"/>
      <c r="AC1860" s="9"/>
      <c r="AD1860" s="9"/>
      <c r="AF1860" s="10"/>
      <c r="AG1860" s="10"/>
      <c r="AH1860" s="10"/>
      <c r="AI1860" s="10"/>
    </row>
    <row r="1861" spans="28:35" ht="15" hidden="1" customHeight="1">
      <c r="AB1861" s="9"/>
      <c r="AC1861" s="9"/>
      <c r="AD1861" s="9"/>
      <c r="AF1861" s="10"/>
      <c r="AG1861" s="10"/>
      <c r="AH1861" s="10"/>
      <c r="AI1861" s="10"/>
    </row>
    <row r="1862" spans="28:35" ht="15" hidden="1" customHeight="1">
      <c r="AB1862" s="9"/>
      <c r="AC1862" s="9"/>
      <c r="AD1862" s="9"/>
      <c r="AF1862" s="10"/>
      <c r="AG1862" s="10"/>
      <c r="AH1862" s="10"/>
      <c r="AI1862" s="10"/>
    </row>
    <row r="1863" spans="28:35" ht="15" hidden="1" customHeight="1">
      <c r="AB1863" s="9"/>
      <c r="AC1863" s="9"/>
      <c r="AD1863" s="9"/>
      <c r="AF1863" s="10"/>
      <c r="AG1863" s="10"/>
      <c r="AH1863" s="10"/>
      <c r="AI1863" s="10"/>
    </row>
    <row r="1864" spans="28:35" ht="15" hidden="1" customHeight="1">
      <c r="AB1864" s="9"/>
      <c r="AC1864" s="9"/>
      <c r="AD1864" s="9"/>
      <c r="AF1864" s="10"/>
      <c r="AG1864" s="10"/>
      <c r="AH1864" s="10"/>
      <c r="AI1864" s="10"/>
    </row>
    <row r="1865" spans="28:35" ht="15" hidden="1" customHeight="1">
      <c r="AB1865" s="9"/>
      <c r="AC1865" s="9"/>
      <c r="AD1865" s="9"/>
      <c r="AF1865" s="10"/>
      <c r="AG1865" s="10"/>
      <c r="AH1865" s="10"/>
      <c r="AI1865" s="10"/>
    </row>
    <row r="1866" spans="28:35" ht="15" hidden="1" customHeight="1">
      <c r="AB1866" s="9"/>
      <c r="AC1866" s="9"/>
      <c r="AD1866" s="9"/>
      <c r="AF1866" s="10"/>
      <c r="AG1866" s="10"/>
      <c r="AH1866" s="10"/>
      <c r="AI1866" s="10"/>
    </row>
    <row r="1867" spans="28:35" ht="15" hidden="1" customHeight="1">
      <c r="AB1867" s="9"/>
      <c r="AC1867" s="9"/>
      <c r="AD1867" s="9"/>
      <c r="AF1867" s="10"/>
      <c r="AG1867" s="10"/>
      <c r="AH1867" s="10"/>
      <c r="AI1867" s="10"/>
    </row>
    <row r="1868" spans="28:35" ht="15" hidden="1" customHeight="1">
      <c r="AB1868" s="9"/>
      <c r="AC1868" s="9"/>
      <c r="AD1868" s="9"/>
      <c r="AF1868" s="10"/>
      <c r="AG1868" s="10"/>
      <c r="AH1868" s="10"/>
      <c r="AI1868" s="10"/>
    </row>
    <row r="1869" spans="28:35" ht="15" hidden="1" customHeight="1">
      <c r="AB1869" s="9"/>
      <c r="AC1869" s="9"/>
      <c r="AD1869" s="9"/>
      <c r="AF1869" s="10"/>
      <c r="AG1869" s="10"/>
      <c r="AH1869" s="10"/>
      <c r="AI1869" s="10"/>
    </row>
    <row r="1870" spans="28:35" ht="15" hidden="1" customHeight="1">
      <c r="AB1870" s="9"/>
      <c r="AC1870" s="9"/>
      <c r="AD1870" s="9"/>
      <c r="AF1870" s="10"/>
      <c r="AG1870" s="10"/>
      <c r="AH1870" s="10"/>
      <c r="AI1870" s="10"/>
    </row>
    <row r="1871" spans="28:35" ht="15" hidden="1" customHeight="1">
      <c r="AB1871" s="9"/>
      <c r="AC1871" s="9"/>
      <c r="AD1871" s="9"/>
      <c r="AF1871" s="10"/>
      <c r="AG1871" s="10"/>
      <c r="AH1871" s="10"/>
      <c r="AI1871" s="10"/>
    </row>
    <row r="1872" spans="28:35" ht="15" hidden="1" customHeight="1">
      <c r="AB1872" s="9"/>
      <c r="AC1872" s="9"/>
      <c r="AD1872" s="9"/>
      <c r="AF1872" s="10"/>
      <c r="AG1872" s="10"/>
      <c r="AH1872" s="10"/>
      <c r="AI1872" s="10"/>
    </row>
    <row r="1873" spans="28:35" ht="15" hidden="1" customHeight="1">
      <c r="AB1873" s="9"/>
      <c r="AC1873" s="9"/>
      <c r="AD1873" s="9"/>
      <c r="AF1873" s="10"/>
      <c r="AG1873" s="10"/>
      <c r="AH1873" s="10"/>
      <c r="AI1873" s="10"/>
    </row>
    <row r="1874" spans="28:35" ht="15" hidden="1" customHeight="1">
      <c r="AB1874" s="9"/>
      <c r="AC1874" s="9"/>
      <c r="AD1874" s="9"/>
      <c r="AF1874" s="10"/>
      <c r="AG1874" s="10"/>
      <c r="AH1874" s="10"/>
      <c r="AI1874" s="10"/>
    </row>
    <row r="1875" spans="28:35" ht="15" hidden="1" customHeight="1">
      <c r="AB1875" s="9"/>
      <c r="AC1875" s="9"/>
      <c r="AD1875" s="9"/>
      <c r="AF1875" s="10"/>
      <c r="AG1875" s="10"/>
      <c r="AH1875" s="10"/>
      <c r="AI1875" s="10"/>
    </row>
    <row r="1876" spans="28:35" ht="15" hidden="1" customHeight="1">
      <c r="AB1876" s="9"/>
      <c r="AC1876" s="9"/>
      <c r="AD1876" s="9"/>
      <c r="AF1876" s="10"/>
      <c r="AG1876" s="10"/>
      <c r="AH1876" s="10"/>
      <c r="AI1876" s="10"/>
    </row>
    <row r="1877" spans="28:35" ht="15" hidden="1" customHeight="1">
      <c r="AB1877" s="9"/>
      <c r="AC1877" s="9"/>
      <c r="AD1877" s="9"/>
      <c r="AF1877" s="10"/>
      <c r="AG1877" s="10"/>
      <c r="AH1877" s="10"/>
      <c r="AI1877" s="10"/>
    </row>
    <row r="1878" spans="28:35" ht="15" hidden="1" customHeight="1">
      <c r="AB1878" s="9"/>
      <c r="AC1878" s="9"/>
      <c r="AD1878" s="9"/>
      <c r="AF1878" s="10"/>
      <c r="AG1878" s="10"/>
      <c r="AH1878" s="10"/>
      <c r="AI1878" s="10"/>
    </row>
    <row r="1879" spans="28:35" ht="15" hidden="1" customHeight="1">
      <c r="AB1879" s="9"/>
      <c r="AC1879" s="9"/>
      <c r="AD1879" s="9"/>
      <c r="AF1879" s="10"/>
      <c r="AG1879" s="10"/>
      <c r="AH1879" s="10"/>
      <c r="AI1879" s="10"/>
    </row>
    <row r="1880" spans="28:35" ht="15" hidden="1" customHeight="1">
      <c r="AB1880" s="9"/>
      <c r="AC1880" s="9"/>
      <c r="AD1880" s="9"/>
      <c r="AF1880" s="10"/>
      <c r="AG1880" s="10"/>
      <c r="AH1880" s="10"/>
      <c r="AI1880" s="10"/>
    </row>
    <row r="1881" spans="28:35" ht="15" hidden="1" customHeight="1">
      <c r="AB1881" s="9"/>
      <c r="AC1881" s="9"/>
      <c r="AD1881" s="9"/>
      <c r="AF1881" s="10"/>
      <c r="AG1881" s="10"/>
      <c r="AH1881" s="10"/>
      <c r="AI1881" s="10"/>
    </row>
    <row r="1882" spans="28:35" ht="15" hidden="1" customHeight="1">
      <c r="AB1882" s="9"/>
      <c r="AC1882" s="9"/>
      <c r="AD1882" s="9"/>
      <c r="AF1882" s="10"/>
      <c r="AG1882" s="10"/>
      <c r="AH1882" s="10"/>
      <c r="AI1882" s="10"/>
    </row>
    <row r="1883" spans="28:35" ht="15" hidden="1" customHeight="1">
      <c r="AB1883" s="9"/>
      <c r="AC1883" s="9"/>
      <c r="AD1883" s="9"/>
      <c r="AF1883" s="10"/>
      <c r="AG1883" s="10"/>
      <c r="AH1883" s="10"/>
      <c r="AI1883" s="10"/>
    </row>
    <row r="1884" spans="28:35" ht="15" hidden="1" customHeight="1">
      <c r="AB1884" s="9"/>
      <c r="AC1884" s="9"/>
      <c r="AD1884" s="9"/>
      <c r="AF1884" s="10"/>
      <c r="AG1884" s="10"/>
      <c r="AH1884" s="10"/>
      <c r="AI1884" s="10"/>
    </row>
    <row r="1885" spans="28:35" ht="15" hidden="1" customHeight="1">
      <c r="AB1885" s="9"/>
      <c r="AC1885" s="9"/>
      <c r="AD1885" s="9"/>
      <c r="AF1885" s="10"/>
      <c r="AG1885" s="10"/>
      <c r="AH1885" s="10"/>
      <c r="AI1885" s="10"/>
    </row>
    <row r="1886" spans="28:35" ht="15" hidden="1" customHeight="1">
      <c r="AB1886" s="9"/>
      <c r="AC1886" s="9"/>
      <c r="AD1886" s="9"/>
      <c r="AF1886" s="10"/>
      <c r="AG1886" s="10"/>
      <c r="AH1886" s="10"/>
      <c r="AI1886" s="10"/>
    </row>
    <row r="1887" spans="28:35" ht="15" hidden="1" customHeight="1">
      <c r="AB1887" s="9"/>
      <c r="AC1887" s="9"/>
      <c r="AD1887" s="9"/>
      <c r="AF1887" s="10"/>
      <c r="AG1887" s="10"/>
      <c r="AH1887" s="10"/>
      <c r="AI1887" s="10"/>
    </row>
    <row r="1888" spans="28:35" ht="15" hidden="1" customHeight="1">
      <c r="AB1888" s="9"/>
      <c r="AC1888" s="9"/>
      <c r="AD1888" s="9"/>
      <c r="AF1888" s="10"/>
      <c r="AG1888" s="10"/>
      <c r="AH1888" s="10"/>
      <c r="AI1888" s="10"/>
    </row>
    <row r="1889" spans="28:35" ht="15" hidden="1" customHeight="1">
      <c r="AB1889" s="9"/>
      <c r="AC1889" s="9"/>
      <c r="AD1889" s="9"/>
      <c r="AF1889" s="10"/>
      <c r="AG1889" s="10"/>
      <c r="AH1889" s="10"/>
      <c r="AI1889" s="10"/>
    </row>
    <row r="1890" spans="28:35" ht="15" hidden="1" customHeight="1">
      <c r="AB1890" s="9"/>
      <c r="AC1890" s="9"/>
      <c r="AD1890" s="9"/>
      <c r="AF1890" s="10"/>
      <c r="AG1890" s="10"/>
      <c r="AH1890" s="10"/>
      <c r="AI1890" s="10"/>
    </row>
    <row r="1891" spans="28:35" ht="15" hidden="1" customHeight="1">
      <c r="AB1891" s="9"/>
      <c r="AC1891" s="9"/>
      <c r="AD1891" s="9"/>
      <c r="AF1891" s="10"/>
      <c r="AG1891" s="10"/>
      <c r="AH1891" s="10"/>
      <c r="AI1891" s="10"/>
    </row>
    <row r="1892" spans="28:35" ht="15" hidden="1" customHeight="1">
      <c r="AB1892" s="9"/>
      <c r="AC1892" s="9"/>
      <c r="AD1892" s="9"/>
      <c r="AF1892" s="10"/>
      <c r="AG1892" s="10"/>
      <c r="AH1892" s="10"/>
      <c r="AI1892" s="10"/>
    </row>
    <row r="1893" spans="28:35" ht="15" hidden="1" customHeight="1">
      <c r="AB1893" s="9"/>
      <c r="AC1893" s="9"/>
      <c r="AD1893" s="9"/>
      <c r="AF1893" s="10"/>
      <c r="AG1893" s="10"/>
      <c r="AH1893" s="10"/>
      <c r="AI1893" s="10"/>
    </row>
    <row r="1894" spans="28:35" ht="15" hidden="1" customHeight="1">
      <c r="AB1894" s="9"/>
      <c r="AC1894" s="9"/>
      <c r="AD1894" s="9"/>
      <c r="AF1894" s="10"/>
      <c r="AG1894" s="10"/>
      <c r="AH1894" s="10"/>
      <c r="AI1894" s="10"/>
    </row>
    <row r="1895" spans="28:35" ht="15" hidden="1" customHeight="1">
      <c r="AB1895" s="9"/>
      <c r="AC1895" s="9"/>
      <c r="AD1895" s="9"/>
      <c r="AF1895" s="10"/>
      <c r="AG1895" s="10"/>
      <c r="AH1895" s="10"/>
      <c r="AI1895" s="10"/>
    </row>
    <row r="1896" spans="28:35" ht="15" hidden="1" customHeight="1">
      <c r="AB1896" s="9"/>
      <c r="AC1896" s="9"/>
      <c r="AD1896" s="9"/>
      <c r="AF1896" s="10"/>
      <c r="AG1896" s="10"/>
      <c r="AH1896" s="10"/>
      <c r="AI1896" s="10"/>
    </row>
    <row r="1897" spans="28:35" ht="15" hidden="1" customHeight="1">
      <c r="AB1897" s="9"/>
      <c r="AC1897" s="9"/>
      <c r="AD1897" s="9"/>
      <c r="AF1897" s="10"/>
      <c r="AG1897" s="10"/>
      <c r="AH1897" s="10"/>
      <c r="AI1897" s="10"/>
    </row>
    <row r="1898" spans="28:35" ht="15" hidden="1" customHeight="1">
      <c r="AB1898" s="9"/>
      <c r="AC1898" s="9"/>
      <c r="AD1898" s="9"/>
      <c r="AF1898" s="10"/>
      <c r="AG1898" s="10"/>
      <c r="AH1898" s="10"/>
      <c r="AI1898" s="10"/>
    </row>
    <row r="1899" spans="28:35" ht="15" hidden="1" customHeight="1">
      <c r="AB1899" s="9"/>
      <c r="AC1899" s="9"/>
      <c r="AD1899" s="9"/>
      <c r="AF1899" s="10"/>
      <c r="AG1899" s="10"/>
      <c r="AH1899" s="10"/>
      <c r="AI1899" s="10"/>
    </row>
    <row r="1900" spans="28:35" ht="15" hidden="1" customHeight="1">
      <c r="AB1900" s="9"/>
      <c r="AC1900" s="9"/>
      <c r="AD1900" s="9"/>
      <c r="AF1900" s="10"/>
      <c r="AG1900" s="10"/>
      <c r="AH1900" s="10"/>
      <c r="AI1900" s="10"/>
    </row>
    <row r="1901" spans="28:35" ht="15" hidden="1" customHeight="1">
      <c r="AB1901" s="9"/>
      <c r="AC1901" s="9"/>
      <c r="AD1901" s="9"/>
      <c r="AF1901" s="10"/>
      <c r="AG1901" s="10"/>
      <c r="AH1901" s="10"/>
      <c r="AI1901" s="10"/>
    </row>
    <row r="1902" spans="28:35" ht="15" hidden="1" customHeight="1">
      <c r="AB1902" s="9"/>
      <c r="AC1902" s="9"/>
      <c r="AD1902" s="9"/>
      <c r="AF1902" s="10"/>
      <c r="AG1902" s="10"/>
      <c r="AH1902" s="10"/>
      <c r="AI1902" s="10"/>
    </row>
    <row r="1903" spans="28:35" ht="15" hidden="1" customHeight="1">
      <c r="AB1903" s="9"/>
      <c r="AC1903" s="9"/>
      <c r="AD1903" s="9"/>
      <c r="AF1903" s="10"/>
      <c r="AG1903" s="10"/>
      <c r="AH1903" s="10"/>
      <c r="AI1903" s="10"/>
    </row>
    <row r="1904" spans="28:35" ht="15" hidden="1" customHeight="1">
      <c r="AB1904" s="9"/>
      <c r="AC1904" s="9"/>
      <c r="AD1904" s="9"/>
      <c r="AF1904" s="10"/>
      <c r="AG1904" s="10"/>
      <c r="AH1904" s="10"/>
      <c r="AI1904" s="10"/>
    </row>
    <row r="1905" spans="28:35" ht="15" hidden="1" customHeight="1">
      <c r="AB1905" s="9"/>
      <c r="AC1905" s="9"/>
      <c r="AD1905" s="9"/>
      <c r="AF1905" s="10"/>
      <c r="AG1905" s="10"/>
      <c r="AH1905" s="10"/>
      <c r="AI1905" s="10"/>
    </row>
    <row r="1906" spans="28:35" ht="15" hidden="1" customHeight="1">
      <c r="AB1906" s="9"/>
      <c r="AC1906" s="9"/>
      <c r="AD1906" s="9"/>
      <c r="AF1906" s="10"/>
      <c r="AG1906" s="10"/>
      <c r="AH1906" s="10"/>
      <c r="AI1906" s="10"/>
    </row>
    <row r="1907" spans="28:35" ht="15" hidden="1" customHeight="1">
      <c r="AB1907" s="9"/>
      <c r="AC1907" s="9"/>
      <c r="AD1907" s="9"/>
      <c r="AF1907" s="10"/>
      <c r="AG1907" s="10"/>
      <c r="AH1907" s="10"/>
      <c r="AI1907" s="10"/>
    </row>
    <row r="1908" spans="28:35" ht="15" hidden="1" customHeight="1">
      <c r="AB1908" s="9"/>
      <c r="AC1908" s="9"/>
      <c r="AD1908" s="9"/>
      <c r="AF1908" s="10"/>
      <c r="AG1908" s="10"/>
      <c r="AH1908" s="10"/>
      <c r="AI1908" s="10"/>
    </row>
    <row r="1909" spans="28:35" ht="15" hidden="1" customHeight="1">
      <c r="AB1909" s="9"/>
      <c r="AC1909" s="9"/>
      <c r="AD1909" s="9"/>
      <c r="AF1909" s="10"/>
      <c r="AG1909" s="10"/>
      <c r="AH1909" s="10"/>
      <c r="AI1909" s="10"/>
    </row>
    <row r="1910" spans="28:35" ht="15" hidden="1" customHeight="1">
      <c r="AB1910" s="9"/>
      <c r="AC1910" s="9"/>
      <c r="AD1910" s="9"/>
      <c r="AF1910" s="10"/>
      <c r="AG1910" s="10"/>
      <c r="AH1910" s="10"/>
      <c r="AI1910" s="10"/>
    </row>
    <row r="1911" spans="28:35" ht="15" hidden="1" customHeight="1">
      <c r="AB1911" s="9"/>
      <c r="AC1911" s="9"/>
      <c r="AD1911" s="9"/>
      <c r="AF1911" s="10"/>
      <c r="AG1911" s="10"/>
      <c r="AH1911" s="10"/>
      <c r="AI1911" s="10"/>
    </row>
    <row r="1912" spans="28:35" ht="15" hidden="1" customHeight="1">
      <c r="AB1912" s="9"/>
      <c r="AC1912" s="9"/>
      <c r="AD1912" s="9"/>
      <c r="AF1912" s="10"/>
      <c r="AG1912" s="10"/>
      <c r="AH1912" s="10"/>
      <c r="AI1912" s="10"/>
    </row>
    <row r="1913" spans="28:35" ht="15" hidden="1" customHeight="1">
      <c r="AB1913" s="9"/>
      <c r="AC1913" s="9"/>
      <c r="AD1913" s="9"/>
      <c r="AF1913" s="10"/>
      <c r="AG1913" s="10"/>
      <c r="AH1913" s="10"/>
      <c r="AI1913" s="10"/>
    </row>
    <row r="1914" spans="28:35" ht="15" hidden="1" customHeight="1">
      <c r="AB1914" s="9"/>
      <c r="AC1914" s="9"/>
      <c r="AD1914" s="9"/>
      <c r="AF1914" s="10"/>
      <c r="AG1914" s="10"/>
      <c r="AH1914" s="10"/>
      <c r="AI1914" s="10"/>
    </row>
    <row r="1915" spans="28:35" ht="15" hidden="1" customHeight="1">
      <c r="AB1915" s="9"/>
      <c r="AC1915" s="9"/>
      <c r="AD1915" s="9"/>
      <c r="AF1915" s="10"/>
      <c r="AG1915" s="10"/>
      <c r="AH1915" s="10"/>
      <c r="AI1915" s="10"/>
    </row>
    <row r="1916" spans="28:35" ht="15" hidden="1" customHeight="1">
      <c r="AB1916" s="9"/>
      <c r="AC1916" s="9"/>
      <c r="AD1916" s="9"/>
      <c r="AF1916" s="10"/>
      <c r="AG1916" s="10"/>
      <c r="AH1916" s="10"/>
      <c r="AI1916" s="10"/>
    </row>
    <row r="1917" spans="28:35" ht="15" hidden="1" customHeight="1">
      <c r="AB1917" s="9"/>
      <c r="AC1917" s="9"/>
      <c r="AD1917" s="9"/>
      <c r="AF1917" s="10"/>
      <c r="AG1917" s="10"/>
      <c r="AH1917" s="10"/>
      <c r="AI1917" s="10"/>
    </row>
    <row r="1918" spans="28:35" ht="15" hidden="1" customHeight="1">
      <c r="AB1918" s="9"/>
      <c r="AC1918" s="9"/>
      <c r="AD1918" s="9"/>
      <c r="AF1918" s="10"/>
      <c r="AG1918" s="10"/>
      <c r="AH1918" s="10"/>
      <c r="AI1918" s="10"/>
    </row>
    <row r="1919" spans="28:35" ht="15" hidden="1" customHeight="1">
      <c r="AB1919" s="9"/>
      <c r="AC1919" s="9"/>
      <c r="AD1919" s="9"/>
      <c r="AF1919" s="10"/>
      <c r="AG1919" s="10"/>
      <c r="AH1919" s="10"/>
      <c r="AI1919" s="10"/>
    </row>
    <row r="1920" spans="28:35" ht="15" hidden="1" customHeight="1">
      <c r="AB1920" s="9"/>
      <c r="AC1920" s="9"/>
      <c r="AD1920" s="9"/>
      <c r="AF1920" s="10"/>
      <c r="AG1920" s="10"/>
      <c r="AH1920" s="10"/>
      <c r="AI1920" s="10"/>
    </row>
    <row r="1921" spans="28:35" ht="15" hidden="1" customHeight="1">
      <c r="AB1921" s="9"/>
      <c r="AC1921" s="9"/>
      <c r="AD1921" s="9"/>
      <c r="AF1921" s="10"/>
      <c r="AG1921" s="10"/>
      <c r="AH1921" s="10"/>
      <c r="AI1921" s="10"/>
    </row>
    <row r="1922" spans="28:35" ht="15" hidden="1" customHeight="1">
      <c r="AB1922" s="9"/>
      <c r="AC1922" s="9"/>
      <c r="AD1922" s="9"/>
      <c r="AF1922" s="10"/>
      <c r="AG1922" s="10"/>
      <c r="AH1922" s="10"/>
      <c r="AI1922" s="10"/>
    </row>
    <row r="1923" spans="28:35" ht="15" hidden="1" customHeight="1">
      <c r="AB1923" s="9"/>
      <c r="AC1923" s="9"/>
      <c r="AD1923" s="9"/>
      <c r="AF1923" s="10"/>
      <c r="AG1923" s="10"/>
      <c r="AH1923" s="10"/>
      <c r="AI1923" s="10"/>
    </row>
    <row r="1924" spans="28:35" ht="15" hidden="1" customHeight="1">
      <c r="AB1924" s="9"/>
      <c r="AC1924" s="9"/>
      <c r="AD1924" s="9"/>
      <c r="AF1924" s="10"/>
      <c r="AG1924" s="10"/>
      <c r="AH1924" s="10"/>
      <c r="AI1924" s="10"/>
    </row>
    <row r="1925" spans="28:35" ht="15" hidden="1" customHeight="1">
      <c r="AB1925" s="9"/>
      <c r="AC1925" s="9"/>
      <c r="AD1925" s="9"/>
      <c r="AF1925" s="10"/>
      <c r="AG1925" s="10"/>
      <c r="AH1925" s="10"/>
      <c r="AI1925" s="10"/>
    </row>
    <row r="1926" spans="28:35" ht="15" hidden="1" customHeight="1">
      <c r="AB1926" s="9"/>
      <c r="AC1926" s="9"/>
      <c r="AD1926" s="9"/>
      <c r="AF1926" s="10"/>
      <c r="AG1926" s="10"/>
      <c r="AH1926" s="10"/>
      <c r="AI1926" s="10"/>
    </row>
    <row r="1927" spans="28:35" ht="15" hidden="1" customHeight="1">
      <c r="AB1927" s="9"/>
      <c r="AC1927" s="9"/>
      <c r="AD1927" s="9"/>
      <c r="AF1927" s="10"/>
      <c r="AG1927" s="10"/>
      <c r="AH1927" s="10"/>
      <c r="AI1927" s="10"/>
    </row>
    <row r="1928" spans="28:35" ht="15" hidden="1" customHeight="1">
      <c r="AB1928" s="9"/>
      <c r="AC1928" s="9"/>
      <c r="AD1928" s="9"/>
      <c r="AF1928" s="10"/>
      <c r="AG1928" s="10"/>
      <c r="AH1928" s="10"/>
      <c r="AI1928" s="10"/>
    </row>
    <row r="1929" spans="28:35" ht="15" hidden="1" customHeight="1">
      <c r="AB1929" s="9"/>
      <c r="AC1929" s="9"/>
      <c r="AD1929" s="9"/>
      <c r="AF1929" s="10"/>
      <c r="AG1929" s="10"/>
      <c r="AH1929" s="10"/>
      <c r="AI1929" s="10"/>
    </row>
    <row r="1930" spans="28:35" ht="15" hidden="1" customHeight="1">
      <c r="AB1930" s="9"/>
      <c r="AC1930" s="9"/>
      <c r="AD1930" s="9"/>
      <c r="AF1930" s="10"/>
      <c r="AG1930" s="10"/>
      <c r="AH1930" s="10"/>
      <c r="AI1930" s="10"/>
    </row>
    <row r="1931" spans="28:35" ht="15" hidden="1" customHeight="1">
      <c r="AB1931" s="9"/>
      <c r="AC1931" s="9"/>
      <c r="AD1931" s="9"/>
      <c r="AF1931" s="10"/>
      <c r="AG1931" s="10"/>
      <c r="AH1931" s="10"/>
      <c r="AI1931" s="10"/>
    </row>
    <row r="1932" spans="28:35" ht="15" hidden="1" customHeight="1">
      <c r="AB1932" s="9"/>
      <c r="AC1932" s="9"/>
      <c r="AD1932" s="9"/>
      <c r="AF1932" s="10"/>
      <c r="AG1932" s="10"/>
      <c r="AH1932" s="10"/>
      <c r="AI1932" s="10"/>
    </row>
    <row r="1933" spans="28:35" ht="15" hidden="1" customHeight="1">
      <c r="AB1933" s="9"/>
      <c r="AC1933" s="9"/>
      <c r="AD1933" s="9"/>
      <c r="AF1933" s="10"/>
      <c r="AG1933" s="10"/>
      <c r="AH1933" s="10"/>
      <c r="AI1933" s="10"/>
    </row>
    <row r="1934" spans="28:35" ht="15" hidden="1" customHeight="1">
      <c r="AB1934" s="9"/>
      <c r="AC1934" s="9"/>
      <c r="AD1934" s="9"/>
      <c r="AF1934" s="10"/>
      <c r="AG1934" s="10"/>
      <c r="AH1934" s="10"/>
      <c r="AI1934" s="10"/>
    </row>
    <row r="1935" spans="28:35" ht="15" hidden="1" customHeight="1">
      <c r="AB1935" s="9"/>
      <c r="AC1935" s="9"/>
      <c r="AD1935" s="9"/>
      <c r="AF1935" s="10"/>
      <c r="AG1935" s="10"/>
      <c r="AH1935" s="10"/>
      <c r="AI1935" s="10"/>
    </row>
    <row r="1936" spans="28:35" ht="15" hidden="1" customHeight="1">
      <c r="AB1936" s="9"/>
      <c r="AC1936" s="9"/>
      <c r="AD1936" s="9"/>
      <c r="AF1936" s="10"/>
      <c r="AG1936" s="10"/>
      <c r="AH1936" s="10"/>
      <c r="AI1936" s="10"/>
    </row>
    <row r="1937" spans="28:35" ht="15" hidden="1" customHeight="1">
      <c r="AB1937" s="9"/>
      <c r="AC1937" s="9"/>
      <c r="AD1937" s="9"/>
      <c r="AF1937" s="10"/>
      <c r="AG1937" s="10"/>
      <c r="AH1937" s="10"/>
      <c r="AI1937" s="10"/>
    </row>
    <row r="1938" spans="28:35" ht="15" hidden="1" customHeight="1">
      <c r="AB1938" s="9"/>
      <c r="AC1938" s="9"/>
      <c r="AD1938" s="9"/>
      <c r="AF1938" s="10"/>
      <c r="AG1938" s="10"/>
      <c r="AH1938" s="10"/>
      <c r="AI1938" s="10"/>
    </row>
    <row r="1939" spans="28:35" ht="15" hidden="1" customHeight="1">
      <c r="AB1939" s="9"/>
      <c r="AC1939" s="9"/>
      <c r="AD1939" s="9"/>
      <c r="AF1939" s="10"/>
      <c r="AG1939" s="10"/>
      <c r="AH1939" s="10"/>
      <c r="AI1939" s="10"/>
    </row>
    <row r="1940" spans="28:35" ht="15" hidden="1" customHeight="1">
      <c r="AB1940" s="9"/>
      <c r="AC1940" s="9"/>
      <c r="AD1940" s="9"/>
      <c r="AF1940" s="10"/>
      <c r="AG1940" s="10"/>
      <c r="AH1940" s="10"/>
      <c r="AI1940" s="10"/>
    </row>
    <row r="1941" spans="28:35" ht="15" hidden="1" customHeight="1">
      <c r="AB1941" s="9"/>
      <c r="AC1941" s="9"/>
      <c r="AD1941" s="9"/>
      <c r="AF1941" s="10"/>
      <c r="AG1941" s="10"/>
      <c r="AH1941" s="10"/>
      <c r="AI1941" s="10"/>
    </row>
    <row r="1942" spans="28:35" ht="15" hidden="1" customHeight="1">
      <c r="AB1942" s="9"/>
      <c r="AC1942" s="9"/>
      <c r="AD1942" s="9"/>
      <c r="AF1942" s="10"/>
      <c r="AG1942" s="10"/>
      <c r="AH1942" s="10"/>
      <c r="AI1942" s="10"/>
    </row>
    <row r="1943" spans="28:35" ht="15" hidden="1" customHeight="1">
      <c r="AB1943" s="9"/>
      <c r="AC1943" s="9"/>
      <c r="AD1943" s="9"/>
      <c r="AF1943" s="10"/>
      <c r="AG1943" s="10"/>
      <c r="AH1943" s="10"/>
      <c r="AI1943" s="10"/>
    </row>
    <row r="1944" spans="28:35" ht="15" hidden="1" customHeight="1">
      <c r="AB1944" s="9"/>
      <c r="AC1944" s="9"/>
      <c r="AD1944" s="9"/>
      <c r="AF1944" s="10"/>
      <c r="AG1944" s="10"/>
      <c r="AH1944" s="10"/>
      <c r="AI1944" s="10"/>
    </row>
    <row r="1945" spans="28:35" ht="15" hidden="1" customHeight="1">
      <c r="AB1945" s="9"/>
      <c r="AC1945" s="9"/>
      <c r="AD1945" s="9"/>
      <c r="AF1945" s="10"/>
      <c r="AG1945" s="10"/>
      <c r="AH1945" s="10"/>
      <c r="AI1945" s="10"/>
    </row>
    <row r="1946" spans="28:35" ht="15" hidden="1" customHeight="1">
      <c r="AB1946" s="9"/>
      <c r="AC1946" s="9"/>
      <c r="AD1946" s="9"/>
      <c r="AF1946" s="10"/>
      <c r="AG1946" s="10"/>
      <c r="AH1946" s="10"/>
      <c r="AI1946" s="10"/>
    </row>
    <row r="1947" spans="28:35" ht="15" hidden="1" customHeight="1">
      <c r="AB1947" s="9"/>
      <c r="AC1947" s="9"/>
      <c r="AD1947" s="9"/>
      <c r="AF1947" s="10"/>
      <c r="AG1947" s="10"/>
      <c r="AH1947" s="10"/>
      <c r="AI1947" s="10"/>
    </row>
    <row r="1948" spans="28:35" ht="15" hidden="1" customHeight="1">
      <c r="AB1948" s="9"/>
      <c r="AC1948" s="9"/>
      <c r="AD1948" s="9"/>
      <c r="AF1948" s="10"/>
      <c r="AG1948" s="10"/>
      <c r="AH1948" s="10"/>
      <c r="AI1948" s="10"/>
    </row>
    <row r="1949" spans="28:35" ht="15" hidden="1" customHeight="1">
      <c r="AB1949" s="9"/>
      <c r="AC1949" s="9"/>
      <c r="AD1949" s="9"/>
      <c r="AF1949" s="10"/>
      <c r="AG1949" s="10"/>
      <c r="AH1949" s="10"/>
      <c r="AI1949" s="10"/>
    </row>
    <row r="1950" spans="28:35" ht="15" hidden="1" customHeight="1">
      <c r="AB1950" s="9"/>
      <c r="AC1950" s="9"/>
      <c r="AD1950" s="9"/>
      <c r="AF1950" s="10"/>
      <c r="AG1950" s="10"/>
      <c r="AH1950" s="10"/>
      <c r="AI1950" s="10"/>
    </row>
    <row r="1951" spans="28:35" ht="15" hidden="1" customHeight="1">
      <c r="AB1951" s="9"/>
      <c r="AC1951" s="9"/>
      <c r="AD1951" s="9"/>
      <c r="AF1951" s="10"/>
      <c r="AG1951" s="10"/>
      <c r="AH1951" s="10"/>
      <c r="AI1951" s="10"/>
    </row>
    <row r="1952" spans="28:35" ht="15" hidden="1" customHeight="1">
      <c r="AB1952" s="9"/>
      <c r="AC1952" s="9"/>
      <c r="AD1952" s="9"/>
      <c r="AF1952" s="10"/>
      <c r="AG1952" s="10"/>
      <c r="AH1952" s="10"/>
      <c r="AI1952" s="10"/>
    </row>
    <row r="1953" spans="28:35" ht="15" hidden="1" customHeight="1">
      <c r="AB1953" s="9"/>
      <c r="AC1953" s="9"/>
      <c r="AD1953" s="9"/>
      <c r="AF1953" s="10"/>
      <c r="AG1953" s="10"/>
      <c r="AH1953" s="10"/>
      <c r="AI1953" s="10"/>
    </row>
    <row r="1954" spans="28:35" ht="15" hidden="1" customHeight="1">
      <c r="AB1954" s="9"/>
      <c r="AC1954" s="9"/>
      <c r="AD1954" s="9"/>
      <c r="AF1954" s="10"/>
      <c r="AG1954" s="10"/>
      <c r="AH1954" s="10"/>
      <c r="AI1954" s="10"/>
    </row>
    <row r="1955" spans="28:35" ht="15" hidden="1" customHeight="1">
      <c r="AB1955" s="9"/>
      <c r="AC1955" s="9"/>
      <c r="AD1955" s="9"/>
      <c r="AF1955" s="10"/>
      <c r="AG1955" s="10"/>
      <c r="AH1955" s="10"/>
      <c r="AI1955" s="10"/>
    </row>
    <row r="1956" spans="28:35" ht="15" hidden="1" customHeight="1">
      <c r="AB1956" s="9"/>
      <c r="AC1956" s="9"/>
      <c r="AD1956" s="9"/>
      <c r="AF1956" s="10"/>
      <c r="AG1956" s="10"/>
      <c r="AH1956" s="10"/>
      <c r="AI1956" s="10"/>
    </row>
    <row r="1957" spans="28:35" ht="15" hidden="1" customHeight="1">
      <c r="AB1957" s="9"/>
      <c r="AC1957" s="9"/>
      <c r="AD1957" s="9"/>
      <c r="AF1957" s="10"/>
      <c r="AG1957" s="10"/>
      <c r="AH1957" s="10"/>
      <c r="AI1957" s="10"/>
    </row>
    <row r="1958" spans="28:35" ht="15" hidden="1" customHeight="1">
      <c r="AB1958" s="9"/>
      <c r="AC1958" s="9"/>
      <c r="AD1958" s="9"/>
      <c r="AF1958" s="10"/>
      <c r="AG1958" s="10"/>
      <c r="AH1958" s="10"/>
      <c r="AI1958" s="10"/>
    </row>
    <row r="1959" spans="28:35" ht="15" hidden="1" customHeight="1">
      <c r="AB1959" s="9"/>
      <c r="AC1959" s="9"/>
      <c r="AD1959" s="9"/>
      <c r="AF1959" s="10"/>
      <c r="AG1959" s="10"/>
      <c r="AH1959" s="10"/>
      <c r="AI1959" s="10"/>
    </row>
    <row r="1960" spans="28:35" ht="15" hidden="1" customHeight="1">
      <c r="AB1960" s="9"/>
      <c r="AC1960" s="9"/>
      <c r="AD1960" s="9"/>
      <c r="AF1960" s="10"/>
      <c r="AG1960" s="10"/>
      <c r="AH1960" s="10"/>
      <c r="AI1960" s="10"/>
    </row>
    <row r="1961" spans="28:35" ht="15" hidden="1" customHeight="1">
      <c r="AB1961" s="9"/>
      <c r="AC1961" s="9"/>
      <c r="AD1961" s="9"/>
      <c r="AF1961" s="10"/>
      <c r="AG1961" s="10"/>
      <c r="AH1961" s="10"/>
      <c r="AI1961" s="10"/>
    </row>
    <row r="1962" spans="28:35" ht="15" hidden="1" customHeight="1">
      <c r="AB1962" s="9"/>
      <c r="AC1962" s="9"/>
      <c r="AD1962" s="9"/>
      <c r="AF1962" s="10"/>
      <c r="AG1962" s="10"/>
      <c r="AH1962" s="10"/>
      <c r="AI1962" s="10"/>
    </row>
    <row r="1963" spans="28:35" ht="15" hidden="1" customHeight="1">
      <c r="AB1963" s="9"/>
      <c r="AC1963" s="9"/>
      <c r="AD1963" s="9"/>
      <c r="AF1963" s="10"/>
      <c r="AG1963" s="10"/>
      <c r="AH1963" s="10"/>
      <c r="AI1963" s="10"/>
    </row>
    <row r="1964" spans="28:35" ht="15" hidden="1" customHeight="1">
      <c r="AB1964" s="9"/>
      <c r="AC1964" s="9"/>
      <c r="AD1964" s="9"/>
      <c r="AF1964" s="10"/>
      <c r="AG1964" s="10"/>
      <c r="AH1964" s="10"/>
      <c r="AI1964" s="10"/>
    </row>
    <row r="1965" spans="28:35" ht="15" hidden="1" customHeight="1">
      <c r="AB1965" s="9"/>
      <c r="AC1965" s="9"/>
      <c r="AD1965" s="9"/>
      <c r="AF1965" s="10"/>
      <c r="AG1965" s="10"/>
      <c r="AH1965" s="10"/>
      <c r="AI1965" s="10"/>
    </row>
    <row r="1966" spans="28:35" ht="15" hidden="1" customHeight="1">
      <c r="AB1966" s="9"/>
      <c r="AC1966" s="9"/>
      <c r="AD1966" s="9"/>
      <c r="AF1966" s="10"/>
      <c r="AG1966" s="10"/>
      <c r="AH1966" s="10"/>
      <c r="AI1966" s="10"/>
    </row>
    <row r="1967" spans="28:35" ht="15" hidden="1" customHeight="1">
      <c r="AB1967" s="9"/>
      <c r="AC1967" s="9"/>
      <c r="AD1967" s="9"/>
      <c r="AF1967" s="10"/>
      <c r="AG1967" s="10"/>
      <c r="AH1967" s="10"/>
      <c r="AI1967" s="10"/>
    </row>
    <row r="1968" spans="28:35" ht="15" hidden="1" customHeight="1">
      <c r="AB1968" s="9"/>
      <c r="AC1968" s="9"/>
      <c r="AD1968" s="9"/>
      <c r="AF1968" s="10"/>
      <c r="AG1968" s="10"/>
      <c r="AH1968" s="10"/>
      <c r="AI1968" s="10"/>
    </row>
    <row r="1969" spans="28:35" ht="15" hidden="1" customHeight="1">
      <c r="AB1969" s="9"/>
      <c r="AC1969" s="9"/>
      <c r="AD1969" s="9"/>
      <c r="AF1969" s="10"/>
      <c r="AG1969" s="10"/>
      <c r="AH1969" s="10"/>
      <c r="AI1969" s="10"/>
    </row>
    <row r="1970" spans="28:35" ht="15" hidden="1" customHeight="1">
      <c r="AB1970" s="9"/>
      <c r="AC1970" s="9"/>
      <c r="AD1970" s="9"/>
      <c r="AF1970" s="10"/>
      <c r="AG1970" s="10"/>
      <c r="AH1970" s="10"/>
      <c r="AI1970" s="10"/>
    </row>
    <row r="1971" spans="28:35" ht="15" hidden="1" customHeight="1">
      <c r="AB1971" s="9"/>
      <c r="AC1971" s="9"/>
      <c r="AD1971" s="9"/>
      <c r="AF1971" s="10"/>
      <c r="AG1971" s="10"/>
      <c r="AH1971" s="10"/>
      <c r="AI1971" s="10"/>
    </row>
    <row r="1972" spans="28:35" ht="15" hidden="1" customHeight="1">
      <c r="AB1972" s="9"/>
      <c r="AC1972" s="9"/>
      <c r="AD1972" s="9"/>
      <c r="AF1972" s="10"/>
      <c r="AG1972" s="10"/>
      <c r="AH1972" s="10"/>
      <c r="AI1972" s="10"/>
    </row>
    <row r="1973" spans="28:35" ht="15" hidden="1" customHeight="1">
      <c r="AB1973" s="9"/>
      <c r="AC1973" s="9"/>
      <c r="AD1973" s="9"/>
      <c r="AF1973" s="10"/>
      <c r="AG1973" s="10"/>
      <c r="AH1973" s="10"/>
      <c r="AI1973" s="10"/>
    </row>
    <row r="1974" spans="28:35" ht="15" hidden="1" customHeight="1">
      <c r="AB1974" s="9"/>
      <c r="AC1974" s="9"/>
      <c r="AD1974" s="9"/>
      <c r="AF1974" s="10"/>
      <c r="AG1974" s="10"/>
      <c r="AH1974" s="10"/>
      <c r="AI1974" s="10"/>
    </row>
    <row r="1975" spans="28:35" ht="15" hidden="1" customHeight="1">
      <c r="AB1975" s="9"/>
      <c r="AC1975" s="9"/>
      <c r="AD1975" s="9"/>
      <c r="AF1975" s="10"/>
      <c r="AG1975" s="10"/>
      <c r="AH1975" s="10"/>
      <c r="AI1975" s="10"/>
    </row>
    <row r="1976" spans="28:35" ht="15" hidden="1" customHeight="1">
      <c r="AB1976" s="9"/>
      <c r="AC1976" s="9"/>
      <c r="AD1976" s="9"/>
      <c r="AF1976" s="10"/>
      <c r="AG1976" s="10"/>
      <c r="AH1976" s="10"/>
      <c r="AI1976" s="10"/>
    </row>
    <row r="1977" spans="28:35" ht="15" hidden="1" customHeight="1">
      <c r="AB1977" s="9"/>
      <c r="AC1977" s="9"/>
      <c r="AD1977" s="9"/>
      <c r="AF1977" s="10"/>
      <c r="AG1977" s="10"/>
      <c r="AH1977" s="10"/>
      <c r="AI1977" s="10"/>
    </row>
    <row r="1978" spans="28:35" ht="15" hidden="1" customHeight="1">
      <c r="AB1978" s="9"/>
      <c r="AC1978" s="9"/>
      <c r="AD1978" s="9"/>
      <c r="AF1978" s="10"/>
      <c r="AG1978" s="10"/>
      <c r="AH1978" s="10"/>
      <c r="AI1978" s="10"/>
    </row>
    <row r="1979" spans="28:35" ht="15" hidden="1" customHeight="1">
      <c r="AB1979" s="9"/>
      <c r="AC1979" s="9"/>
      <c r="AD1979" s="9"/>
      <c r="AF1979" s="10"/>
      <c r="AG1979" s="10"/>
      <c r="AH1979" s="10"/>
      <c r="AI1979" s="10"/>
    </row>
    <row r="1980" spans="28:35" ht="15" hidden="1" customHeight="1">
      <c r="AB1980" s="9"/>
      <c r="AC1980" s="9"/>
      <c r="AD1980" s="9"/>
      <c r="AF1980" s="10"/>
      <c r="AG1980" s="10"/>
      <c r="AH1980" s="10"/>
      <c r="AI1980" s="10"/>
    </row>
    <row r="1981" spans="28:35" ht="15" hidden="1" customHeight="1">
      <c r="AB1981" s="9"/>
      <c r="AC1981" s="9"/>
      <c r="AD1981" s="9"/>
      <c r="AF1981" s="10"/>
      <c r="AG1981" s="10"/>
      <c r="AH1981" s="10"/>
      <c r="AI1981" s="10"/>
    </row>
    <row r="1982" spans="28:35" ht="15" hidden="1" customHeight="1">
      <c r="AB1982" s="9"/>
      <c r="AC1982" s="9"/>
      <c r="AD1982" s="9"/>
      <c r="AF1982" s="10"/>
      <c r="AG1982" s="10"/>
      <c r="AH1982" s="10"/>
      <c r="AI1982" s="10"/>
    </row>
    <row r="1983" spans="28:35" ht="15" hidden="1" customHeight="1">
      <c r="AB1983" s="9"/>
      <c r="AC1983" s="9"/>
      <c r="AD1983" s="9"/>
      <c r="AF1983" s="10"/>
      <c r="AG1983" s="10"/>
      <c r="AH1983" s="10"/>
      <c r="AI1983" s="10"/>
    </row>
    <row r="1984" spans="28:35" ht="15" hidden="1" customHeight="1">
      <c r="AB1984" s="9"/>
      <c r="AC1984" s="9"/>
      <c r="AD1984" s="9"/>
      <c r="AF1984" s="10"/>
      <c r="AG1984" s="10"/>
      <c r="AH1984" s="10"/>
      <c r="AI1984" s="10"/>
    </row>
    <row r="1985" spans="28:35" ht="15" hidden="1" customHeight="1">
      <c r="AB1985" s="9"/>
      <c r="AC1985" s="9"/>
      <c r="AD1985" s="9"/>
      <c r="AF1985" s="10"/>
      <c r="AG1985" s="10"/>
      <c r="AH1985" s="10"/>
      <c r="AI1985" s="10"/>
    </row>
    <row r="1986" spans="28:35" ht="15" hidden="1" customHeight="1">
      <c r="AB1986" s="9"/>
      <c r="AC1986" s="9"/>
      <c r="AD1986" s="9"/>
      <c r="AF1986" s="10"/>
      <c r="AG1986" s="10"/>
      <c r="AH1986" s="10"/>
      <c r="AI1986" s="10"/>
    </row>
    <row r="1987" spans="28:35" ht="15" hidden="1" customHeight="1">
      <c r="AB1987" s="9"/>
      <c r="AC1987" s="9"/>
      <c r="AD1987" s="9"/>
      <c r="AF1987" s="10"/>
      <c r="AG1987" s="10"/>
      <c r="AH1987" s="10"/>
      <c r="AI1987" s="10"/>
    </row>
    <row r="1988" spans="28:35" ht="15" hidden="1" customHeight="1">
      <c r="AB1988" s="9"/>
      <c r="AC1988" s="9"/>
      <c r="AD1988" s="9"/>
      <c r="AF1988" s="10"/>
      <c r="AG1988" s="10"/>
      <c r="AH1988" s="10"/>
      <c r="AI1988" s="10"/>
    </row>
    <row r="1989" spans="28:35" ht="15" hidden="1" customHeight="1">
      <c r="AB1989" s="9"/>
      <c r="AC1989" s="9"/>
      <c r="AD1989" s="9"/>
      <c r="AF1989" s="10"/>
      <c r="AG1989" s="10"/>
      <c r="AH1989" s="10"/>
      <c r="AI1989" s="10"/>
    </row>
    <row r="1990" spans="28:35" ht="15" hidden="1" customHeight="1">
      <c r="AB1990" s="9"/>
      <c r="AC1990" s="9"/>
      <c r="AD1990" s="9"/>
      <c r="AF1990" s="10"/>
      <c r="AG1990" s="10"/>
      <c r="AH1990" s="10"/>
      <c r="AI1990" s="10"/>
    </row>
    <row r="1991" spans="28:35" ht="15" hidden="1" customHeight="1">
      <c r="AB1991" s="9"/>
      <c r="AC1991" s="9"/>
      <c r="AD1991" s="9"/>
      <c r="AF1991" s="10"/>
      <c r="AG1991" s="10"/>
      <c r="AH1991" s="10"/>
      <c r="AI1991" s="10"/>
    </row>
    <row r="1992" spans="28:35" ht="15" hidden="1" customHeight="1">
      <c r="AB1992" s="9"/>
      <c r="AC1992" s="9"/>
      <c r="AD1992" s="9"/>
      <c r="AF1992" s="10"/>
      <c r="AG1992" s="10"/>
      <c r="AH1992" s="10"/>
      <c r="AI1992" s="10"/>
    </row>
    <row r="1993" spans="28:35" ht="15" hidden="1" customHeight="1">
      <c r="AB1993" s="9"/>
      <c r="AC1993" s="9"/>
      <c r="AD1993" s="9"/>
      <c r="AF1993" s="10"/>
      <c r="AG1993" s="10"/>
      <c r="AH1993" s="10"/>
      <c r="AI1993" s="10"/>
    </row>
    <row r="1994" spans="28:35" ht="15" hidden="1" customHeight="1">
      <c r="AB1994" s="9"/>
      <c r="AC1994" s="9"/>
      <c r="AD1994" s="9"/>
      <c r="AF1994" s="10"/>
      <c r="AG1994" s="10"/>
      <c r="AH1994" s="10"/>
      <c r="AI1994" s="10"/>
    </row>
    <row r="1995" spans="28:35" ht="15" hidden="1" customHeight="1">
      <c r="AB1995" s="9"/>
      <c r="AC1995" s="9"/>
      <c r="AD1995" s="9"/>
      <c r="AF1995" s="10"/>
      <c r="AG1995" s="10"/>
      <c r="AH1995" s="10"/>
      <c r="AI1995" s="10"/>
    </row>
    <row r="1996" spans="28:35" ht="15" hidden="1" customHeight="1">
      <c r="AB1996" s="9"/>
      <c r="AC1996" s="9"/>
      <c r="AD1996" s="9"/>
      <c r="AF1996" s="10"/>
      <c r="AG1996" s="10"/>
      <c r="AH1996" s="10"/>
      <c r="AI1996" s="10"/>
    </row>
    <row r="1997" spans="28:35" ht="15" hidden="1" customHeight="1">
      <c r="AB1997" s="9"/>
      <c r="AC1997" s="9"/>
      <c r="AD1997" s="9"/>
      <c r="AF1997" s="10"/>
      <c r="AG1997" s="10"/>
      <c r="AH1997" s="10"/>
      <c r="AI1997" s="10"/>
    </row>
    <row r="1998" spans="28:35" ht="15" hidden="1" customHeight="1">
      <c r="AB1998" s="9"/>
      <c r="AC1998" s="9"/>
      <c r="AD1998" s="9"/>
      <c r="AF1998" s="10"/>
      <c r="AG1998" s="10"/>
      <c r="AH1998" s="10"/>
      <c r="AI1998" s="10"/>
    </row>
    <row r="1999" spans="28:35" ht="15" hidden="1" customHeight="1">
      <c r="AB1999" s="9"/>
      <c r="AC1999" s="9"/>
      <c r="AD1999" s="9"/>
      <c r="AF1999" s="10"/>
      <c r="AG1999" s="10"/>
      <c r="AH1999" s="10"/>
      <c r="AI1999" s="10"/>
    </row>
    <row r="2000" spans="28:35" ht="15" hidden="1" customHeight="1">
      <c r="AB2000" s="9"/>
      <c r="AC2000" s="9"/>
      <c r="AD2000" s="9"/>
      <c r="AF2000" s="10"/>
      <c r="AG2000" s="10"/>
      <c r="AH2000" s="10"/>
      <c r="AI2000" s="10"/>
    </row>
    <row r="2001" spans="28:35" ht="15" hidden="1" customHeight="1">
      <c r="AB2001" s="9"/>
      <c r="AC2001" s="9"/>
      <c r="AD2001" s="9"/>
      <c r="AF2001" s="10"/>
      <c r="AG2001" s="10"/>
      <c r="AH2001" s="10"/>
      <c r="AI2001" s="10"/>
    </row>
    <row r="2002" spans="28:35" ht="15" hidden="1" customHeight="1">
      <c r="AB2002" s="9"/>
      <c r="AC2002" s="9"/>
      <c r="AD2002" s="9"/>
      <c r="AF2002" s="10"/>
      <c r="AG2002" s="10"/>
      <c r="AH2002" s="10"/>
      <c r="AI2002" s="10"/>
    </row>
    <row r="2003" spans="28:35" ht="15" hidden="1" customHeight="1">
      <c r="AB2003" s="9"/>
      <c r="AC2003" s="9"/>
      <c r="AD2003" s="9"/>
      <c r="AF2003" s="10"/>
      <c r="AG2003" s="10"/>
      <c r="AH2003" s="10"/>
      <c r="AI2003" s="10"/>
    </row>
    <row r="2004" spans="28:35" ht="15" hidden="1" customHeight="1">
      <c r="AB2004" s="9"/>
      <c r="AC2004" s="9"/>
      <c r="AD2004" s="9"/>
      <c r="AF2004" s="10"/>
      <c r="AG2004" s="10"/>
      <c r="AH2004" s="10"/>
      <c r="AI2004" s="10"/>
    </row>
    <row r="2005" spans="28:35" ht="15" hidden="1" customHeight="1">
      <c r="AB2005" s="9"/>
      <c r="AC2005" s="9"/>
      <c r="AD2005" s="9"/>
      <c r="AF2005" s="10"/>
      <c r="AG2005" s="10"/>
      <c r="AH2005" s="10"/>
      <c r="AI2005" s="10"/>
    </row>
    <row r="2006" spans="28:35" ht="15" hidden="1" customHeight="1">
      <c r="AB2006" s="9"/>
      <c r="AC2006" s="9"/>
      <c r="AD2006" s="9"/>
      <c r="AF2006" s="10"/>
      <c r="AG2006" s="10"/>
      <c r="AH2006" s="10"/>
      <c r="AI2006" s="10"/>
    </row>
    <row r="2007" spans="28:35" ht="15" hidden="1" customHeight="1">
      <c r="AB2007" s="9"/>
      <c r="AC2007" s="9"/>
      <c r="AD2007" s="9"/>
      <c r="AF2007" s="10"/>
      <c r="AG2007" s="10"/>
      <c r="AH2007" s="10"/>
      <c r="AI2007" s="10"/>
    </row>
    <row r="2008" spans="28:35" ht="15" hidden="1" customHeight="1">
      <c r="AB2008" s="9"/>
      <c r="AC2008" s="9"/>
      <c r="AD2008" s="9"/>
      <c r="AF2008" s="10"/>
      <c r="AG2008" s="10"/>
      <c r="AH2008" s="10"/>
      <c r="AI2008" s="10"/>
    </row>
    <row r="2009" spans="28:35" ht="15" hidden="1" customHeight="1">
      <c r="AB2009" s="9"/>
      <c r="AC2009" s="9"/>
      <c r="AD2009" s="9"/>
      <c r="AF2009" s="10"/>
      <c r="AG2009" s="10"/>
      <c r="AH2009" s="10"/>
      <c r="AI2009" s="10"/>
    </row>
    <row r="2010" spans="28:35" ht="15" hidden="1" customHeight="1">
      <c r="AB2010" s="9"/>
      <c r="AC2010" s="9"/>
      <c r="AD2010" s="9"/>
      <c r="AF2010" s="10"/>
      <c r="AG2010" s="10"/>
      <c r="AH2010" s="10"/>
      <c r="AI2010" s="10"/>
    </row>
    <row r="2011" spans="28:35" ht="15" hidden="1" customHeight="1">
      <c r="AB2011" s="9"/>
      <c r="AC2011" s="9"/>
      <c r="AD2011" s="9"/>
      <c r="AF2011" s="10"/>
      <c r="AG2011" s="10"/>
      <c r="AH2011" s="10"/>
      <c r="AI2011" s="10"/>
    </row>
    <row r="2012" spans="28:35" ht="15" hidden="1" customHeight="1">
      <c r="AB2012" s="9"/>
      <c r="AC2012" s="9"/>
      <c r="AD2012" s="9"/>
      <c r="AF2012" s="10"/>
      <c r="AG2012" s="10"/>
      <c r="AH2012" s="10"/>
      <c r="AI2012" s="10"/>
    </row>
    <row r="2013" spans="28:35" ht="15" hidden="1" customHeight="1">
      <c r="AB2013" s="9"/>
      <c r="AC2013" s="9"/>
      <c r="AD2013" s="9"/>
      <c r="AF2013" s="10"/>
      <c r="AG2013" s="10"/>
      <c r="AH2013" s="10"/>
      <c r="AI2013" s="10"/>
    </row>
    <row r="2014" spans="28:35" ht="15" hidden="1" customHeight="1">
      <c r="AB2014" s="9"/>
      <c r="AC2014" s="9"/>
      <c r="AD2014" s="9"/>
      <c r="AF2014" s="10"/>
      <c r="AG2014" s="10"/>
      <c r="AH2014" s="10"/>
      <c r="AI2014" s="10"/>
    </row>
    <row r="2015" spans="28:35" ht="15" hidden="1" customHeight="1">
      <c r="AB2015" s="9"/>
      <c r="AC2015" s="9"/>
      <c r="AD2015" s="9"/>
      <c r="AF2015" s="10"/>
      <c r="AG2015" s="10"/>
      <c r="AH2015" s="10"/>
      <c r="AI2015" s="10"/>
    </row>
    <row r="2016" spans="28:35" ht="15" hidden="1" customHeight="1">
      <c r="AB2016" s="9"/>
      <c r="AC2016" s="9"/>
      <c r="AD2016" s="9"/>
      <c r="AF2016" s="10"/>
      <c r="AG2016" s="10"/>
      <c r="AH2016" s="10"/>
      <c r="AI2016" s="10"/>
    </row>
    <row r="2017" spans="28:35" ht="15" hidden="1" customHeight="1">
      <c r="AB2017" s="9"/>
      <c r="AC2017" s="9"/>
      <c r="AD2017" s="9"/>
      <c r="AF2017" s="10"/>
      <c r="AG2017" s="10"/>
      <c r="AH2017" s="10"/>
      <c r="AI2017" s="10"/>
    </row>
    <row r="2018" spans="28:35" ht="15" hidden="1" customHeight="1">
      <c r="AB2018" s="9"/>
      <c r="AC2018" s="9"/>
      <c r="AD2018" s="9"/>
      <c r="AF2018" s="10"/>
      <c r="AG2018" s="10"/>
      <c r="AH2018" s="10"/>
      <c r="AI2018" s="10"/>
    </row>
    <row r="2019" spans="28:35" ht="15" hidden="1" customHeight="1">
      <c r="AB2019" s="9"/>
      <c r="AC2019" s="9"/>
      <c r="AD2019" s="9"/>
      <c r="AF2019" s="10"/>
      <c r="AG2019" s="10"/>
      <c r="AH2019" s="10"/>
      <c r="AI2019" s="10"/>
    </row>
    <row r="2020" spans="28:35" ht="15" hidden="1" customHeight="1">
      <c r="AB2020" s="9"/>
      <c r="AC2020" s="9"/>
      <c r="AD2020" s="9"/>
      <c r="AF2020" s="10"/>
      <c r="AG2020" s="10"/>
      <c r="AH2020" s="10"/>
      <c r="AI2020" s="10"/>
    </row>
    <row r="2021" spans="28:35" ht="15" hidden="1" customHeight="1">
      <c r="AB2021" s="9"/>
      <c r="AC2021" s="9"/>
      <c r="AD2021" s="9"/>
      <c r="AF2021" s="10"/>
      <c r="AG2021" s="10"/>
      <c r="AH2021" s="10"/>
      <c r="AI2021" s="10"/>
    </row>
    <row r="2022" spans="28:35" ht="15" hidden="1" customHeight="1">
      <c r="AB2022" s="9"/>
      <c r="AC2022" s="9"/>
      <c r="AD2022" s="9"/>
      <c r="AF2022" s="10"/>
      <c r="AG2022" s="10"/>
      <c r="AH2022" s="10"/>
      <c r="AI2022" s="10"/>
    </row>
    <row r="2023" spans="28:35" ht="15" hidden="1" customHeight="1">
      <c r="AB2023" s="9"/>
      <c r="AC2023" s="9"/>
      <c r="AD2023" s="9"/>
      <c r="AF2023" s="10"/>
      <c r="AG2023" s="10"/>
      <c r="AH2023" s="10"/>
      <c r="AI2023" s="10"/>
    </row>
    <row r="2024" spans="28:35" ht="15" hidden="1" customHeight="1">
      <c r="AB2024" s="9"/>
      <c r="AC2024" s="9"/>
      <c r="AD2024" s="9"/>
      <c r="AF2024" s="10"/>
      <c r="AG2024" s="10"/>
      <c r="AH2024" s="10"/>
      <c r="AI2024" s="10"/>
    </row>
    <row r="2025" spans="28:35" ht="15" hidden="1" customHeight="1">
      <c r="AB2025" s="9"/>
      <c r="AC2025" s="9"/>
      <c r="AD2025" s="9"/>
      <c r="AF2025" s="10"/>
      <c r="AG2025" s="10"/>
      <c r="AH2025" s="10"/>
      <c r="AI2025" s="10"/>
    </row>
    <row r="2026" spans="28:35" ht="15" hidden="1" customHeight="1">
      <c r="AB2026" s="9"/>
      <c r="AC2026" s="9"/>
      <c r="AD2026" s="9"/>
      <c r="AF2026" s="10"/>
      <c r="AG2026" s="10"/>
      <c r="AH2026" s="10"/>
      <c r="AI2026" s="10"/>
    </row>
    <row r="2027" spans="28:35" ht="15" hidden="1" customHeight="1">
      <c r="AB2027" s="9"/>
      <c r="AC2027" s="9"/>
      <c r="AD2027" s="9"/>
      <c r="AF2027" s="10"/>
      <c r="AG2027" s="10"/>
      <c r="AH2027" s="10"/>
      <c r="AI2027" s="10"/>
    </row>
    <row r="2028" spans="28:35" ht="15" hidden="1" customHeight="1">
      <c r="AB2028" s="9"/>
      <c r="AC2028" s="9"/>
      <c r="AD2028" s="9"/>
      <c r="AF2028" s="10"/>
      <c r="AG2028" s="10"/>
      <c r="AH2028" s="10"/>
      <c r="AI2028" s="10"/>
    </row>
    <row r="2029" spans="28:35" ht="15" hidden="1" customHeight="1">
      <c r="AB2029" s="9"/>
      <c r="AC2029" s="9"/>
      <c r="AD2029" s="9"/>
      <c r="AF2029" s="10"/>
      <c r="AG2029" s="10"/>
      <c r="AH2029" s="10"/>
      <c r="AI2029" s="10"/>
    </row>
    <row r="2030" spans="28:35" ht="15" hidden="1" customHeight="1">
      <c r="AB2030" s="9"/>
      <c r="AC2030" s="9"/>
      <c r="AD2030" s="9"/>
      <c r="AF2030" s="10"/>
      <c r="AG2030" s="10"/>
      <c r="AH2030" s="10"/>
      <c r="AI2030" s="10"/>
    </row>
    <row r="2031" spans="28:35" ht="15" hidden="1" customHeight="1">
      <c r="AB2031" s="9"/>
      <c r="AC2031" s="9"/>
      <c r="AD2031" s="9"/>
      <c r="AF2031" s="10"/>
      <c r="AG2031" s="10"/>
      <c r="AH2031" s="10"/>
      <c r="AI2031" s="10"/>
    </row>
    <row r="2032" spans="28:35" ht="15" hidden="1" customHeight="1">
      <c r="AB2032" s="9"/>
      <c r="AC2032" s="9"/>
      <c r="AD2032" s="9"/>
      <c r="AF2032" s="10"/>
      <c r="AG2032" s="10"/>
      <c r="AH2032" s="10"/>
      <c r="AI2032" s="10"/>
    </row>
    <row r="2033" spans="28:35" ht="15" hidden="1" customHeight="1">
      <c r="AB2033" s="9"/>
      <c r="AC2033" s="9"/>
      <c r="AD2033" s="9"/>
      <c r="AF2033" s="10"/>
      <c r="AG2033" s="10"/>
      <c r="AH2033" s="10"/>
      <c r="AI2033" s="10"/>
    </row>
    <row r="2034" spans="28:35" ht="15" hidden="1" customHeight="1">
      <c r="AB2034" s="9"/>
      <c r="AC2034" s="9"/>
      <c r="AD2034" s="9"/>
      <c r="AF2034" s="10"/>
      <c r="AG2034" s="10"/>
      <c r="AH2034" s="10"/>
      <c r="AI2034" s="10"/>
    </row>
    <row r="2035" spans="28:35" ht="15" hidden="1" customHeight="1">
      <c r="AB2035" s="9"/>
      <c r="AC2035" s="9"/>
      <c r="AD2035" s="9"/>
      <c r="AF2035" s="10"/>
      <c r="AG2035" s="10"/>
      <c r="AH2035" s="10"/>
      <c r="AI2035" s="10"/>
    </row>
    <row r="2036" spans="28:35" ht="15" hidden="1" customHeight="1">
      <c r="AB2036" s="9"/>
      <c r="AC2036" s="9"/>
      <c r="AD2036" s="9"/>
      <c r="AF2036" s="10"/>
      <c r="AG2036" s="10"/>
      <c r="AH2036" s="10"/>
      <c r="AI2036" s="10"/>
    </row>
    <row r="2037" spans="28:35" ht="15" hidden="1" customHeight="1">
      <c r="AB2037" s="9"/>
      <c r="AC2037" s="9"/>
      <c r="AD2037" s="9"/>
      <c r="AF2037" s="10"/>
      <c r="AG2037" s="10"/>
      <c r="AH2037" s="10"/>
      <c r="AI2037" s="10"/>
    </row>
    <row r="2038" spans="28:35" ht="15" hidden="1" customHeight="1">
      <c r="AB2038" s="9"/>
      <c r="AC2038" s="9"/>
      <c r="AD2038" s="9"/>
      <c r="AF2038" s="10"/>
      <c r="AG2038" s="10"/>
      <c r="AH2038" s="10"/>
      <c r="AI2038" s="10"/>
    </row>
    <row r="2039" spans="28:35" ht="15" hidden="1" customHeight="1">
      <c r="AB2039" s="9"/>
      <c r="AC2039" s="9"/>
      <c r="AD2039" s="9"/>
      <c r="AF2039" s="10"/>
      <c r="AG2039" s="10"/>
      <c r="AH2039" s="10"/>
      <c r="AI2039" s="10"/>
    </row>
    <row r="2040" spans="28:35" ht="15" hidden="1" customHeight="1">
      <c r="AB2040" s="9"/>
      <c r="AC2040" s="9"/>
      <c r="AD2040" s="9"/>
      <c r="AF2040" s="10"/>
      <c r="AG2040" s="10"/>
      <c r="AH2040" s="10"/>
      <c r="AI2040" s="10"/>
    </row>
    <row r="2041" spans="28:35" ht="15" hidden="1" customHeight="1">
      <c r="AB2041" s="9"/>
      <c r="AC2041" s="9"/>
      <c r="AD2041" s="9"/>
      <c r="AF2041" s="10"/>
      <c r="AG2041" s="10"/>
      <c r="AH2041" s="10"/>
      <c r="AI2041" s="10"/>
    </row>
    <row r="2042" spans="28:35" ht="15" hidden="1" customHeight="1">
      <c r="AB2042" s="9"/>
      <c r="AC2042" s="9"/>
      <c r="AD2042" s="9"/>
      <c r="AF2042" s="10"/>
      <c r="AG2042" s="10"/>
      <c r="AH2042" s="10"/>
      <c r="AI2042" s="10"/>
    </row>
    <row r="2043" spans="28:35" ht="15" hidden="1" customHeight="1">
      <c r="AB2043" s="9"/>
      <c r="AC2043" s="9"/>
      <c r="AD2043" s="9"/>
      <c r="AF2043" s="10"/>
      <c r="AG2043" s="10"/>
      <c r="AH2043" s="10"/>
      <c r="AI2043" s="10"/>
    </row>
    <row r="2044" spans="28:35" ht="15" hidden="1" customHeight="1">
      <c r="AB2044" s="9"/>
      <c r="AC2044" s="9"/>
      <c r="AD2044" s="9"/>
      <c r="AF2044" s="10"/>
      <c r="AG2044" s="10"/>
      <c r="AH2044" s="10"/>
      <c r="AI2044" s="10"/>
    </row>
    <row r="2045" spans="28:35" ht="15" hidden="1" customHeight="1">
      <c r="AB2045" s="9"/>
      <c r="AC2045" s="9"/>
      <c r="AD2045" s="9"/>
      <c r="AF2045" s="10"/>
      <c r="AG2045" s="10"/>
      <c r="AH2045" s="10"/>
      <c r="AI2045" s="10"/>
    </row>
    <row r="2046" spans="28:35" ht="15" hidden="1" customHeight="1">
      <c r="AB2046" s="9"/>
      <c r="AC2046" s="9"/>
      <c r="AD2046" s="9"/>
      <c r="AF2046" s="10"/>
      <c r="AG2046" s="10"/>
      <c r="AH2046" s="10"/>
      <c r="AI2046" s="10"/>
    </row>
    <row r="2047" spans="28:35" ht="15" hidden="1" customHeight="1">
      <c r="AB2047" s="9"/>
      <c r="AC2047" s="9"/>
      <c r="AD2047" s="9"/>
      <c r="AF2047" s="10"/>
      <c r="AG2047" s="10"/>
      <c r="AH2047" s="10"/>
      <c r="AI2047" s="10"/>
    </row>
    <row r="2048" spans="28:35" ht="15" hidden="1" customHeight="1">
      <c r="AB2048" s="9"/>
      <c r="AC2048" s="9"/>
      <c r="AD2048" s="9"/>
      <c r="AF2048" s="10"/>
      <c r="AG2048" s="10"/>
      <c r="AH2048" s="10"/>
      <c r="AI2048" s="10"/>
    </row>
    <row r="2049" spans="28:35" ht="15" hidden="1" customHeight="1">
      <c r="AB2049" s="9"/>
      <c r="AC2049" s="9"/>
      <c r="AD2049" s="9"/>
      <c r="AF2049" s="10"/>
      <c r="AG2049" s="10"/>
      <c r="AH2049" s="10"/>
      <c r="AI2049" s="10"/>
    </row>
    <row r="2050" spans="28:35" ht="15" hidden="1" customHeight="1">
      <c r="AB2050" s="9"/>
      <c r="AC2050" s="9"/>
      <c r="AD2050" s="9"/>
      <c r="AF2050" s="10"/>
      <c r="AG2050" s="10"/>
      <c r="AH2050" s="10"/>
      <c r="AI2050" s="10"/>
    </row>
    <row r="2051" spans="28:35" ht="15" hidden="1" customHeight="1">
      <c r="AB2051" s="9"/>
      <c r="AC2051" s="9"/>
      <c r="AD2051" s="9"/>
      <c r="AF2051" s="10"/>
      <c r="AG2051" s="10"/>
      <c r="AH2051" s="10"/>
      <c r="AI2051" s="10"/>
    </row>
    <row r="2052" spans="28:35" ht="15" hidden="1" customHeight="1">
      <c r="AB2052" s="9"/>
      <c r="AC2052" s="9"/>
      <c r="AD2052" s="9"/>
      <c r="AF2052" s="10"/>
      <c r="AG2052" s="10"/>
      <c r="AH2052" s="10"/>
      <c r="AI2052" s="10"/>
    </row>
    <row r="2053" spans="28:35" ht="15" hidden="1" customHeight="1">
      <c r="AB2053" s="9"/>
      <c r="AC2053" s="9"/>
      <c r="AD2053" s="9"/>
      <c r="AF2053" s="10"/>
      <c r="AG2053" s="10"/>
      <c r="AH2053" s="10"/>
      <c r="AI2053" s="10"/>
    </row>
    <row r="2054" spans="28:35" ht="15" hidden="1" customHeight="1">
      <c r="AB2054" s="9"/>
      <c r="AC2054" s="9"/>
      <c r="AD2054" s="9"/>
      <c r="AF2054" s="10"/>
      <c r="AG2054" s="10"/>
      <c r="AH2054" s="10"/>
      <c r="AI2054" s="10"/>
    </row>
    <row r="2055" spans="28:35" ht="15" hidden="1" customHeight="1">
      <c r="AB2055" s="9"/>
      <c r="AC2055" s="9"/>
      <c r="AD2055" s="9"/>
      <c r="AF2055" s="10"/>
      <c r="AG2055" s="10"/>
      <c r="AH2055" s="10"/>
      <c r="AI2055" s="10"/>
    </row>
    <row r="2056" spans="28:35" ht="15" hidden="1" customHeight="1">
      <c r="AB2056" s="9"/>
      <c r="AC2056" s="9"/>
      <c r="AD2056" s="9"/>
      <c r="AF2056" s="10"/>
      <c r="AG2056" s="10"/>
      <c r="AH2056" s="10"/>
      <c r="AI2056" s="10"/>
    </row>
    <row r="2057" spans="28:35" ht="15" hidden="1" customHeight="1">
      <c r="AB2057" s="9"/>
      <c r="AC2057" s="9"/>
      <c r="AD2057" s="9"/>
      <c r="AF2057" s="10"/>
      <c r="AG2057" s="10"/>
      <c r="AH2057" s="10"/>
      <c r="AI2057" s="10"/>
    </row>
    <row r="2058" spans="28:35" ht="15" hidden="1" customHeight="1">
      <c r="AB2058" s="9"/>
      <c r="AC2058" s="9"/>
      <c r="AD2058" s="9"/>
      <c r="AF2058" s="10"/>
      <c r="AG2058" s="10"/>
      <c r="AH2058" s="10"/>
      <c r="AI2058" s="10"/>
    </row>
    <row r="2059" spans="28:35" ht="15" hidden="1" customHeight="1">
      <c r="AB2059" s="9"/>
      <c r="AC2059" s="9"/>
      <c r="AD2059" s="9"/>
      <c r="AF2059" s="10"/>
      <c r="AG2059" s="10"/>
      <c r="AH2059" s="10"/>
      <c r="AI2059" s="10"/>
    </row>
    <row r="2060" spans="28:35" ht="15" hidden="1" customHeight="1">
      <c r="AB2060" s="9"/>
      <c r="AC2060" s="9"/>
      <c r="AD2060" s="9"/>
      <c r="AF2060" s="10"/>
      <c r="AG2060" s="10"/>
      <c r="AH2060" s="10"/>
      <c r="AI2060" s="10"/>
    </row>
    <row r="2061" spans="28:35" ht="15" hidden="1" customHeight="1">
      <c r="AB2061" s="9"/>
      <c r="AC2061" s="9"/>
      <c r="AD2061" s="9"/>
      <c r="AF2061" s="10"/>
      <c r="AG2061" s="10"/>
      <c r="AH2061" s="10"/>
      <c r="AI2061" s="10"/>
    </row>
    <row r="2062" spans="28:35" ht="15" hidden="1" customHeight="1">
      <c r="AB2062" s="9"/>
      <c r="AC2062" s="9"/>
      <c r="AD2062" s="9"/>
      <c r="AF2062" s="10"/>
      <c r="AG2062" s="10"/>
      <c r="AH2062" s="10"/>
      <c r="AI2062" s="10"/>
    </row>
    <row r="2063" spans="28:35" ht="15" hidden="1" customHeight="1">
      <c r="AB2063" s="9"/>
      <c r="AC2063" s="9"/>
      <c r="AD2063" s="9"/>
      <c r="AF2063" s="10"/>
      <c r="AG2063" s="10"/>
      <c r="AH2063" s="10"/>
      <c r="AI2063" s="10"/>
    </row>
    <row r="2064" spans="28:35" ht="15" hidden="1" customHeight="1">
      <c r="AB2064" s="9"/>
      <c r="AC2064" s="9"/>
      <c r="AD2064" s="9"/>
      <c r="AF2064" s="10"/>
      <c r="AG2064" s="10"/>
      <c r="AH2064" s="10"/>
      <c r="AI2064" s="10"/>
    </row>
    <row r="2065" spans="28:35" ht="15" hidden="1" customHeight="1">
      <c r="AB2065" s="9"/>
      <c r="AC2065" s="9"/>
      <c r="AD2065" s="9"/>
      <c r="AF2065" s="10"/>
      <c r="AG2065" s="10"/>
      <c r="AH2065" s="10"/>
      <c r="AI2065" s="10"/>
    </row>
    <row r="2066" spans="28:35" ht="15" hidden="1" customHeight="1">
      <c r="AB2066" s="9"/>
      <c r="AC2066" s="9"/>
      <c r="AD2066" s="9"/>
      <c r="AF2066" s="10"/>
      <c r="AG2066" s="10"/>
      <c r="AH2066" s="10"/>
      <c r="AI2066" s="10"/>
    </row>
    <row r="2067" spans="28:35" ht="15" hidden="1" customHeight="1">
      <c r="AB2067" s="9"/>
      <c r="AC2067" s="9"/>
      <c r="AD2067" s="9"/>
      <c r="AF2067" s="10"/>
      <c r="AG2067" s="10"/>
      <c r="AH2067" s="10"/>
      <c r="AI2067" s="10"/>
    </row>
    <row r="2068" spans="28:35" ht="15" hidden="1" customHeight="1">
      <c r="AB2068" s="9"/>
      <c r="AC2068" s="9"/>
      <c r="AD2068" s="9"/>
      <c r="AF2068" s="10"/>
      <c r="AG2068" s="10"/>
      <c r="AH2068" s="10"/>
      <c r="AI2068" s="10"/>
    </row>
    <row r="2069" spans="28:35" ht="15" hidden="1" customHeight="1">
      <c r="AB2069" s="9"/>
      <c r="AC2069" s="9"/>
      <c r="AD2069" s="9"/>
      <c r="AF2069" s="10"/>
      <c r="AG2069" s="10"/>
      <c r="AH2069" s="10"/>
      <c r="AI2069" s="10"/>
    </row>
    <row r="2070" spans="28:35" ht="15" hidden="1" customHeight="1">
      <c r="AB2070" s="9"/>
      <c r="AC2070" s="9"/>
      <c r="AD2070" s="9"/>
      <c r="AF2070" s="10"/>
      <c r="AG2070" s="10"/>
      <c r="AH2070" s="10"/>
      <c r="AI2070" s="10"/>
    </row>
    <row r="2071" spans="28:35" ht="15" hidden="1" customHeight="1">
      <c r="AB2071" s="9"/>
      <c r="AC2071" s="9"/>
      <c r="AD2071" s="9"/>
      <c r="AF2071" s="10"/>
      <c r="AG2071" s="10"/>
      <c r="AH2071" s="10"/>
      <c r="AI2071" s="10"/>
    </row>
    <row r="2072" spans="28:35" ht="15" hidden="1" customHeight="1">
      <c r="AB2072" s="9"/>
      <c r="AC2072" s="9"/>
      <c r="AD2072" s="9"/>
      <c r="AF2072" s="10"/>
      <c r="AG2072" s="10"/>
      <c r="AH2072" s="10"/>
      <c r="AI2072" s="10"/>
    </row>
    <row r="2073" spans="28:35" ht="15" hidden="1" customHeight="1">
      <c r="AB2073" s="9"/>
      <c r="AC2073" s="9"/>
      <c r="AD2073" s="9"/>
      <c r="AF2073" s="10"/>
      <c r="AG2073" s="10"/>
      <c r="AH2073" s="10"/>
      <c r="AI2073" s="10"/>
    </row>
    <row r="2074" spans="28:35" ht="15" hidden="1" customHeight="1">
      <c r="AB2074" s="9"/>
      <c r="AC2074" s="9"/>
      <c r="AD2074" s="9"/>
      <c r="AF2074" s="10"/>
      <c r="AG2074" s="10"/>
      <c r="AH2074" s="10"/>
      <c r="AI2074" s="10"/>
    </row>
    <row r="2075" spans="28:35" ht="15" hidden="1" customHeight="1">
      <c r="AB2075" s="9"/>
      <c r="AC2075" s="9"/>
      <c r="AD2075" s="9"/>
      <c r="AF2075" s="10"/>
      <c r="AG2075" s="10"/>
      <c r="AH2075" s="10"/>
      <c r="AI2075" s="10"/>
    </row>
    <row r="2076" spans="28:35" ht="15" hidden="1" customHeight="1">
      <c r="AB2076" s="9"/>
      <c r="AC2076" s="9"/>
      <c r="AD2076" s="9"/>
      <c r="AF2076" s="10"/>
      <c r="AG2076" s="10"/>
      <c r="AH2076" s="10"/>
      <c r="AI2076" s="10"/>
    </row>
    <row r="2077" spans="28:35" ht="15" hidden="1" customHeight="1">
      <c r="AB2077" s="9"/>
      <c r="AC2077" s="9"/>
      <c r="AD2077" s="9"/>
      <c r="AF2077" s="10"/>
      <c r="AG2077" s="10"/>
      <c r="AH2077" s="10"/>
      <c r="AI2077" s="10"/>
    </row>
    <row r="2078" spans="28:35" ht="15" hidden="1" customHeight="1">
      <c r="AB2078" s="9"/>
      <c r="AC2078" s="9"/>
      <c r="AD2078" s="9"/>
      <c r="AF2078" s="10"/>
      <c r="AG2078" s="10"/>
      <c r="AH2078" s="10"/>
      <c r="AI2078" s="10"/>
    </row>
    <row r="2079" spans="28:35" ht="15" hidden="1" customHeight="1">
      <c r="AB2079" s="9"/>
      <c r="AC2079" s="9"/>
      <c r="AD2079" s="9"/>
      <c r="AF2079" s="10"/>
      <c r="AG2079" s="10"/>
      <c r="AH2079" s="10"/>
      <c r="AI2079" s="10"/>
    </row>
    <row r="2080" spans="28:35" ht="15" hidden="1" customHeight="1">
      <c r="AB2080" s="9"/>
      <c r="AC2080" s="9"/>
      <c r="AD2080" s="9"/>
      <c r="AF2080" s="10"/>
      <c r="AG2080" s="10"/>
      <c r="AH2080" s="10"/>
      <c r="AI2080" s="10"/>
    </row>
    <row r="2081" spans="28:35" ht="15" hidden="1" customHeight="1">
      <c r="AB2081" s="9"/>
      <c r="AC2081" s="9"/>
      <c r="AD2081" s="9"/>
      <c r="AF2081" s="10"/>
      <c r="AG2081" s="10"/>
      <c r="AH2081" s="10"/>
      <c r="AI2081" s="10"/>
    </row>
    <row r="2082" spans="28:35" ht="15" hidden="1" customHeight="1">
      <c r="AB2082" s="9"/>
      <c r="AC2082" s="9"/>
      <c r="AD2082" s="9"/>
      <c r="AF2082" s="10"/>
      <c r="AG2082" s="10"/>
      <c r="AH2082" s="10"/>
      <c r="AI2082" s="10"/>
    </row>
    <row r="2083" spans="28:35" ht="15" hidden="1" customHeight="1">
      <c r="AB2083" s="9"/>
      <c r="AC2083" s="9"/>
      <c r="AD2083" s="9"/>
      <c r="AF2083" s="10"/>
      <c r="AG2083" s="10"/>
      <c r="AH2083" s="10"/>
      <c r="AI2083" s="10"/>
    </row>
    <row r="2084" spans="28:35" ht="15" hidden="1" customHeight="1">
      <c r="AB2084" s="9"/>
      <c r="AC2084" s="9"/>
      <c r="AD2084" s="9"/>
      <c r="AF2084" s="10"/>
      <c r="AG2084" s="10"/>
      <c r="AH2084" s="10"/>
      <c r="AI2084" s="10"/>
    </row>
    <row r="2085" spans="28:35" ht="15" hidden="1" customHeight="1">
      <c r="AB2085" s="9"/>
      <c r="AC2085" s="9"/>
      <c r="AD2085" s="9"/>
      <c r="AF2085" s="10"/>
      <c r="AG2085" s="10"/>
      <c r="AH2085" s="10"/>
      <c r="AI2085" s="10"/>
    </row>
    <row r="2086" spans="28:35" ht="15" hidden="1" customHeight="1">
      <c r="AB2086" s="9"/>
      <c r="AC2086" s="9"/>
      <c r="AD2086" s="9"/>
      <c r="AF2086" s="10"/>
      <c r="AG2086" s="10"/>
      <c r="AH2086" s="10"/>
      <c r="AI2086" s="10"/>
    </row>
    <row r="2087" spans="28:35" ht="15" hidden="1" customHeight="1">
      <c r="AB2087" s="9"/>
      <c r="AC2087" s="9"/>
      <c r="AD2087" s="9"/>
      <c r="AF2087" s="10"/>
      <c r="AG2087" s="10"/>
      <c r="AH2087" s="10"/>
      <c r="AI2087" s="10"/>
    </row>
    <row r="2088" spans="28:35" ht="15" hidden="1" customHeight="1">
      <c r="AB2088" s="9"/>
      <c r="AC2088" s="9"/>
      <c r="AD2088" s="9"/>
      <c r="AF2088" s="10"/>
      <c r="AG2088" s="10"/>
      <c r="AH2088" s="10"/>
      <c r="AI2088" s="10"/>
    </row>
    <row r="2089" spans="28:35" ht="15" hidden="1" customHeight="1">
      <c r="AB2089" s="9"/>
      <c r="AC2089" s="9"/>
      <c r="AD2089" s="9"/>
      <c r="AF2089" s="10"/>
      <c r="AG2089" s="10"/>
      <c r="AH2089" s="10"/>
      <c r="AI2089" s="10"/>
    </row>
    <row r="2090" spans="28:35" ht="15" hidden="1" customHeight="1">
      <c r="AB2090" s="9"/>
      <c r="AC2090" s="9"/>
      <c r="AD2090" s="9"/>
      <c r="AF2090" s="10"/>
      <c r="AG2090" s="10"/>
      <c r="AH2090" s="10"/>
      <c r="AI2090" s="10"/>
    </row>
    <row r="2091" spans="28:35" ht="15" hidden="1" customHeight="1">
      <c r="AB2091" s="9"/>
      <c r="AC2091" s="9"/>
      <c r="AD2091" s="9"/>
      <c r="AF2091" s="10"/>
      <c r="AG2091" s="10"/>
      <c r="AH2091" s="10"/>
      <c r="AI2091" s="10"/>
    </row>
    <row r="2092" spans="28:35" ht="15" hidden="1" customHeight="1">
      <c r="AB2092" s="9"/>
      <c r="AC2092" s="9"/>
      <c r="AD2092" s="9"/>
      <c r="AF2092" s="10"/>
      <c r="AG2092" s="10"/>
      <c r="AH2092" s="10"/>
      <c r="AI2092" s="10"/>
    </row>
    <row r="2093" spans="28:35" ht="15" hidden="1" customHeight="1">
      <c r="AB2093" s="9"/>
      <c r="AC2093" s="9"/>
      <c r="AD2093" s="9"/>
      <c r="AF2093" s="10"/>
      <c r="AG2093" s="10"/>
      <c r="AH2093" s="10"/>
      <c r="AI2093" s="10"/>
    </row>
    <row r="2094" spans="28:35" ht="15" hidden="1" customHeight="1">
      <c r="AB2094" s="9"/>
      <c r="AC2094" s="9"/>
      <c r="AD2094" s="9"/>
      <c r="AF2094" s="10"/>
      <c r="AG2094" s="10"/>
      <c r="AH2094" s="10"/>
      <c r="AI2094" s="10"/>
    </row>
    <row r="2095" spans="28:35" ht="15" hidden="1" customHeight="1">
      <c r="AB2095" s="9"/>
      <c r="AC2095" s="9"/>
      <c r="AD2095" s="9"/>
      <c r="AF2095" s="10"/>
      <c r="AG2095" s="10"/>
      <c r="AH2095" s="10"/>
      <c r="AI2095" s="10"/>
    </row>
    <row r="2096" spans="28:35" ht="15" hidden="1" customHeight="1">
      <c r="AB2096" s="9"/>
      <c r="AC2096" s="9"/>
      <c r="AD2096" s="9"/>
      <c r="AF2096" s="10"/>
      <c r="AG2096" s="10"/>
      <c r="AH2096" s="10"/>
      <c r="AI2096" s="10"/>
    </row>
    <row r="2097" spans="28:35" ht="15" hidden="1" customHeight="1">
      <c r="AB2097" s="9"/>
      <c r="AC2097" s="9"/>
      <c r="AD2097" s="9"/>
      <c r="AF2097" s="10"/>
      <c r="AG2097" s="10"/>
      <c r="AH2097" s="10"/>
      <c r="AI2097" s="10"/>
    </row>
    <row r="2098" spans="28:35" ht="15" hidden="1" customHeight="1">
      <c r="AB2098" s="9"/>
      <c r="AC2098" s="9"/>
      <c r="AD2098" s="9"/>
      <c r="AF2098" s="10"/>
      <c r="AG2098" s="10"/>
      <c r="AH2098" s="10"/>
      <c r="AI2098" s="10"/>
    </row>
    <row r="2099" spans="28:35" ht="15" hidden="1" customHeight="1">
      <c r="AB2099" s="9"/>
      <c r="AC2099" s="9"/>
      <c r="AD2099" s="9"/>
      <c r="AF2099" s="10"/>
      <c r="AG2099" s="10"/>
      <c r="AH2099" s="10"/>
      <c r="AI2099" s="10"/>
    </row>
    <row r="2100" spans="28:35" ht="15" hidden="1" customHeight="1">
      <c r="AB2100" s="9"/>
      <c r="AC2100" s="9"/>
      <c r="AD2100" s="9"/>
      <c r="AF2100" s="10"/>
      <c r="AG2100" s="10"/>
      <c r="AH2100" s="10"/>
      <c r="AI2100" s="10"/>
    </row>
    <row r="2101" spans="28:35" ht="15" hidden="1" customHeight="1">
      <c r="AB2101" s="9"/>
      <c r="AC2101" s="9"/>
      <c r="AD2101" s="9"/>
      <c r="AF2101" s="10"/>
      <c r="AG2101" s="10"/>
      <c r="AH2101" s="10"/>
      <c r="AI2101" s="10"/>
    </row>
    <row r="2102" spans="28:35" ht="15" hidden="1" customHeight="1">
      <c r="AB2102" s="9"/>
      <c r="AC2102" s="9"/>
      <c r="AD2102" s="9"/>
      <c r="AF2102" s="10"/>
      <c r="AG2102" s="10"/>
      <c r="AH2102" s="10"/>
      <c r="AI2102" s="10"/>
    </row>
    <row r="2103" spans="28:35" ht="15" hidden="1" customHeight="1">
      <c r="AB2103" s="9"/>
      <c r="AC2103" s="9"/>
      <c r="AD2103" s="9"/>
      <c r="AF2103" s="10"/>
      <c r="AG2103" s="10"/>
      <c r="AH2103" s="10"/>
      <c r="AI2103" s="10"/>
    </row>
    <row r="2104" spans="28:35" ht="15" hidden="1" customHeight="1">
      <c r="AB2104" s="9"/>
      <c r="AC2104" s="9"/>
      <c r="AD2104" s="9"/>
      <c r="AF2104" s="10"/>
      <c r="AG2104" s="10"/>
      <c r="AH2104" s="10"/>
      <c r="AI2104" s="10"/>
    </row>
    <row r="2105" spans="28:35" ht="15" hidden="1" customHeight="1">
      <c r="AB2105" s="9"/>
      <c r="AC2105" s="9"/>
      <c r="AD2105" s="9"/>
      <c r="AF2105" s="10"/>
      <c r="AG2105" s="10"/>
      <c r="AH2105" s="10"/>
      <c r="AI2105" s="10"/>
    </row>
    <row r="2106" spans="28:35" ht="15" hidden="1" customHeight="1">
      <c r="AB2106" s="9"/>
      <c r="AC2106" s="9"/>
      <c r="AD2106" s="9"/>
      <c r="AF2106" s="10"/>
      <c r="AG2106" s="10"/>
      <c r="AH2106" s="10"/>
      <c r="AI2106" s="10"/>
    </row>
    <row r="2107" spans="28:35" ht="15" hidden="1" customHeight="1">
      <c r="AB2107" s="9"/>
      <c r="AC2107" s="9"/>
      <c r="AD2107" s="9"/>
      <c r="AF2107" s="10"/>
      <c r="AG2107" s="10"/>
      <c r="AH2107" s="10"/>
      <c r="AI2107" s="10"/>
    </row>
    <row r="2108" spans="28:35" ht="15" hidden="1" customHeight="1">
      <c r="AB2108" s="9"/>
      <c r="AC2108" s="9"/>
      <c r="AD2108" s="9"/>
      <c r="AF2108" s="10"/>
      <c r="AG2108" s="10"/>
      <c r="AH2108" s="10"/>
      <c r="AI2108" s="10"/>
    </row>
    <row r="2109" spans="28:35" ht="15" hidden="1" customHeight="1">
      <c r="AB2109" s="9"/>
      <c r="AC2109" s="9"/>
      <c r="AD2109" s="9"/>
      <c r="AF2109" s="10"/>
      <c r="AG2109" s="10"/>
      <c r="AH2109" s="10"/>
      <c r="AI2109" s="10"/>
    </row>
    <row r="2110" spans="28:35" ht="15" hidden="1" customHeight="1">
      <c r="AB2110" s="9"/>
      <c r="AC2110" s="9"/>
      <c r="AD2110" s="9"/>
      <c r="AF2110" s="10"/>
      <c r="AG2110" s="10"/>
      <c r="AH2110" s="10"/>
      <c r="AI2110" s="10"/>
    </row>
    <row r="2111" spans="28:35" ht="15" hidden="1" customHeight="1">
      <c r="AB2111" s="9"/>
      <c r="AC2111" s="9"/>
      <c r="AD2111" s="9"/>
      <c r="AF2111" s="10"/>
      <c r="AG2111" s="10"/>
      <c r="AH2111" s="10"/>
      <c r="AI2111" s="10"/>
    </row>
    <row r="2112" spans="28:35" ht="15" hidden="1" customHeight="1">
      <c r="AB2112" s="9"/>
      <c r="AC2112" s="9"/>
      <c r="AD2112" s="9"/>
      <c r="AF2112" s="10"/>
      <c r="AG2112" s="10"/>
      <c r="AH2112" s="10"/>
      <c r="AI2112" s="10"/>
    </row>
    <row r="2113" spans="28:35" ht="15" hidden="1" customHeight="1">
      <c r="AB2113" s="9"/>
      <c r="AC2113" s="9"/>
      <c r="AD2113" s="9"/>
      <c r="AF2113" s="10"/>
      <c r="AG2113" s="10"/>
      <c r="AH2113" s="10"/>
      <c r="AI2113" s="10"/>
    </row>
    <row r="2114" spans="28:35" ht="15" hidden="1" customHeight="1">
      <c r="AB2114" s="9"/>
      <c r="AC2114" s="9"/>
      <c r="AD2114" s="9"/>
      <c r="AF2114" s="10"/>
      <c r="AG2114" s="10"/>
      <c r="AH2114" s="10"/>
      <c r="AI2114" s="10"/>
    </row>
    <row r="2115" spans="28:35" ht="15" hidden="1" customHeight="1">
      <c r="AB2115" s="9"/>
      <c r="AC2115" s="9"/>
      <c r="AD2115" s="9"/>
      <c r="AF2115" s="10"/>
      <c r="AG2115" s="10"/>
      <c r="AH2115" s="10"/>
      <c r="AI2115" s="10"/>
    </row>
    <row r="2116" spans="28:35" ht="15" hidden="1" customHeight="1">
      <c r="AB2116" s="9"/>
      <c r="AC2116" s="9"/>
      <c r="AD2116" s="9"/>
      <c r="AF2116" s="10"/>
      <c r="AG2116" s="10"/>
      <c r="AH2116" s="10"/>
      <c r="AI2116" s="10"/>
    </row>
    <row r="2117" spans="28:35" ht="15" hidden="1" customHeight="1">
      <c r="AB2117" s="9"/>
      <c r="AC2117" s="9"/>
      <c r="AD2117" s="9"/>
      <c r="AF2117" s="10"/>
      <c r="AG2117" s="10"/>
      <c r="AH2117" s="10"/>
      <c r="AI2117" s="10"/>
    </row>
    <row r="2118" spans="28:35" ht="15" hidden="1" customHeight="1">
      <c r="AB2118" s="9"/>
      <c r="AC2118" s="9"/>
      <c r="AD2118" s="9"/>
      <c r="AF2118" s="10"/>
      <c r="AG2118" s="10"/>
      <c r="AH2118" s="10"/>
      <c r="AI2118" s="10"/>
    </row>
    <row r="2119" spans="28:35" ht="15" hidden="1" customHeight="1">
      <c r="AB2119" s="9"/>
      <c r="AC2119" s="9"/>
      <c r="AD2119" s="9"/>
      <c r="AF2119" s="10"/>
      <c r="AG2119" s="10"/>
      <c r="AH2119" s="10"/>
      <c r="AI2119" s="10"/>
    </row>
    <row r="2120" spans="28:35" ht="15" hidden="1" customHeight="1">
      <c r="AB2120" s="9"/>
      <c r="AC2120" s="9"/>
      <c r="AD2120" s="9"/>
      <c r="AF2120" s="10"/>
      <c r="AG2120" s="10"/>
      <c r="AH2120" s="10"/>
      <c r="AI2120" s="10"/>
    </row>
    <row r="2121" spans="28:35" ht="15" hidden="1" customHeight="1">
      <c r="AB2121" s="9"/>
      <c r="AC2121" s="9"/>
      <c r="AD2121" s="9"/>
      <c r="AF2121" s="10"/>
      <c r="AG2121" s="10"/>
      <c r="AH2121" s="10"/>
      <c r="AI2121" s="10"/>
    </row>
    <row r="2122" spans="28:35" ht="15" hidden="1" customHeight="1">
      <c r="AB2122" s="9"/>
      <c r="AC2122" s="9"/>
      <c r="AD2122" s="9"/>
      <c r="AF2122" s="10"/>
      <c r="AG2122" s="10"/>
      <c r="AH2122" s="10"/>
      <c r="AI2122" s="10"/>
    </row>
    <row r="2123" spans="28:35" ht="15" hidden="1" customHeight="1">
      <c r="AB2123" s="9"/>
      <c r="AC2123" s="9"/>
      <c r="AD2123" s="9"/>
      <c r="AF2123" s="10"/>
      <c r="AG2123" s="10"/>
      <c r="AH2123" s="10"/>
      <c r="AI2123" s="10"/>
    </row>
    <row r="2124" spans="28:35" ht="15" hidden="1" customHeight="1">
      <c r="AB2124" s="9"/>
      <c r="AC2124" s="9"/>
      <c r="AD2124" s="9"/>
      <c r="AF2124" s="10"/>
      <c r="AG2124" s="10"/>
      <c r="AH2124" s="10"/>
      <c r="AI2124" s="10"/>
    </row>
    <row r="2125" spans="28:35" ht="15" hidden="1" customHeight="1">
      <c r="AB2125" s="9"/>
      <c r="AC2125" s="9"/>
      <c r="AD2125" s="9"/>
      <c r="AF2125" s="10"/>
      <c r="AG2125" s="10"/>
      <c r="AH2125" s="10"/>
      <c r="AI2125" s="10"/>
    </row>
    <row r="2126" spans="28:35" ht="15" hidden="1" customHeight="1">
      <c r="AB2126" s="9"/>
      <c r="AC2126" s="9"/>
      <c r="AD2126" s="9"/>
      <c r="AF2126" s="10"/>
      <c r="AG2126" s="10"/>
      <c r="AH2126" s="10"/>
      <c r="AI2126" s="10"/>
    </row>
    <row r="2127" spans="28:35" ht="15" hidden="1" customHeight="1">
      <c r="AB2127" s="9"/>
      <c r="AC2127" s="9"/>
      <c r="AD2127" s="9"/>
      <c r="AF2127" s="10"/>
      <c r="AG2127" s="10"/>
      <c r="AH2127" s="10"/>
      <c r="AI2127" s="10"/>
    </row>
    <row r="2128" spans="28:35" ht="15" hidden="1" customHeight="1">
      <c r="AB2128" s="9"/>
      <c r="AC2128" s="9"/>
      <c r="AD2128" s="9"/>
      <c r="AF2128" s="10"/>
      <c r="AG2128" s="10"/>
      <c r="AH2128" s="10"/>
      <c r="AI2128" s="10"/>
    </row>
    <row r="2129" spans="28:35" ht="15" hidden="1" customHeight="1">
      <c r="AB2129" s="9"/>
      <c r="AC2129" s="9"/>
      <c r="AD2129" s="9"/>
      <c r="AF2129" s="10"/>
      <c r="AG2129" s="10"/>
      <c r="AH2129" s="10"/>
      <c r="AI2129" s="10"/>
    </row>
    <row r="2130" spans="28:35" ht="15" hidden="1" customHeight="1">
      <c r="AB2130" s="9"/>
      <c r="AC2130" s="9"/>
      <c r="AD2130" s="9"/>
      <c r="AF2130" s="10"/>
      <c r="AG2130" s="10"/>
      <c r="AH2130" s="10"/>
      <c r="AI2130" s="10"/>
    </row>
    <row r="2131" spans="28:35" ht="15" hidden="1" customHeight="1">
      <c r="AB2131" s="9"/>
      <c r="AC2131" s="9"/>
      <c r="AD2131" s="9"/>
      <c r="AF2131" s="10"/>
      <c r="AG2131" s="10"/>
      <c r="AH2131" s="10"/>
      <c r="AI2131" s="10"/>
    </row>
    <row r="2132" spans="28:35" ht="15" hidden="1" customHeight="1">
      <c r="AB2132" s="9"/>
      <c r="AC2132" s="9"/>
      <c r="AD2132" s="9"/>
      <c r="AF2132" s="10"/>
      <c r="AG2132" s="10"/>
      <c r="AH2132" s="10"/>
      <c r="AI2132" s="10"/>
    </row>
    <row r="2133" spans="28:35" ht="15" hidden="1" customHeight="1">
      <c r="AB2133" s="9"/>
      <c r="AC2133" s="9"/>
      <c r="AD2133" s="9"/>
      <c r="AF2133" s="10"/>
      <c r="AG2133" s="10"/>
      <c r="AH2133" s="10"/>
      <c r="AI2133" s="10"/>
    </row>
    <row r="2134" spans="28:35" ht="15" hidden="1" customHeight="1">
      <c r="AB2134" s="9"/>
      <c r="AC2134" s="9"/>
      <c r="AD2134" s="9"/>
      <c r="AF2134" s="10"/>
      <c r="AG2134" s="10"/>
      <c r="AH2134" s="10"/>
      <c r="AI2134" s="10"/>
    </row>
    <row r="2135" spans="28:35" ht="15" hidden="1" customHeight="1">
      <c r="AB2135" s="9"/>
      <c r="AC2135" s="9"/>
      <c r="AD2135" s="9"/>
      <c r="AF2135" s="10"/>
      <c r="AG2135" s="10"/>
      <c r="AH2135" s="10"/>
      <c r="AI2135" s="10"/>
    </row>
    <row r="2136" spans="28:35" ht="15" hidden="1" customHeight="1">
      <c r="AB2136" s="9"/>
      <c r="AC2136" s="9"/>
      <c r="AD2136" s="9"/>
      <c r="AF2136" s="10"/>
      <c r="AG2136" s="10"/>
      <c r="AH2136" s="10"/>
      <c r="AI2136" s="10"/>
    </row>
    <row r="2137" spans="28:35" ht="15" hidden="1" customHeight="1">
      <c r="AB2137" s="9"/>
      <c r="AC2137" s="9"/>
      <c r="AD2137" s="9"/>
      <c r="AF2137" s="10"/>
      <c r="AG2137" s="10"/>
      <c r="AH2137" s="10"/>
      <c r="AI2137" s="10"/>
    </row>
    <row r="2138" spans="28:35" ht="15" hidden="1" customHeight="1">
      <c r="AB2138" s="9"/>
      <c r="AC2138" s="9"/>
      <c r="AD2138" s="9"/>
      <c r="AF2138" s="10"/>
      <c r="AG2138" s="10"/>
      <c r="AH2138" s="10"/>
      <c r="AI2138" s="10"/>
    </row>
    <row r="2139" spans="28:35" ht="15" hidden="1" customHeight="1">
      <c r="AB2139" s="9"/>
      <c r="AC2139" s="9"/>
      <c r="AD2139" s="9"/>
      <c r="AF2139" s="10"/>
      <c r="AG2139" s="10"/>
      <c r="AH2139" s="10"/>
      <c r="AI2139" s="10"/>
    </row>
    <row r="2140" spans="28:35" ht="15" hidden="1" customHeight="1">
      <c r="AB2140" s="9"/>
      <c r="AC2140" s="9"/>
      <c r="AD2140" s="9"/>
      <c r="AF2140" s="10"/>
      <c r="AG2140" s="10"/>
      <c r="AH2140" s="10"/>
      <c r="AI2140" s="10"/>
    </row>
    <row r="2141" spans="28:35" ht="15" hidden="1" customHeight="1">
      <c r="AB2141" s="9"/>
      <c r="AC2141" s="9"/>
      <c r="AD2141" s="9"/>
      <c r="AF2141" s="10"/>
      <c r="AG2141" s="10"/>
      <c r="AH2141" s="10"/>
      <c r="AI2141" s="10"/>
    </row>
    <row r="2142" spans="28:35" ht="15" hidden="1" customHeight="1">
      <c r="AB2142" s="9"/>
      <c r="AC2142" s="9"/>
      <c r="AD2142" s="9"/>
      <c r="AF2142" s="10"/>
      <c r="AG2142" s="10"/>
      <c r="AH2142" s="10"/>
      <c r="AI2142" s="10"/>
    </row>
    <row r="2143" spans="28:35" ht="15" hidden="1" customHeight="1">
      <c r="AB2143" s="9"/>
      <c r="AC2143" s="9"/>
      <c r="AD2143" s="9"/>
      <c r="AF2143" s="10"/>
      <c r="AG2143" s="10"/>
      <c r="AH2143" s="10"/>
      <c r="AI2143" s="10"/>
    </row>
    <row r="2144" spans="28:35" ht="15" hidden="1" customHeight="1">
      <c r="AB2144" s="9"/>
      <c r="AC2144" s="9"/>
      <c r="AD2144" s="9"/>
      <c r="AF2144" s="10"/>
      <c r="AG2144" s="10"/>
      <c r="AH2144" s="10"/>
      <c r="AI2144" s="10"/>
    </row>
    <row r="2145" spans="28:35" ht="15" hidden="1" customHeight="1">
      <c r="AB2145" s="9"/>
      <c r="AC2145" s="9"/>
      <c r="AD2145" s="9"/>
      <c r="AF2145" s="10"/>
      <c r="AG2145" s="10"/>
      <c r="AH2145" s="10"/>
      <c r="AI2145" s="10"/>
    </row>
    <row r="2146" spans="28:35" ht="15" hidden="1" customHeight="1">
      <c r="AB2146" s="9"/>
      <c r="AC2146" s="9"/>
      <c r="AD2146" s="9"/>
      <c r="AF2146" s="10"/>
      <c r="AG2146" s="10"/>
      <c r="AH2146" s="10"/>
      <c r="AI2146" s="10"/>
    </row>
    <row r="2147" spans="28:35" ht="15" hidden="1" customHeight="1">
      <c r="AB2147" s="9"/>
      <c r="AC2147" s="9"/>
      <c r="AD2147" s="9"/>
      <c r="AF2147" s="10"/>
      <c r="AG2147" s="10"/>
      <c r="AH2147" s="10"/>
      <c r="AI2147" s="10"/>
    </row>
    <row r="2148" spans="28:35" ht="15" hidden="1" customHeight="1">
      <c r="AB2148" s="9"/>
      <c r="AC2148" s="9"/>
      <c r="AD2148" s="9"/>
      <c r="AF2148" s="10"/>
      <c r="AG2148" s="10"/>
      <c r="AH2148" s="10"/>
      <c r="AI2148" s="10"/>
    </row>
    <row r="2149" spans="28:35" ht="15" hidden="1" customHeight="1">
      <c r="AB2149" s="9"/>
      <c r="AC2149" s="9"/>
      <c r="AD2149" s="9"/>
      <c r="AF2149" s="10"/>
      <c r="AG2149" s="10"/>
      <c r="AH2149" s="10"/>
      <c r="AI2149" s="10"/>
    </row>
    <row r="2150" spans="28:35" ht="15" hidden="1" customHeight="1">
      <c r="AB2150" s="9"/>
      <c r="AC2150" s="9"/>
      <c r="AD2150" s="9"/>
      <c r="AF2150" s="10"/>
      <c r="AG2150" s="10"/>
      <c r="AH2150" s="10"/>
      <c r="AI2150" s="10"/>
    </row>
    <row r="2151" spans="28:35" ht="15" hidden="1" customHeight="1">
      <c r="AB2151" s="9"/>
      <c r="AC2151" s="9"/>
      <c r="AD2151" s="9"/>
      <c r="AF2151" s="10"/>
      <c r="AG2151" s="10"/>
      <c r="AH2151" s="10"/>
      <c r="AI2151" s="10"/>
    </row>
    <row r="2152" spans="28:35" ht="15" hidden="1" customHeight="1">
      <c r="AB2152" s="9"/>
      <c r="AC2152" s="9"/>
      <c r="AD2152" s="9"/>
      <c r="AF2152" s="10"/>
      <c r="AG2152" s="10"/>
      <c r="AH2152" s="10"/>
      <c r="AI2152" s="10"/>
    </row>
    <row r="2153" spans="28:35" ht="15" hidden="1" customHeight="1">
      <c r="AB2153" s="9"/>
      <c r="AC2153" s="9"/>
      <c r="AD2153" s="9"/>
      <c r="AF2153" s="10"/>
      <c r="AG2153" s="10"/>
      <c r="AH2153" s="10"/>
      <c r="AI2153" s="10"/>
    </row>
    <row r="2154" spans="28:35" ht="15" hidden="1" customHeight="1">
      <c r="AB2154" s="9"/>
      <c r="AC2154" s="9"/>
      <c r="AD2154" s="9"/>
      <c r="AF2154" s="10"/>
      <c r="AG2154" s="10"/>
      <c r="AH2154" s="10"/>
      <c r="AI2154" s="10"/>
    </row>
    <row r="2155" spans="28:35" ht="15" hidden="1" customHeight="1">
      <c r="AB2155" s="9"/>
      <c r="AC2155" s="9"/>
      <c r="AD2155" s="9"/>
      <c r="AF2155" s="10"/>
      <c r="AG2155" s="10"/>
      <c r="AH2155" s="10"/>
      <c r="AI2155" s="10"/>
    </row>
    <row r="2156" spans="28:35" ht="15" hidden="1" customHeight="1">
      <c r="AB2156" s="9"/>
      <c r="AC2156" s="9"/>
      <c r="AD2156" s="9"/>
      <c r="AF2156" s="10"/>
      <c r="AG2156" s="10"/>
      <c r="AH2156" s="10"/>
      <c r="AI2156" s="10"/>
    </row>
    <row r="2157" spans="28:35" ht="15" hidden="1" customHeight="1">
      <c r="AB2157" s="9"/>
      <c r="AC2157" s="9"/>
      <c r="AD2157" s="9"/>
      <c r="AF2157" s="10"/>
      <c r="AG2157" s="10"/>
      <c r="AH2157" s="10"/>
      <c r="AI2157" s="10"/>
    </row>
    <row r="2158" spans="28:35" ht="15" hidden="1" customHeight="1">
      <c r="AB2158" s="9"/>
      <c r="AC2158" s="9"/>
      <c r="AD2158" s="9"/>
      <c r="AF2158" s="10"/>
      <c r="AG2158" s="10"/>
      <c r="AH2158" s="10"/>
      <c r="AI2158" s="10"/>
    </row>
    <row r="2159" spans="28:35" ht="15" hidden="1" customHeight="1">
      <c r="AB2159" s="9"/>
      <c r="AC2159" s="9"/>
      <c r="AD2159" s="9"/>
      <c r="AF2159" s="10"/>
      <c r="AG2159" s="10"/>
      <c r="AH2159" s="10"/>
      <c r="AI2159" s="10"/>
    </row>
    <row r="2160" spans="28:35" ht="15" hidden="1" customHeight="1">
      <c r="AB2160" s="9"/>
      <c r="AC2160" s="9"/>
      <c r="AD2160" s="9"/>
      <c r="AF2160" s="10"/>
      <c r="AG2160" s="10"/>
      <c r="AH2160" s="10"/>
      <c r="AI2160" s="10"/>
    </row>
    <row r="2161" spans="28:35" ht="15" hidden="1" customHeight="1">
      <c r="AB2161" s="9"/>
      <c r="AC2161" s="9"/>
      <c r="AD2161" s="9"/>
      <c r="AF2161" s="10"/>
      <c r="AG2161" s="10"/>
      <c r="AH2161" s="10"/>
      <c r="AI2161" s="10"/>
    </row>
    <row r="2162" spans="28:35" ht="15" hidden="1" customHeight="1">
      <c r="AB2162" s="9"/>
      <c r="AC2162" s="9"/>
      <c r="AD2162" s="9"/>
      <c r="AF2162" s="10"/>
      <c r="AG2162" s="10"/>
      <c r="AH2162" s="10"/>
      <c r="AI2162" s="10"/>
    </row>
    <row r="2163" spans="28:35" ht="15" hidden="1" customHeight="1">
      <c r="AB2163" s="9"/>
      <c r="AC2163" s="9"/>
      <c r="AD2163" s="9"/>
      <c r="AF2163" s="10"/>
      <c r="AG2163" s="10"/>
      <c r="AH2163" s="10"/>
      <c r="AI2163" s="10"/>
    </row>
    <row r="2164" spans="28:35" ht="15" hidden="1" customHeight="1">
      <c r="AB2164" s="9"/>
      <c r="AC2164" s="9"/>
      <c r="AD2164" s="9"/>
      <c r="AF2164" s="10"/>
      <c r="AG2164" s="10"/>
      <c r="AH2164" s="10"/>
      <c r="AI2164" s="10"/>
    </row>
    <row r="2165" spans="28:35" ht="15" hidden="1" customHeight="1">
      <c r="AB2165" s="9"/>
      <c r="AC2165" s="9"/>
      <c r="AD2165" s="9"/>
      <c r="AF2165" s="10"/>
      <c r="AG2165" s="10"/>
      <c r="AH2165" s="10"/>
      <c r="AI2165" s="10"/>
    </row>
    <row r="2166" spans="28:35" ht="15" hidden="1" customHeight="1">
      <c r="AB2166" s="9"/>
      <c r="AC2166" s="9"/>
      <c r="AD2166" s="9"/>
      <c r="AF2166" s="10"/>
      <c r="AG2166" s="10"/>
      <c r="AH2166" s="10"/>
      <c r="AI2166" s="10"/>
    </row>
    <row r="2167" spans="28:35" ht="15" hidden="1" customHeight="1">
      <c r="AB2167" s="9"/>
      <c r="AC2167" s="9"/>
      <c r="AD2167" s="9"/>
      <c r="AF2167" s="10"/>
      <c r="AG2167" s="10"/>
      <c r="AH2167" s="10"/>
      <c r="AI2167" s="10"/>
    </row>
    <row r="2168" spans="28:35" ht="15" hidden="1" customHeight="1">
      <c r="AB2168" s="9"/>
      <c r="AC2168" s="9"/>
      <c r="AD2168" s="9"/>
      <c r="AF2168" s="10"/>
      <c r="AG2168" s="10"/>
      <c r="AH2168" s="10"/>
      <c r="AI2168" s="10"/>
    </row>
    <row r="2169" spans="28:35" ht="15" hidden="1" customHeight="1">
      <c r="AB2169" s="9"/>
      <c r="AC2169" s="9"/>
      <c r="AD2169" s="9"/>
      <c r="AF2169" s="10"/>
      <c r="AG2169" s="10"/>
      <c r="AH2169" s="10"/>
      <c r="AI2169" s="10"/>
    </row>
    <row r="2170" spans="28:35" ht="15" hidden="1" customHeight="1">
      <c r="AB2170" s="9"/>
      <c r="AC2170" s="9"/>
      <c r="AD2170" s="9"/>
      <c r="AF2170" s="10"/>
      <c r="AG2170" s="10"/>
      <c r="AH2170" s="10"/>
      <c r="AI2170" s="10"/>
    </row>
    <row r="2171" spans="28:35" ht="15" hidden="1" customHeight="1">
      <c r="AB2171" s="9"/>
      <c r="AC2171" s="9"/>
      <c r="AD2171" s="9"/>
      <c r="AF2171" s="10"/>
      <c r="AG2171" s="10"/>
      <c r="AH2171" s="10"/>
      <c r="AI2171" s="10"/>
    </row>
    <row r="2172" spans="28:35" ht="15" hidden="1" customHeight="1">
      <c r="AB2172" s="9"/>
      <c r="AC2172" s="9"/>
      <c r="AD2172" s="9"/>
      <c r="AF2172" s="10"/>
      <c r="AG2172" s="10"/>
      <c r="AH2172" s="10"/>
      <c r="AI2172" s="10"/>
    </row>
    <row r="2173" spans="28:35" ht="15" hidden="1" customHeight="1">
      <c r="AB2173" s="9"/>
      <c r="AC2173" s="9"/>
      <c r="AD2173" s="9"/>
      <c r="AF2173" s="10"/>
      <c r="AG2173" s="10"/>
      <c r="AH2173" s="10"/>
      <c r="AI2173" s="10"/>
    </row>
    <row r="2174" spans="28:35" ht="15" hidden="1" customHeight="1">
      <c r="AB2174" s="9"/>
      <c r="AC2174" s="9"/>
      <c r="AD2174" s="9"/>
      <c r="AF2174" s="10"/>
      <c r="AG2174" s="10"/>
      <c r="AH2174" s="10"/>
      <c r="AI2174" s="10"/>
    </row>
    <row r="2175" spans="28:35" ht="15" hidden="1" customHeight="1">
      <c r="AB2175" s="9"/>
      <c r="AC2175" s="9"/>
      <c r="AD2175" s="9"/>
      <c r="AF2175" s="10"/>
      <c r="AG2175" s="10"/>
      <c r="AH2175" s="10"/>
      <c r="AI2175" s="10"/>
    </row>
    <row r="2176" spans="28:35" ht="15" hidden="1" customHeight="1">
      <c r="AB2176" s="9"/>
      <c r="AC2176" s="9"/>
      <c r="AD2176" s="9"/>
      <c r="AF2176" s="10"/>
      <c r="AG2176" s="10"/>
      <c r="AH2176" s="10"/>
      <c r="AI2176" s="10"/>
    </row>
    <row r="2177" spans="28:35" ht="15" hidden="1" customHeight="1">
      <c r="AB2177" s="9"/>
      <c r="AC2177" s="9"/>
      <c r="AD2177" s="9"/>
      <c r="AF2177" s="10"/>
      <c r="AG2177" s="10"/>
      <c r="AH2177" s="10"/>
      <c r="AI2177" s="10"/>
    </row>
    <row r="2178" spans="28:35" ht="15" hidden="1" customHeight="1">
      <c r="AB2178" s="9"/>
      <c r="AC2178" s="9"/>
      <c r="AD2178" s="9"/>
      <c r="AF2178" s="10"/>
      <c r="AG2178" s="10"/>
      <c r="AH2178" s="10"/>
      <c r="AI2178" s="10"/>
    </row>
    <row r="2179" spans="28:35" ht="15" hidden="1" customHeight="1">
      <c r="AB2179" s="9"/>
      <c r="AC2179" s="9"/>
      <c r="AD2179" s="9"/>
      <c r="AF2179" s="10"/>
      <c r="AG2179" s="10"/>
      <c r="AH2179" s="10"/>
      <c r="AI2179" s="10"/>
    </row>
    <row r="2180" spans="28:35" ht="15" hidden="1" customHeight="1">
      <c r="AB2180" s="9"/>
      <c r="AC2180" s="9"/>
      <c r="AD2180" s="9"/>
      <c r="AF2180" s="10"/>
      <c r="AG2180" s="10"/>
      <c r="AH2180" s="10"/>
      <c r="AI2180" s="10"/>
    </row>
    <row r="2181" spans="28:35" ht="15" hidden="1" customHeight="1">
      <c r="AB2181" s="9"/>
      <c r="AC2181" s="9"/>
      <c r="AD2181" s="9"/>
      <c r="AF2181" s="10"/>
      <c r="AG2181" s="10"/>
      <c r="AH2181" s="10"/>
      <c r="AI2181" s="10"/>
    </row>
    <row r="2182" spans="28:35" ht="15" hidden="1" customHeight="1">
      <c r="AB2182" s="9"/>
      <c r="AC2182" s="9"/>
      <c r="AD2182" s="9"/>
      <c r="AF2182" s="10"/>
      <c r="AG2182" s="10"/>
      <c r="AH2182" s="10"/>
      <c r="AI2182" s="10"/>
    </row>
    <row r="2183" spans="28:35" ht="15" hidden="1" customHeight="1">
      <c r="AB2183" s="9"/>
      <c r="AC2183" s="9"/>
      <c r="AD2183" s="9"/>
      <c r="AF2183" s="10"/>
      <c r="AG2183" s="10"/>
      <c r="AH2183" s="10"/>
      <c r="AI2183" s="10"/>
    </row>
    <row r="2184" spans="28:35" ht="15" hidden="1" customHeight="1">
      <c r="AB2184" s="9"/>
      <c r="AC2184" s="9"/>
      <c r="AD2184" s="9"/>
      <c r="AF2184" s="10"/>
      <c r="AG2184" s="10"/>
      <c r="AH2184" s="10"/>
      <c r="AI2184" s="10"/>
    </row>
    <row r="2185" spans="28:35" ht="15" hidden="1" customHeight="1">
      <c r="AB2185" s="9"/>
      <c r="AC2185" s="9"/>
      <c r="AD2185" s="9"/>
      <c r="AF2185" s="10"/>
      <c r="AG2185" s="10"/>
      <c r="AH2185" s="10"/>
      <c r="AI2185" s="10"/>
    </row>
    <row r="2186" spans="28:35" ht="15" hidden="1" customHeight="1">
      <c r="AB2186" s="9"/>
      <c r="AC2186" s="9"/>
      <c r="AD2186" s="9"/>
      <c r="AF2186" s="10"/>
      <c r="AG2186" s="10"/>
      <c r="AH2186" s="10"/>
      <c r="AI2186" s="10"/>
    </row>
    <row r="2187" spans="28:35" ht="15" hidden="1" customHeight="1">
      <c r="AB2187" s="9"/>
      <c r="AC2187" s="9"/>
      <c r="AD2187" s="9"/>
      <c r="AF2187" s="10"/>
      <c r="AG2187" s="10"/>
      <c r="AH2187" s="10"/>
      <c r="AI2187" s="10"/>
    </row>
    <row r="2188" spans="28:35" ht="15" hidden="1" customHeight="1">
      <c r="AB2188" s="9"/>
      <c r="AC2188" s="9"/>
      <c r="AD2188" s="9"/>
      <c r="AF2188" s="10"/>
      <c r="AG2188" s="10"/>
      <c r="AH2188" s="10"/>
      <c r="AI2188" s="10"/>
    </row>
    <row r="2189" spans="28:35" ht="15" hidden="1" customHeight="1">
      <c r="AB2189" s="9"/>
      <c r="AC2189" s="9"/>
      <c r="AD2189" s="9"/>
      <c r="AF2189" s="10"/>
      <c r="AG2189" s="10"/>
      <c r="AH2189" s="10"/>
      <c r="AI2189" s="10"/>
    </row>
    <row r="2190" spans="28:35" ht="15" hidden="1" customHeight="1">
      <c r="AB2190" s="9"/>
      <c r="AC2190" s="9"/>
      <c r="AD2190" s="9"/>
      <c r="AF2190" s="10"/>
      <c r="AG2190" s="10"/>
      <c r="AH2190" s="10"/>
      <c r="AI2190" s="10"/>
    </row>
    <row r="2191" spans="28:35" ht="15" hidden="1" customHeight="1">
      <c r="AB2191" s="9"/>
      <c r="AC2191" s="9"/>
      <c r="AD2191" s="9"/>
      <c r="AF2191" s="10"/>
      <c r="AG2191" s="10"/>
      <c r="AH2191" s="10"/>
      <c r="AI2191" s="10"/>
    </row>
    <row r="2192" spans="28:35" ht="15" hidden="1" customHeight="1">
      <c r="AB2192" s="9"/>
      <c r="AC2192" s="9"/>
      <c r="AD2192" s="9"/>
      <c r="AF2192" s="10"/>
      <c r="AG2192" s="10"/>
      <c r="AH2192" s="10"/>
      <c r="AI2192" s="10"/>
    </row>
    <row r="2193" spans="28:35" ht="15" hidden="1" customHeight="1">
      <c r="AB2193" s="9"/>
      <c r="AC2193" s="9"/>
      <c r="AD2193" s="9"/>
      <c r="AF2193" s="10"/>
      <c r="AG2193" s="10"/>
      <c r="AH2193" s="10"/>
      <c r="AI2193" s="10"/>
    </row>
    <row r="2194" spans="28:35" ht="15" hidden="1" customHeight="1">
      <c r="AB2194" s="9"/>
      <c r="AC2194" s="9"/>
      <c r="AD2194" s="9"/>
      <c r="AF2194" s="10"/>
      <c r="AG2194" s="10"/>
      <c r="AH2194" s="10"/>
      <c r="AI2194" s="10"/>
    </row>
    <row r="2195" spans="28:35" ht="15" hidden="1" customHeight="1">
      <c r="AB2195" s="9"/>
      <c r="AC2195" s="9"/>
      <c r="AD2195" s="9"/>
      <c r="AF2195" s="10"/>
      <c r="AG2195" s="10"/>
      <c r="AH2195" s="10"/>
      <c r="AI2195" s="10"/>
    </row>
    <row r="2196" spans="28:35" ht="15" hidden="1" customHeight="1">
      <c r="AB2196" s="9"/>
      <c r="AC2196" s="9"/>
      <c r="AD2196" s="9"/>
      <c r="AF2196" s="10"/>
      <c r="AG2196" s="10"/>
      <c r="AH2196" s="10"/>
      <c r="AI2196" s="10"/>
    </row>
    <row r="2197" spans="28:35" ht="15" hidden="1" customHeight="1">
      <c r="AB2197" s="9"/>
      <c r="AC2197" s="9"/>
      <c r="AD2197" s="9"/>
      <c r="AF2197" s="10"/>
      <c r="AG2197" s="10"/>
      <c r="AH2197" s="10"/>
      <c r="AI2197" s="10"/>
    </row>
    <row r="2198" spans="28:35" ht="15" hidden="1" customHeight="1">
      <c r="AB2198" s="9"/>
      <c r="AC2198" s="9"/>
      <c r="AD2198" s="9"/>
      <c r="AF2198" s="10"/>
      <c r="AG2198" s="10"/>
      <c r="AH2198" s="10"/>
      <c r="AI2198" s="10"/>
    </row>
    <row r="2199" spans="28:35" ht="15" hidden="1" customHeight="1">
      <c r="AB2199" s="9"/>
      <c r="AC2199" s="9"/>
      <c r="AD2199" s="9"/>
      <c r="AF2199" s="10"/>
      <c r="AG2199" s="10"/>
      <c r="AH2199" s="10"/>
      <c r="AI2199" s="10"/>
    </row>
    <row r="2200" spans="28:35" ht="15" hidden="1" customHeight="1">
      <c r="AB2200" s="9"/>
      <c r="AC2200" s="9"/>
      <c r="AD2200" s="9"/>
      <c r="AF2200" s="10"/>
      <c r="AG2200" s="10"/>
      <c r="AH2200" s="10"/>
      <c r="AI2200" s="10"/>
    </row>
    <row r="2201" spans="28:35" ht="15" hidden="1" customHeight="1">
      <c r="AB2201" s="9"/>
      <c r="AC2201" s="9"/>
      <c r="AD2201" s="9"/>
      <c r="AF2201" s="10"/>
      <c r="AG2201" s="10"/>
      <c r="AH2201" s="10"/>
      <c r="AI2201" s="10"/>
    </row>
    <row r="2202" spans="28:35" ht="15" hidden="1" customHeight="1">
      <c r="AB2202" s="9"/>
      <c r="AC2202" s="9"/>
      <c r="AD2202" s="9"/>
      <c r="AF2202" s="10"/>
      <c r="AG2202" s="10"/>
      <c r="AH2202" s="10"/>
      <c r="AI2202" s="10"/>
    </row>
    <row r="2203" spans="28:35" ht="15" hidden="1" customHeight="1">
      <c r="AB2203" s="9"/>
      <c r="AC2203" s="9"/>
      <c r="AD2203" s="9"/>
      <c r="AF2203" s="10"/>
      <c r="AG2203" s="10"/>
      <c r="AH2203" s="10"/>
      <c r="AI2203" s="10"/>
    </row>
    <row r="2204" spans="28:35" ht="15" hidden="1" customHeight="1">
      <c r="AB2204" s="9"/>
      <c r="AC2204" s="9"/>
      <c r="AD2204" s="9"/>
      <c r="AF2204" s="10"/>
      <c r="AG2204" s="10"/>
      <c r="AH2204" s="10"/>
      <c r="AI2204" s="10"/>
    </row>
    <row r="2205" spans="28:35" ht="15" hidden="1" customHeight="1">
      <c r="AB2205" s="9"/>
      <c r="AC2205" s="9"/>
      <c r="AD2205" s="9"/>
      <c r="AF2205" s="10"/>
      <c r="AG2205" s="10"/>
      <c r="AH2205" s="10"/>
      <c r="AI2205" s="10"/>
    </row>
    <row r="2206" spans="28:35" ht="15" hidden="1" customHeight="1">
      <c r="AB2206" s="9"/>
      <c r="AC2206" s="9"/>
      <c r="AD2206" s="9"/>
      <c r="AF2206" s="10"/>
      <c r="AG2206" s="10"/>
      <c r="AH2206" s="10"/>
      <c r="AI2206" s="10"/>
    </row>
    <row r="2207" spans="28:35" ht="15" hidden="1" customHeight="1">
      <c r="AB2207" s="9"/>
      <c r="AC2207" s="9"/>
      <c r="AD2207" s="9"/>
      <c r="AF2207" s="10"/>
      <c r="AG2207" s="10"/>
      <c r="AH2207" s="10"/>
      <c r="AI2207" s="10"/>
    </row>
    <row r="2208" spans="28:35" ht="15" hidden="1" customHeight="1">
      <c r="AB2208" s="9"/>
      <c r="AC2208" s="9"/>
      <c r="AD2208" s="9"/>
      <c r="AF2208" s="10"/>
      <c r="AG2208" s="10"/>
      <c r="AH2208" s="10"/>
      <c r="AI2208" s="10"/>
    </row>
    <row r="2209" spans="28:35" ht="15" hidden="1" customHeight="1">
      <c r="AB2209" s="9"/>
      <c r="AC2209" s="9"/>
      <c r="AD2209" s="9"/>
      <c r="AF2209" s="10"/>
      <c r="AG2209" s="10"/>
      <c r="AH2209" s="10"/>
      <c r="AI2209" s="10"/>
    </row>
    <row r="2210" spans="28:35" ht="15" hidden="1" customHeight="1">
      <c r="AB2210" s="9"/>
      <c r="AC2210" s="9"/>
      <c r="AD2210" s="9"/>
      <c r="AF2210" s="10"/>
      <c r="AG2210" s="10"/>
      <c r="AH2210" s="10"/>
      <c r="AI2210" s="10"/>
    </row>
    <row r="2211" spans="28:35" ht="15" hidden="1" customHeight="1">
      <c r="AB2211" s="9"/>
      <c r="AC2211" s="9"/>
      <c r="AD2211" s="9"/>
      <c r="AF2211" s="10"/>
      <c r="AG2211" s="10"/>
      <c r="AH2211" s="10"/>
      <c r="AI2211" s="10"/>
    </row>
    <row r="2212" spans="28:35" ht="15" hidden="1" customHeight="1">
      <c r="AB2212" s="9"/>
      <c r="AC2212" s="9"/>
      <c r="AD2212" s="9"/>
      <c r="AF2212" s="10"/>
      <c r="AG2212" s="10"/>
      <c r="AH2212" s="10"/>
      <c r="AI2212" s="10"/>
    </row>
    <row r="2213" spans="28:35" ht="15" hidden="1" customHeight="1">
      <c r="AB2213" s="9"/>
      <c r="AC2213" s="9"/>
      <c r="AD2213" s="9"/>
      <c r="AF2213" s="10"/>
      <c r="AG2213" s="10"/>
      <c r="AH2213" s="10"/>
      <c r="AI2213" s="10"/>
    </row>
    <row r="2214" spans="28:35" ht="15" hidden="1" customHeight="1">
      <c r="AB2214" s="9"/>
      <c r="AC2214" s="9"/>
      <c r="AD2214" s="9"/>
      <c r="AF2214" s="10"/>
      <c r="AG2214" s="10"/>
      <c r="AH2214" s="10"/>
      <c r="AI2214" s="10"/>
    </row>
    <row r="2215" spans="28:35" ht="15" hidden="1" customHeight="1">
      <c r="AB2215" s="9"/>
      <c r="AC2215" s="9"/>
      <c r="AD2215" s="9"/>
      <c r="AF2215" s="10"/>
      <c r="AG2215" s="10"/>
      <c r="AH2215" s="10"/>
      <c r="AI2215" s="10"/>
    </row>
    <row r="2216" spans="28:35" ht="15" hidden="1" customHeight="1">
      <c r="AB2216" s="9"/>
      <c r="AC2216" s="9"/>
      <c r="AD2216" s="9"/>
      <c r="AF2216" s="10"/>
      <c r="AG2216" s="10"/>
      <c r="AH2216" s="10"/>
      <c r="AI2216" s="10"/>
    </row>
    <row r="2217" spans="28:35" ht="15" hidden="1" customHeight="1">
      <c r="AB2217" s="9"/>
      <c r="AC2217" s="9"/>
      <c r="AD2217" s="9"/>
      <c r="AF2217" s="10"/>
      <c r="AG2217" s="10"/>
      <c r="AH2217" s="10"/>
      <c r="AI2217" s="10"/>
    </row>
    <row r="2218" spans="28:35" ht="15" hidden="1" customHeight="1">
      <c r="AB2218" s="9"/>
      <c r="AC2218" s="9"/>
      <c r="AD2218" s="9"/>
      <c r="AF2218" s="10"/>
      <c r="AG2218" s="10"/>
      <c r="AH2218" s="10"/>
      <c r="AI2218" s="10"/>
    </row>
    <row r="2219" spans="28:35" ht="15" hidden="1" customHeight="1">
      <c r="AB2219" s="9"/>
      <c r="AC2219" s="9"/>
      <c r="AD2219" s="9"/>
      <c r="AF2219" s="10"/>
      <c r="AG2219" s="10"/>
      <c r="AH2219" s="10"/>
      <c r="AI2219" s="10"/>
    </row>
    <row r="2220" spans="28:35" ht="15" hidden="1" customHeight="1">
      <c r="AB2220" s="9"/>
      <c r="AC2220" s="9"/>
      <c r="AD2220" s="9"/>
      <c r="AF2220" s="10"/>
      <c r="AG2220" s="10"/>
      <c r="AH2220" s="10"/>
      <c r="AI2220" s="10"/>
    </row>
    <row r="2221" spans="28:35" ht="15" hidden="1" customHeight="1">
      <c r="AB2221" s="9"/>
      <c r="AC2221" s="9"/>
      <c r="AD2221" s="9"/>
      <c r="AF2221" s="10"/>
      <c r="AG2221" s="10"/>
      <c r="AH2221" s="10"/>
      <c r="AI2221" s="10"/>
    </row>
    <row r="2222" spans="28:35" ht="15" hidden="1" customHeight="1">
      <c r="AB2222" s="9"/>
      <c r="AC2222" s="9"/>
      <c r="AD2222" s="9"/>
      <c r="AF2222" s="10"/>
      <c r="AG2222" s="10"/>
      <c r="AH2222" s="10"/>
      <c r="AI2222" s="10"/>
    </row>
    <row r="2223" spans="28:35" ht="15" hidden="1" customHeight="1">
      <c r="AB2223" s="9"/>
      <c r="AC2223" s="9"/>
      <c r="AD2223" s="9"/>
      <c r="AF2223" s="10"/>
      <c r="AG2223" s="10"/>
      <c r="AH2223" s="10"/>
      <c r="AI2223" s="10"/>
    </row>
    <row r="2224" spans="28:35" ht="15" hidden="1" customHeight="1">
      <c r="AB2224" s="9"/>
      <c r="AC2224" s="9"/>
      <c r="AD2224" s="9"/>
      <c r="AF2224" s="10"/>
      <c r="AG2224" s="10"/>
      <c r="AH2224" s="10"/>
      <c r="AI2224" s="10"/>
    </row>
    <row r="2225" spans="28:35" ht="15" hidden="1" customHeight="1">
      <c r="AB2225" s="9"/>
      <c r="AC2225" s="9"/>
      <c r="AD2225" s="9"/>
      <c r="AF2225" s="10"/>
      <c r="AG2225" s="10"/>
      <c r="AH2225" s="10"/>
      <c r="AI2225" s="10"/>
    </row>
    <row r="2226" spans="28:35" ht="15" hidden="1" customHeight="1">
      <c r="AB2226" s="9"/>
      <c r="AC2226" s="9"/>
      <c r="AD2226" s="9"/>
      <c r="AF2226" s="10"/>
      <c r="AG2226" s="10"/>
      <c r="AH2226" s="10"/>
      <c r="AI2226" s="10"/>
    </row>
    <row r="2227" spans="28:35" ht="15" hidden="1" customHeight="1">
      <c r="AB2227" s="9"/>
      <c r="AC2227" s="9"/>
      <c r="AD2227" s="9"/>
      <c r="AF2227" s="10"/>
      <c r="AG2227" s="10"/>
      <c r="AH2227" s="10"/>
      <c r="AI2227" s="10"/>
    </row>
    <row r="2228" spans="28:35" ht="15" hidden="1" customHeight="1">
      <c r="AB2228" s="9"/>
      <c r="AC2228" s="9"/>
      <c r="AD2228" s="9"/>
      <c r="AF2228" s="10"/>
      <c r="AG2228" s="10"/>
      <c r="AH2228" s="10"/>
      <c r="AI2228" s="10"/>
    </row>
    <row r="2229" spans="28:35" ht="15" hidden="1" customHeight="1">
      <c r="AB2229" s="9"/>
      <c r="AC2229" s="9"/>
      <c r="AD2229" s="9"/>
      <c r="AF2229" s="10"/>
      <c r="AG2229" s="10"/>
      <c r="AH2229" s="10"/>
      <c r="AI2229" s="10"/>
    </row>
    <row r="2230" spans="28:35" ht="15" hidden="1" customHeight="1">
      <c r="AB2230" s="9"/>
      <c r="AC2230" s="9"/>
      <c r="AD2230" s="9"/>
      <c r="AF2230" s="10"/>
      <c r="AG2230" s="10"/>
      <c r="AH2230" s="10"/>
      <c r="AI2230" s="10"/>
    </row>
    <row r="2231" spans="28:35" ht="15" hidden="1" customHeight="1">
      <c r="AB2231" s="9"/>
      <c r="AC2231" s="9"/>
      <c r="AD2231" s="9"/>
      <c r="AF2231" s="10"/>
      <c r="AG2231" s="10"/>
      <c r="AH2231" s="10"/>
      <c r="AI2231" s="10"/>
    </row>
    <row r="2232" spans="28:35" ht="15" hidden="1" customHeight="1">
      <c r="AB2232" s="9"/>
      <c r="AC2232" s="9"/>
      <c r="AD2232" s="9"/>
      <c r="AF2232" s="10"/>
      <c r="AG2232" s="10"/>
      <c r="AH2232" s="10"/>
      <c r="AI2232" s="10"/>
    </row>
    <row r="2233" spans="28:35" ht="15" hidden="1" customHeight="1">
      <c r="AB2233" s="9"/>
      <c r="AC2233" s="9"/>
      <c r="AD2233" s="9"/>
      <c r="AF2233" s="10"/>
      <c r="AG2233" s="10"/>
      <c r="AH2233" s="10"/>
      <c r="AI2233" s="10"/>
    </row>
    <row r="2234" spans="28:35" ht="15" hidden="1" customHeight="1">
      <c r="AB2234" s="9"/>
      <c r="AC2234" s="9"/>
      <c r="AD2234" s="9"/>
      <c r="AF2234" s="10"/>
      <c r="AG2234" s="10"/>
      <c r="AH2234" s="10"/>
      <c r="AI2234" s="10"/>
    </row>
    <row r="2235" spans="28:35" ht="15" hidden="1" customHeight="1">
      <c r="AB2235" s="9"/>
      <c r="AC2235" s="9"/>
      <c r="AD2235" s="9"/>
      <c r="AF2235" s="10"/>
      <c r="AG2235" s="10"/>
      <c r="AH2235" s="10"/>
      <c r="AI2235" s="10"/>
    </row>
    <row r="2236" spans="28:35" ht="15" hidden="1" customHeight="1">
      <c r="AB2236" s="9"/>
      <c r="AC2236" s="9"/>
      <c r="AD2236" s="9"/>
      <c r="AF2236" s="10"/>
      <c r="AG2236" s="10"/>
      <c r="AH2236" s="10"/>
      <c r="AI2236" s="10"/>
    </row>
    <row r="2237" spans="28:35" ht="15" hidden="1" customHeight="1">
      <c r="AB2237" s="9"/>
      <c r="AC2237" s="9"/>
      <c r="AD2237" s="9"/>
      <c r="AF2237" s="10"/>
      <c r="AG2237" s="10"/>
      <c r="AH2237" s="10"/>
      <c r="AI2237" s="10"/>
    </row>
    <row r="2238" spans="28:35" ht="15" hidden="1" customHeight="1">
      <c r="AB2238" s="9"/>
      <c r="AC2238" s="9"/>
      <c r="AD2238" s="9"/>
      <c r="AF2238" s="10"/>
      <c r="AG2238" s="10"/>
      <c r="AH2238" s="10"/>
      <c r="AI2238" s="10"/>
    </row>
    <row r="2239" spans="28:35" ht="15" hidden="1" customHeight="1">
      <c r="AB2239" s="9"/>
      <c r="AC2239" s="9"/>
      <c r="AD2239" s="9"/>
      <c r="AF2239" s="10"/>
      <c r="AG2239" s="10"/>
      <c r="AH2239" s="10"/>
      <c r="AI2239" s="10"/>
    </row>
    <row r="2240" spans="28:35" ht="15" hidden="1" customHeight="1">
      <c r="AB2240" s="9"/>
      <c r="AC2240" s="9"/>
      <c r="AD2240" s="9"/>
      <c r="AF2240" s="10"/>
      <c r="AG2240" s="10"/>
      <c r="AH2240" s="10"/>
      <c r="AI2240" s="10"/>
    </row>
    <row r="2241" spans="28:35" ht="15" hidden="1" customHeight="1">
      <c r="AB2241" s="9"/>
      <c r="AC2241" s="9"/>
      <c r="AD2241" s="9"/>
      <c r="AF2241" s="10"/>
      <c r="AG2241" s="10"/>
      <c r="AH2241" s="10"/>
      <c r="AI2241" s="10"/>
    </row>
    <row r="2242" spans="28:35" ht="15" hidden="1" customHeight="1">
      <c r="AB2242" s="9"/>
      <c r="AC2242" s="9"/>
      <c r="AD2242" s="9"/>
      <c r="AF2242" s="10"/>
      <c r="AG2242" s="10"/>
      <c r="AH2242" s="10"/>
      <c r="AI2242" s="10"/>
    </row>
    <row r="2243" spans="28:35" ht="15" hidden="1" customHeight="1">
      <c r="AB2243" s="9"/>
      <c r="AC2243" s="9"/>
      <c r="AD2243" s="9"/>
      <c r="AF2243" s="10"/>
      <c r="AG2243" s="10"/>
      <c r="AH2243" s="10"/>
      <c r="AI2243" s="10"/>
    </row>
    <row r="2244" spans="28:35" ht="15" hidden="1" customHeight="1">
      <c r="AB2244" s="9"/>
      <c r="AC2244" s="9"/>
      <c r="AD2244" s="9"/>
      <c r="AF2244" s="10"/>
      <c r="AG2244" s="10"/>
      <c r="AH2244" s="10"/>
      <c r="AI2244" s="10"/>
    </row>
    <row r="2245" spans="28:35" ht="15" hidden="1" customHeight="1">
      <c r="AB2245" s="9"/>
      <c r="AC2245" s="9"/>
      <c r="AD2245" s="9"/>
      <c r="AF2245" s="10"/>
      <c r="AG2245" s="10"/>
      <c r="AH2245" s="10"/>
      <c r="AI2245" s="10"/>
    </row>
    <row r="2246" spans="28:35" ht="15" hidden="1" customHeight="1">
      <c r="AB2246" s="9"/>
      <c r="AC2246" s="9"/>
      <c r="AD2246" s="9"/>
      <c r="AF2246" s="10"/>
      <c r="AG2246" s="10"/>
      <c r="AH2246" s="10"/>
      <c r="AI2246" s="10"/>
    </row>
    <row r="2247" spans="28:35" ht="15" hidden="1" customHeight="1">
      <c r="AB2247" s="9"/>
      <c r="AC2247" s="9"/>
      <c r="AD2247" s="9"/>
      <c r="AF2247" s="10"/>
      <c r="AG2247" s="10"/>
      <c r="AH2247" s="10"/>
      <c r="AI2247" s="10"/>
    </row>
    <row r="2248" spans="28:35" ht="15" hidden="1" customHeight="1">
      <c r="AB2248" s="9"/>
      <c r="AC2248" s="9"/>
      <c r="AD2248" s="9"/>
      <c r="AF2248" s="10"/>
      <c r="AG2248" s="10"/>
      <c r="AH2248" s="10"/>
      <c r="AI2248" s="10"/>
    </row>
    <row r="2249" spans="28:35" ht="15" hidden="1" customHeight="1">
      <c r="AB2249" s="9"/>
      <c r="AC2249" s="9"/>
      <c r="AD2249" s="9"/>
      <c r="AF2249" s="10"/>
      <c r="AG2249" s="10"/>
      <c r="AH2249" s="10"/>
      <c r="AI2249" s="10"/>
    </row>
    <row r="2250" spans="28:35" ht="15" hidden="1" customHeight="1">
      <c r="AB2250" s="9"/>
      <c r="AC2250" s="9"/>
      <c r="AD2250" s="9"/>
      <c r="AF2250" s="10"/>
      <c r="AG2250" s="10"/>
      <c r="AH2250" s="10"/>
      <c r="AI2250" s="10"/>
    </row>
    <row r="2251" spans="28:35" ht="15" hidden="1" customHeight="1">
      <c r="AB2251" s="9"/>
      <c r="AC2251" s="9"/>
      <c r="AD2251" s="9"/>
      <c r="AF2251" s="10"/>
      <c r="AG2251" s="10"/>
      <c r="AH2251" s="10"/>
      <c r="AI2251" s="10"/>
    </row>
    <row r="2252" spans="28:35" ht="15" hidden="1" customHeight="1">
      <c r="AB2252" s="9"/>
      <c r="AC2252" s="9"/>
      <c r="AD2252" s="9"/>
      <c r="AF2252" s="10"/>
      <c r="AG2252" s="10"/>
      <c r="AH2252" s="10"/>
      <c r="AI2252" s="10"/>
    </row>
    <row r="2253" spans="28:35" ht="15" hidden="1" customHeight="1">
      <c r="AB2253" s="9"/>
      <c r="AC2253" s="9"/>
      <c r="AD2253" s="9"/>
      <c r="AF2253" s="10"/>
      <c r="AG2253" s="10"/>
      <c r="AH2253" s="10"/>
      <c r="AI2253" s="10"/>
    </row>
    <row r="2254" spans="28:35" ht="15" hidden="1" customHeight="1">
      <c r="AB2254" s="9"/>
      <c r="AC2254" s="9"/>
      <c r="AD2254" s="9"/>
      <c r="AF2254" s="10"/>
      <c r="AG2254" s="10"/>
      <c r="AH2254" s="10"/>
      <c r="AI2254" s="10"/>
    </row>
    <row r="2255" spans="28:35" ht="15" hidden="1" customHeight="1">
      <c r="AB2255" s="9"/>
      <c r="AC2255" s="9"/>
      <c r="AD2255" s="9"/>
      <c r="AF2255" s="10"/>
      <c r="AG2255" s="10"/>
      <c r="AH2255" s="10"/>
      <c r="AI2255" s="10"/>
    </row>
    <row r="2256" spans="28:35" ht="15" hidden="1" customHeight="1">
      <c r="AB2256" s="9"/>
      <c r="AC2256" s="9"/>
      <c r="AD2256" s="9"/>
      <c r="AF2256" s="10"/>
      <c r="AG2256" s="10"/>
      <c r="AH2256" s="10"/>
      <c r="AI2256" s="10"/>
    </row>
    <row r="2257" spans="28:35" ht="15" hidden="1" customHeight="1">
      <c r="AB2257" s="9"/>
      <c r="AC2257" s="9"/>
      <c r="AD2257" s="9"/>
      <c r="AF2257" s="10"/>
      <c r="AG2257" s="10"/>
      <c r="AH2257" s="10"/>
      <c r="AI2257" s="10"/>
    </row>
    <row r="2258" spans="28:35" ht="15" hidden="1" customHeight="1">
      <c r="AB2258" s="9"/>
      <c r="AC2258" s="9"/>
      <c r="AD2258" s="9"/>
      <c r="AF2258" s="10"/>
      <c r="AG2258" s="10"/>
      <c r="AH2258" s="10"/>
      <c r="AI2258" s="10"/>
    </row>
    <row r="2259" spans="28:35" ht="15" hidden="1" customHeight="1">
      <c r="AB2259" s="9"/>
      <c r="AC2259" s="9"/>
      <c r="AD2259" s="9"/>
      <c r="AF2259" s="10"/>
      <c r="AG2259" s="10"/>
      <c r="AH2259" s="10"/>
      <c r="AI2259" s="10"/>
    </row>
    <row r="2260" spans="28:35" ht="15" hidden="1" customHeight="1">
      <c r="AB2260" s="9"/>
      <c r="AC2260" s="9"/>
      <c r="AD2260" s="9"/>
      <c r="AF2260" s="10"/>
      <c r="AG2260" s="10"/>
      <c r="AH2260" s="10"/>
      <c r="AI2260" s="10"/>
    </row>
    <row r="2261" spans="28:35" ht="15" hidden="1" customHeight="1">
      <c r="AB2261" s="9"/>
      <c r="AC2261" s="9"/>
      <c r="AD2261" s="9"/>
      <c r="AF2261" s="10"/>
      <c r="AG2261" s="10"/>
      <c r="AH2261" s="10"/>
      <c r="AI2261" s="10"/>
    </row>
    <row r="2262" spans="28:35" ht="15" hidden="1" customHeight="1">
      <c r="AB2262" s="9"/>
      <c r="AC2262" s="9"/>
      <c r="AD2262" s="9"/>
      <c r="AF2262" s="10"/>
      <c r="AG2262" s="10"/>
      <c r="AH2262" s="10"/>
      <c r="AI2262" s="10"/>
    </row>
    <row r="2263" spans="28:35" ht="15" hidden="1" customHeight="1">
      <c r="AB2263" s="9"/>
      <c r="AC2263" s="9"/>
      <c r="AD2263" s="9"/>
      <c r="AF2263" s="10"/>
      <c r="AG2263" s="10"/>
      <c r="AH2263" s="10"/>
      <c r="AI2263" s="10"/>
    </row>
    <row r="2264" spans="28:35" ht="15" hidden="1" customHeight="1">
      <c r="AB2264" s="9"/>
      <c r="AC2264" s="9"/>
      <c r="AD2264" s="9"/>
      <c r="AF2264" s="10"/>
      <c r="AG2264" s="10"/>
      <c r="AH2264" s="10"/>
      <c r="AI2264" s="10"/>
    </row>
    <row r="2265" spans="28:35" ht="15" hidden="1" customHeight="1">
      <c r="AB2265" s="9"/>
      <c r="AC2265" s="9"/>
      <c r="AD2265" s="9"/>
      <c r="AF2265" s="10"/>
      <c r="AG2265" s="10"/>
      <c r="AH2265" s="10"/>
      <c r="AI2265" s="10"/>
    </row>
    <row r="2266" spans="28:35" ht="15" hidden="1" customHeight="1">
      <c r="AB2266" s="9"/>
      <c r="AC2266" s="9"/>
      <c r="AD2266" s="9"/>
      <c r="AF2266" s="10"/>
      <c r="AG2266" s="10"/>
      <c r="AH2266" s="10"/>
      <c r="AI2266" s="10"/>
    </row>
    <row r="2267" spans="28:35" ht="15" hidden="1" customHeight="1">
      <c r="AB2267" s="9"/>
      <c r="AC2267" s="9"/>
      <c r="AD2267" s="9"/>
      <c r="AF2267" s="10"/>
      <c r="AG2267" s="10"/>
      <c r="AH2267" s="10"/>
      <c r="AI2267" s="10"/>
    </row>
    <row r="2268" spans="28:35" ht="15" hidden="1" customHeight="1">
      <c r="AB2268" s="9"/>
      <c r="AC2268" s="9"/>
      <c r="AD2268" s="9"/>
      <c r="AF2268" s="10"/>
      <c r="AG2268" s="10"/>
      <c r="AH2268" s="10"/>
      <c r="AI2268" s="10"/>
    </row>
    <row r="2269" spans="28:35" ht="15" hidden="1" customHeight="1">
      <c r="AB2269" s="9"/>
      <c r="AC2269" s="9"/>
      <c r="AD2269" s="9"/>
      <c r="AF2269" s="10"/>
      <c r="AG2269" s="10"/>
      <c r="AH2269" s="10"/>
      <c r="AI2269" s="10"/>
    </row>
    <row r="2270" spans="28:35" ht="15" hidden="1" customHeight="1">
      <c r="AB2270" s="9"/>
      <c r="AC2270" s="9"/>
      <c r="AD2270" s="9"/>
      <c r="AF2270" s="10"/>
      <c r="AG2270" s="10"/>
      <c r="AH2270" s="10"/>
      <c r="AI2270" s="10"/>
    </row>
    <row r="2271" spans="28:35" ht="15" hidden="1" customHeight="1">
      <c r="AB2271" s="9"/>
      <c r="AC2271" s="9"/>
      <c r="AD2271" s="9"/>
      <c r="AF2271" s="10"/>
      <c r="AG2271" s="10"/>
      <c r="AH2271" s="10"/>
      <c r="AI2271" s="10"/>
    </row>
    <row r="2272" spans="28:35" ht="15" hidden="1" customHeight="1">
      <c r="AB2272" s="9"/>
      <c r="AC2272" s="9"/>
      <c r="AD2272" s="9"/>
      <c r="AF2272" s="10"/>
      <c r="AG2272" s="10"/>
      <c r="AH2272" s="10"/>
      <c r="AI2272" s="10"/>
    </row>
    <row r="2273" spans="28:35" ht="15" hidden="1" customHeight="1">
      <c r="AB2273" s="9"/>
      <c r="AC2273" s="9"/>
      <c r="AD2273" s="9"/>
      <c r="AF2273" s="10"/>
      <c r="AG2273" s="10"/>
      <c r="AH2273" s="10"/>
      <c r="AI2273" s="10"/>
    </row>
    <row r="2274" spans="28:35" ht="15" hidden="1" customHeight="1">
      <c r="AB2274" s="9"/>
      <c r="AC2274" s="9"/>
      <c r="AD2274" s="9"/>
      <c r="AF2274" s="10"/>
      <c r="AG2274" s="10"/>
      <c r="AH2274" s="10"/>
      <c r="AI2274" s="10"/>
    </row>
    <row r="2275" spans="28:35" ht="15" hidden="1" customHeight="1">
      <c r="AB2275" s="9"/>
      <c r="AC2275" s="9"/>
      <c r="AD2275" s="9"/>
      <c r="AF2275" s="10"/>
      <c r="AG2275" s="10"/>
      <c r="AH2275" s="10"/>
      <c r="AI2275" s="10"/>
    </row>
    <row r="2276" spans="28:35" ht="15" hidden="1" customHeight="1">
      <c r="AB2276" s="9"/>
      <c r="AC2276" s="9"/>
      <c r="AD2276" s="9"/>
      <c r="AF2276" s="10"/>
      <c r="AG2276" s="10"/>
      <c r="AH2276" s="10"/>
      <c r="AI2276" s="10"/>
    </row>
    <row r="2277" spans="28:35" ht="15" hidden="1" customHeight="1">
      <c r="AB2277" s="9"/>
      <c r="AC2277" s="9"/>
      <c r="AD2277" s="9"/>
      <c r="AF2277" s="10"/>
      <c r="AG2277" s="10"/>
      <c r="AH2277" s="10"/>
      <c r="AI2277" s="10"/>
    </row>
    <row r="2278" spans="28:35" ht="15" hidden="1" customHeight="1">
      <c r="AB2278" s="9"/>
      <c r="AC2278" s="9"/>
      <c r="AD2278" s="9"/>
      <c r="AF2278" s="10"/>
      <c r="AG2278" s="10"/>
      <c r="AH2278" s="10"/>
      <c r="AI2278" s="10"/>
    </row>
    <row r="2279" spans="28:35" ht="15" hidden="1" customHeight="1">
      <c r="AB2279" s="9"/>
      <c r="AC2279" s="9"/>
      <c r="AD2279" s="9"/>
      <c r="AF2279" s="10"/>
      <c r="AG2279" s="10"/>
      <c r="AH2279" s="10"/>
      <c r="AI2279" s="10"/>
    </row>
    <row r="2280" spans="28:35" ht="15" hidden="1" customHeight="1">
      <c r="AB2280" s="9"/>
      <c r="AC2280" s="9"/>
      <c r="AD2280" s="9"/>
      <c r="AF2280" s="10"/>
      <c r="AG2280" s="10"/>
      <c r="AH2280" s="10"/>
      <c r="AI2280" s="10"/>
    </row>
    <row r="2281" spans="28:35" ht="15" hidden="1" customHeight="1">
      <c r="AB2281" s="9"/>
      <c r="AC2281" s="9"/>
      <c r="AD2281" s="9"/>
      <c r="AF2281" s="10"/>
      <c r="AG2281" s="10"/>
      <c r="AH2281" s="10"/>
      <c r="AI2281" s="10"/>
    </row>
    <row r="2282" spans="28:35" ht="15" hidden="1" customHeight="1">
      <c r="AB2282" s="9"/>
      <c r="AC2282" s="9"/>
      <c r="AD2282" s="9"/>
      <c r="AF2282" s="10"/>
      <c r="AG2282" s="10"/>
      <c r="AH2282" s="10"/>
      <c r="AI2282" s="10"/>
    </row>
    <row r="2283" spans="28:35" ht="15" hidden="1" customHeight="1">
      <c r="AB2283" s="9"/>
      <c r="AC2283" s="9"/>
      <c r="AD2283" s="9"/>
      <c r="AF2283" s="10"/>
      <c r="AG2283" s="10"/>
      <c r="AH2283" s="10"/>
      <c r="AI2283" s="10"/>
    </row>
    <row r="2284" spans="28:35" ht="15" hidden="1" customHeight="1">
      <c r="AB2284" s="9"/>
      <c r="AC2284" s="9"/>
      <c r="AD2284" s="9"/>
      <c r="AF2284" s="10"/>
      <c r="AG2284" s="10"/>
      <c r="AH2284" s="10"/>
      <c r="AI2284" s="10"/>
    </row>
    <row r="2285" spans="28:35" ht="15" hidden="1" customHeight="1">
      <c r="AB2285" s="9"/>
      <c r="AC2285" s="9"/>
      <c r="AD2285" s="9"/>
      <c r="AF2285" s="10"/>
      <c r="AG2285" s="10"/>
      <c r="AH2285" s="10"/>
      <c r="AI2285" s="10"/>
    </row>
    <row r="2286" spans="28:35" ht="15" hidden="1" customHeight="1">
      <c r="AB2286" s="9"/>
      <c r="AC2286" s="9"/>
      <c r="AD2286" s="9"/>
      <c r="AF2286" s="10"/>
      <c r="AG2286" s="10"/>
      <c r="AH2286" s="10"/>
      <c r="AI2286" s="10"/>
    </row>
    <row r="2287" spans="28:35" ht="15" hidden="1" customHeight="1">
      <c r="AB2287" s="9"/>
      <c r="AC2287" s="9"/>
      <c r="AD2287" s="9"/>
      <c r="AF2287" s="10"/>
      <c r="AG2287" s="10"/>
      <c r="AH2287" s="10"/>
      <c r="AI2287" s="10"/>
    </row>
    <row r="2288" spans="28:35" ht="15" hidden="1" customHeight="1">
      <c r="AB2288" s="9"/>
      <c r="AC2288" s="9"/>
      <c r="AD2288" s="9"/>
      <c r="AF2288" s="10"/>
      <c r="AG2288" s="10"/>
      <c r="AH2288" s="10"/>
      <c r="AI2288" s="10"/>
    </row>
    <row r="2289" spans="28:35" ht="15" hidden="1" customHeight="1">
      <c r="AB2289" s="9"/>
      <c r="AC2289" s="9"/>
      <c r="AD2289" s="9"/>
      <c r="AF2289" s="10"/>
      <c r="AG2289" s="10"/>
      <c r="AH2289" s="10"/>
      <c r="AI2289" s="10"/>
    </row>
    <row r="2290" spans="28:35" ht="15" hidden="1" customHeight="1">
      <c r="AB2290" s="9"/>
      <c r="AC2290" s="9"/>
      <c r="AD2290" s="9"/>
      <c r="AF2290" s="10"/>
      <c r="AG2290" s="10"/>
      <c r="AH2290" s="10"/>
      <c r="AI2290" s="10"/>
    </row>
    <row r="2291" spans="28:35" ht="15" hidden="1" customHeight="1">
      <c r="AB2291" s="9"/>
      <c r="AC2291" s="9"/>
      <c r="AD2291" s="9"/>
      <c r="AF2291" s="10"/>
      <c r="AG2291" s="10"/>
      <c r="AH2291" s="10"/>
      <c r="AI2291" s="10"/>
    </row>
    <row r="2292" spans="28:35" ht="15" hidden="1" customHeight="1">
      <c r="AB2292" s="9"/>
      <c r="AC2292" s="9"/>
      <c r="AD2292" s="9"/>
      <c r="AF2292" s="10"/>
      <c r="AG2292" s="10"/>
      <c r="AH2292" s="10"/>
      <c r="AI2292" s="10"/>
    </row>
    <row r="2293" spans="28:35" ht="15" hidden="1" customHeight="1">
      <c r="AB2293" s="9"/>
      <c r="AC2293" s="9"/>
      <c r="AD2293" s="9"/>
      <c r="AF2293" s="10"/>
      <c r="AG2293" s="10"/>
      <c r="AH2293" s="10"/>
      <c r="AI2293" s="10"/>
    </row>
    <row r="2294" spans="28:35" ht="15" hidden="1" customHeight="1">
      <c r="AB2294" s="9"/>
      <c r="AC2294" s="9"/>
      <c r="AD2294" s="9"/>
      <c r="AF2294" s="10"/>
      <c r="AG2294" s="10"/>
      <c r="AH2294" s="10"/>
      <c r="AI2294" s="10"/>
    </row>
    <row r="2295" spans="28:35" ht="15" hidden="1" customHeight="1">
      <c r="AB2295" s="9"/>
      <c r="AC2295" s="9"/>
      <c r="AD2295" s="9"/>
      <c r="AF2295" s="10"/>
      <c r="AG2295" s="10"/>
      <c r="AH2295" s="10"/>
      <c r="AI2295" s="10"/>
    </row>
    <row r="2296" spans="28:35" ht="15" hidden="1" customHeight="1">
      <c r="AB2296" s="9"/>
      <c r="AC2296" s="9"/>
      <c r="AD2296" s="9"/>
      <c r="AF2296" s="10"/>
      <c r="AG2296" s="10"/>
      <c r="AH2296" s="10"/>
      <c r="AI2296" s="10"/>
    </row>
    <row r="2297" spans="28:35" ht="15" hidden="1" customHeight="1">
      <c r="AB2297" s="9"/>
      <c r="AC2297" s="9"/>
      <c r="AD2297" s="9"/>
      <c r="AF2297" s="10"/>
      <c r="AG2297" s="10"/>
      <c r="AH2297" s="10"/>
      <c r="AI2297" s="10"/>
    </row>
    <row r="2298" spans="28:35" ht="15" hidden="1" customHeight="1">
      <c r="AB2298" s="9"/>
      <c r="AC2298" s="9"/>
      <c r="AD2298" s="9"/>
      <c r="AF2298" s="10"/>
      <c r="AG2298" s="10"/>
      <c r="AH2298" s="10"/>
      <c r="AI2298" s="10"/>
    </row>
    <row r="2299" spans="28:35" ht="15" hidden="1" customHeight="1">
      <c r="AB2299" s="9"/>
      <c r="AC2299" s="9"/>
      <c r="AD2299" s="9"/>
      <c r="AF2299" s="10"/>
      <c r="AG2299" s="10"/>
      <c r="AH2299" s="10"/>
      <c r="AI2299" s="10"/>
    </row>
    <row r="2300" spans="28:35" ht="15" hidden="1" customHeight="1">
      <c r="AB2300" s="9"/>
      <c r="AC2300" s="9"/>
      <c r="AD2300" s="9"/>
      <c r="AF2300" s="10"/>
      <c r="AG2300" s="10"/>
      <c r="AH2300" s="10"/>
      <c r="AI2300" s="10"/>
    </row>
    <row r="2301" spans="28:35" ht="15" hidden="1" customHeight="1">
      <c r="AB2301" s="9"/>
      <c r="AC2301" s="9"/>
      <c r="AD2301" s="9"/>
      <c r="AF2301" s="10"/>
      <c r="AG2301" s="10"/>
      <c r="AH2301" s="10"/>
      <c r="AI2301" s="10"/>
    </row>
    <row r="2302" spans="28:35" ht="15" hidden="1" customHeight="1">
      <c r="AB2302" s="9"/>
      <c r="AC2302" s="9"/>
      <c r="AD2302" s="9"/>
      <c r="AF2302" s="10"/>
      <c r="AG2302" s="10"/>
      <c r="AH2302" s="10"/>
      <c r="AI2302" s="10"/>
    </row>
    <row r="2303" spans="28:35" ht="15" hidden="1" customHeight="1">
      <c r="AB2303" s="9"/>
      <c r="AC2303" s="9"/>
      <c r="AD2303" s="9"/>
      <c r="AF2303" s="10"/>
      <c r="AG2303" s="10"/>
      <c r="AH2303" s="10"/>
      <c r="AI2303" s="10"/>
    </row>
    <row r="2304" spans="28:35" ht="15" hidden="1" customHeight="1">
      <c r="AB2304" s="9"/>
      <c r="AC2304" s="9"/>
      <c r="AD2304" s="9"/>
      <c r="AF2304" s="10"/>
      <c r="AG2304" s="10"/>
      <c r="AH2304" s="10"/>
      <c r="AI2304" s="10"/>
    </row>
    <row r="2305" spans="28:35" ht="15" hidden="1" customHeight="1">
      <c r="AB2305" s="9"/>
      <c r="AC2305" s="9"/>
      <c r="AD2305" s="9"/>
      <c r="AF2305" s="10"/>
      <c r="AG2305" s="10"/>
      <c r="AH2305" s="10"/>
      <c r="AI2305" s="10"/>
    </row>
    <row r="2306" spans="28:35" ht="15" hidden="1" customHeight="1">
      <c r="AB2306" s="9"/>
      <c r="AC2306" s="9"/>
      <c r="AD2306" s="9"/>
      <c r="AF2306" s="10"/>
      <c r="AG2306" s="10"/>
      <c r="AH2306" s="10"/>
      <c r="AI2306" s="10"/>
    </row>
    <row r="2307" spans="28:35" ht="15" hidden="1" customHeight="1">
      <c r="AB2307" s="9"/>
      <c r="AC2307" s="9"/>
      <c r="AD2307" s="9"/>
      <c r="AF2307" s="10"/>
      <c r="AG2307" s="10"/>
      <c r="AH2307" s="10"/>
      <c r="AI2307" s="10"/>
    </row>
    <row r="2308" spans="28:35" ht="15" hidden="1" customHeight="1">
      <c r="AB2308" s="9"/>
      <c r="AC2308" s="9"/>
      <c r="AD2308" s="9"/>
      <c r="AF2308" s="10"/>
      <c r="AG2308" s="10"/>
      <c r="AH2308" s="10"/>
      <c r="AI2308" s="10"/>
    </row>
    <row r="2309" spans="28:35" ht="15" hidden="1" customHeight="1">
      <c r="AB2309" s="9"/>
      <c r="AC2309" s="9"/>
      <c r="AD2309" s="9"/>
      <c r="AF2309" s="10"/>
      <c r="AG2309" s="10"/>
      <c r="AH2309" s="10"/>
      <c r="AI2309" s="10"/>
    </row>
    <row r="2310" spans="28:35" ht="15" hidden="1" customHeight="1">
      <c r="AB2310" s="9"/>
      <c r="AC2310" s="9"/>
      <c r="AD2310" s="9"/>
      <c r="AF2310" s="10"/>
      <c r="AG2310" s="10"/>
      <c r="AH2310" s="10"/>
      <c r="AI2310" s="10"/>
    </row>
    <row r="2311" spans="28:35" ht="15" hidden="1" customHeight="1">
      <c r="AB2311" s="9"/>
      <c r="AC2311" s="9"/>
      <c r="AD2311" s="9"/>
      <c r="AF2311" s="10"/>
      <c r="AG2311" s="10"/>
      <c r="AH2311" s="10"/>
      <c r="AI2311" s="10"/>
    </row>
    <row r="2312" spans="28:35" ht="15" hidden="1" customHeight="1">
      <c r="AB2312" s="9"/>
      <c r="AC2312" s="9"/>
      <c r="AD2312" s="9"/>
      <c r="AF2312" s="10"/>
      <c r="AG2312" s="10"/>
      <c r="AH2312" s="10"/>
      <c r="AI2312" s="10"/>
    </row>
    <row r="2313" spans="28:35" ht="15" hidden="1" customHeight="1">
      <c r="AB2313" s="9"/>
      <c r="AC2313" s="9"/>
      <c r="AD2313" s="9"/>
      <c r="AF2313" s="10"/>
      <c r="AG2313" s="10"/>
      <c r="AH2313" s="10"/>
      <c r="AI2313" s="10"/>
    </row>
    <row r="2314" spans="28:35" ht="15" hidden="1" customHeight="1">
      <c r="AB2314" s="9"/>
      <c r="AC2314" s="9"/>
      <c r="AD2314" s="9"/>
      <c r="AF2314" s="10"/>
      <c r="AG2314" s="10"/>
      <c r="AH2314" s="10"/>
      <c r="AI2314" s="10"/>
    </row>
    <row r="2315" spans="28:35" ht="15" hidden="1" customHeight="1">
      <c r="AB2315" s="9"/>
      <c r="AC2315" s="9"/>
      <c r="AD2315" s="9"/>
      <c r="AF2315" s="10"/>
      <c r="AG2315" s="10"/>
      <c r="AH2315" s="10"/>
      <c r="AI2315" s="10"/>
    </row>
    <row r="2316" spans="28:35" ht="15" hidden="1" customHeight="1">
      <c r="AB2316" s="9"/>
      <c r="AC2316" s="9"/>
      <c r="AD2316" s="9"/>
      <c r="AF2316" s="10"/>
      <c r="AG2316" s="10"/>
      <c r="AH2316" s="10"/>
      <c r="AI2316" s="10"/>
    </row>
    <row r="2317" spans="28:35" ht="15" hidden="1" customHeight="1">
      <c r="AB2317" s="9"/>
      <c r="AC2317" s="9"/>
      <c r="AD2317" s="9"/>
      <c r="AF2317" s="10"/>
      <c r="AG2317" s="10"/>
      <c r="AH2317" s="10"/>
      <c r="AI2317" s="10"/>
    </row>
    <row r="2318" spans="28:35" ht="15" hidden="1" customHeight="1">
      <c r="AB2318" s="9"/>
      <c r="AC2318" s="9"/>
      <c r="AD2318" s="9"/>
      <c r="AF2318" s="10"/>
      <c r="AG2318" s="10"/>
      <c r="AH2318" s="10"/>
      <c r="AI2318" s="10"/>
    </row>
    <row r="2319" spans="28:35" ht="15" hidden="1" customHeight="1">
      <c r="AB2319" s="9"/>
      <c r="AC2319" s="9"/>
      <c r="AD2319" s="9"/>
      <c r="AF2319" s="10"/>
      <c r="AG2319" s="10"/>
      <c r="AH2319" s="10"/>
      <c r="AI2319" s="10"/>
    </row>
    <row r="2320" spans="28:35" ht="15" hidden="1" customHeight="1">
      <c r="AB2320" s="9"/>
      <c r="AC2320" s="9"/>
      <c r="AD2320" s="9"/>
      <c r="AF2320" s="10"/>
      <c r="AG2320" s="10"/>
      <c r="AH2320" s="10"/>
      <c r="AI2320" s="10"/>
    </row>
    <row r="2321" spans="28:35" ht="15" hidden="1" customHeight="1">
      <c r="AB2321" s="9"/>
      <c r="AC2321" s="9"/>
      <c r="AD2321" s="9"/>
      <c r="AF2321" s="10"/>
      <c r="AG2321" s="10"/>
      <c r="AH2321" s="10"/>
      <c r="AI2321" s="10"/>
    </row>
    <row r="2322" spans="28:35" ht="15" hidden="1" customHeight="1">
      <c r="AB2322" s="9"/>
      <c r="AC2322" s="9"/>
      <c r="AD2322" s="9"/>
      <c r="AF2322" s="10"/>
      <c r="AG2322" s="10"/>
      <c r="AH2322" s="10"/>
      <c r="AI2322" s="10"/>
    </row>
    <row r="2323" spans="28:35" ht="15" hidden="1" customHeight="1">
      <c r="AB2323" s="9"/>
      <c r="AC2323" s="9"/>
      <c r="AD2323" s="9"/>
      <c r="AF2323" s="10"/>
      <c r="AG2323" s="10"/>
      <c r="AH2323" s="10"/>
      <c r="AI2323" s="10"/>
    </row>
    <row r="2324" spans="28:35" ht="15" hidden="1" customHeight="1">
      <c r="AB2324" s="9"/>
      <c r="AC2324" s="9"/>
      <c r="AD2324" s="9"/>
      <c r="AF2324" s="10"/>
      <c r="AG2324" s="10"/>
      <c r="AH2324" s="10"/>
      <c r="AI2324" s="10"/>
    </row>
    <row r="2325" spans="28:35" ht="15" hidden="1" customHeight="1">
      <c r="AB2325" s="9"/>
      <c r="AC2325" s="9"/>
      <c r="AD2325" s="9"/>
      <c r="AF2325" s="10"/>
      <c r="AG2325" s="10"/>
      <c r="AH2325" s="10"/>
      <c r="AI2325" s="10"/>
    </row>
    <row r="2326" spans="28:35" ht="15" hidden="1" customHeight="1">
      <c r="AB2326" s="9"/>
      <c r="AC2326" s="9"/>
      <c r="AD2326" s="9"/>
      <c r="AF2326" s="10"/>
      <c r="AG2326" s="10"/>
      <c r="AH2326" s="10"/>
      <c r="AI2326" s="10"/>
    </row>
    <row r="2327" spans="28:35" ht="15" hidden="1" customHeight="1">
      <c r="AB2327" s="9"/>
      <c r="AC2327" s="9"/>
      <c r="AD2327" s="9"/>
      <c r="AF2327" s="10"/>
      <c r="AG2327" s="10"/>
      <c r="AH2327" s="10"/>
      <c r="AI2327" s="10"/>
    </row>
    <row r="2328" spans="28:35" ht="15" hidden="1" customHeight="1">
      <c r="AB2328" s="9"/>
      <c r="AC2328" s="9"/>
      <c r="AD2328" s="9"/>
      <c r="AF2328" s="10"/>
      <c r="AG2328" s="10"/>
      <c r="AH2328" s="10"/>
      <c r="AI2328" s="10"/>
    </row>
    <row r="2329" spans="28:35" ht="15" hidden="1" customHeight="1">
      <c r="AB2329" s="9"/>
      <c r="AC2329" s="9"/>
      <c r="AD2329" s="9"/>
      <c r="AF2329" s="10"/>
      <c r="AG2329" s="10"/>
      <c r="AH2329" s="10"/>
      <c r="AI2329" s="10"/>
    </row>
    <row r="2330" spans="28:35" ht="15" hidden="1" customHeight="1">
      <c r="AB2330" s="9"/>
      <c r="AC2330" s="9"/>
      <c r="AD2330" s="9"/>
      <c r="AF2330" s="10"/>
      <c r="AG2330" s="10"/>
      <c r="AH2330" s="10"/>
      <c r="AI2330" s="10"/>
    </row>
    <row r="2331" spans="28:35" ht="15" hidden="1" customHeight="1">
      <c r="AB2331" s="9"/>
      <c r="AC2331" s="9"/>
      <c r="AD2331" s="9"/>
      <c r="AF2331" s="10"/>
      <c r="AG2331" s="10"/>
      <c r="AH2331" s="10"/>
      <c r="AI2331" s="10"/>
    </row>
    <row r="2332" spans="28:35" ht="15" hidden="1" customHeight="1">
      <c r="AB2332" s="9"/>
      <c r="AC2332" s="9"/>
      <c r="AD2332" s="9"/>
      <c r="AF2332" s="10"/>
      <c r="AG2332" s="10"/>
      <c r="AH2332" s="10"/>
      <c r="AI2332" s="10"/>
    </row>
    <row r="2333" spans="28:35" ht="15" hidden="1" customHeight="1">
      <c r="AB2333" s="9"/>
      <c r="AC2333" s="9"/>
      <c r="AD2333" s="9"/>
      <c r="AF2333" s="10"/>
      <c r="AG2333" s="10"/>
      <c r="AH2333" s="10"/>
      <c r="AI2333" s="10"/>
    </row>
    <row r="2334" spans="28:35" ht="15" hidden="1" customHeight="1">
      <c r="AB2334" s="9"/>
      <c r="AC2334" s="9"/>
      <c r="AD2334" s="9"/>
      <c r="AF2334" s="10"/>
      <c r="AG2334" s="10"/>
      <c r="AH2334" s="10"/>
      <c r="AI2334" s="10"/>
    </row>
    <row r="2335" spans="28:35" ht="15" hidden="1" customHeight="1">
      <c r="AB2335" s="9"/>
      <c r="AC2335" s="9"/>
      <c r="AD2335" s="9"/>
      <c r="AF2335" s="10"/>
      <c r="AG2335" s="10"/>
      <c r="AH2335" s="10"/>
      <c r="AI2335" s="10"/>
    </row>
    <row r="2336" spans="28:35" ht="15" hidden="1" customHeight="1">
      <c r="AB2336" s="9"/>
      <c r="AC2336" s="9"/>
      <c r="AD2336" s="9"/>
      <c r="AF2336" s="10"/>
      <c r="AG2336" s="10"/>
      <c r="AH2336" s="10"/>
      <c r="AI2336" s="10"/>
    </row>
    <row r="2337" spans="28:35" ht="15" hidden="1" customHeight="1">
      <c r="AB2337" s="9"/>
      <c r="AC2337" s="9"/>
      <c r="AD2337" s="9"/>
      <c r="AF2337" s="10"/>
      <c r="AG2337" s="10"/>
      <c r="AH2337" s="10"/>
      <c r="AI2337" s="10"/>
    </row>
    <row r="2338" spans="28:35" ht="15" hidden="1" customHeight="1">
      <c r="AB2338" s="9"/>
      <c r="AC2338" s="9"/>
      <c r="AD2338" s="9"/>
      <c r="AF2338" s="10"/>
      <c r="AG2338" s="10"/>
      <c r="AH2338" s="10"/>
      <c r="AI2338" s="10"/>
    </row>
    <row r="2339" spans="28:35" ht="15" hidden="1" customHeight="1">
      <c r="AB2339" s="9"/>
      <c r="AC2339" s="9"/>
      <c r="AD2339" s="9"/>
      <c r="AF2339" s="10"/>
      <c r="AG2339" s="10"/>
      <c r="AH2339" s="10"/>
      <c r="AI2339" s="10"/>
    </row>
    <row r="2340" spans="28:35" ht="15" hidden="1" customHeight="1">
      <c r="AB2340" s="9"/>
      <c r="AC2340" s="9"/>
      <c r="AD2340" s="9"/>
      <c r="AF2340" s="10"/>
      <c r="AG2340" s="10"/>
      <c r="AH2340" s="10"/>
      <c r="AI2340" s="10"/>
    </row>
    <row r="2341" spans="28:35" ht="15" hidden="1" customHeight="1">
      <c r="AB2341" s="9"/>
      <c r="AC2341" s="9"/>
      <c r="AD2341" s="9"/>
      <c r="AF2341" s="10"/>
      <c r="AG2341" s="10"/>
      <c r="AH2341" s="10"/>
      <c r="AI2341" s="10"/>
    </row>
    <row r="2342" spans="28:35" ht="15" hidden="1" customHeight="1">
      <c r="AB2342" s="9"/>
      <c r="AC2342" s="9"/>
      <c r="AD2342" s="9"/>
      <c r="AF2342" s="10"/>
      <c r="AG2342" s="10"/>
      <c r="AH2342" s="10"/>
      <c r="AI2342" s="10"/>
    </row>
    <row r="2343" spans="28:35" ht="15" hidden="1" customHeight="1">
      <c r="AB2343" s="9"/>
      <c r="AC2343" s="9"/>
      <c r="AD2343" s="9"/>
      <c r="AF2343" s="10"/>
      <c r="AG2343" s="10"/>
      <c r="AH2343" s="10"/>
      <c r="AI2343" s="10"/>
    </row>
    <row r="2344" spans="28:35" ht="15" hidden="1" customHeight="1">
      <c r="AB2344" s="9"/>
      <c r="AC2344" s="9"/>
      <c r="AD2344" s="9"/>
      <c r="AF2344" s="10"/>
      <c r="AG2344" s="10"/>
      <c r="AH2344" s="10"/>
      <c r="AI2344" s="10"/>
    </row>
    <row r="2345" spans="28:35" ht="15" hidden="1" customHeight="1">
      <c r="AB2345" s="9"/>
      <c r="AC2345" s="9"/>
      <c r="AD2345" s="9"/>
      <c r="AF2345" s="10"/>
      <c r="AG2345" s="10"/>
      <c r="AH2345" s="10"/>
      <c r="AI2345" s="10"/>
    </row>
    <row r="2346" spans="28:35" ht="15" hidden="1" customHeight="1">
      <c r="AB2346" s="9"/>
      <c r="AC2346" s="9"/>
      <c r="AD2346" s="9"/>
      <c r="AF2346" s="10"/>
      <c r="AG2346" s="10"/>
      <c r="AH2346" s="10"/>
      <c r="AI2346" s="10"/>
    </row>
    <row r="2347" spans="28:35" ht="15" hidden="1" customHeight="1">
      <c r="AB2347" s="9"/>
      <c r="AC2347" s="9"/>
      <c r="AD2347" s="9"/>
      <c r="AF2347" s="10"/>
      <c r="AG2347" s="10"/>
      <c r="AH2347" s="10"/>
      <c r="AI2347" s="10"/>
    </row>
    <row r="2348" spans="28:35" ht="15" hidden="1" customHeight="1">
      <c r="AB2348" s="9"/>
      <c r="AC2348" s="9"/>
      <c r="AD2348" s="9"/>
      <c r="AF2348" s="10"/>
      <c r="AG2348" s="10"/>
      <c r="AH2348" s="10"/>
      <c r="AI2348" s="10"/>
    </row>
    <row r="2349" spans="28:35" ht="15" hidden="1" customHeight="1">
      <c r="AB2349" s="9"/>
      <c r="AC2349" s="9"/>
      <c r="AD2349" s="9"/>
      <c r="AF2349" s="10"/>
      <c r="AG2349" s="10"/>
      <c r="AH2349" s="10"/>
      <c r="AI2349" s="10"/>
    </row>
    <row r="2350" spans="28:35" ht="15" hidden="1" customHeight="1">
      <c r="AB2350" s="9"/>
      <c r="AC2350" s="9"/>
      <c r="AD2350" s="9"/>
      <c r="AF2350" s="10"/>
      <c r="AG2350" s="10"/>
      <c r="AH2350" s="10"/>
      <c r="AI2350" s="10"/>
    </row>
    <row r="2351" spans="28:35" ht="15" hidden="1" customHeight="1">
      <c r="AB2351" s="9"/>
      <c r="AC2351" s="9"/>
      <c r="AD2351" s="9"/>
      <c r="AF2351" s="10"/>
      <c r="AG2351" s="10"/>
      <c r="AH2351" s="10"/>
      <c r="AI2351" s="10"/>
    </row>
    <row r="2352" spans="28:35" ht="15" hidden="1" customHeight="1">
      <c r="AB2352" s="9"/>
      <c r="AC2352" s="9"/>
      <c r="AD2352" s="9"/>
      <c r="AF2352" s="10"/>
      <c r="AG2352" s="10"/>
      <c r="AH2352" s="10"/>
      <c r="AI2352" s="10"/>
    </row>
    <row r="2353" spans="28:35" ht="15" hidden="1" customHeight="1">
      <c r="AB2353" s="9"/>
      <c r="AC2353" s="9"/>
      <c r="AD2353" s="9"/>
      <c r="AF2353" s="10"/>
      <c r="AG2353" s="10"/>
      <c r="AH2353" s="10"/>
      <c r="AI2353" s="10"/>
    </row>
    <row r="2354" spans="28:35" ht="15" hidden="1" customHeight="1">
      <c r="AB2354" s="9"/>
      <c r="AC2354" s="9"/>
      <c r="AD2354" s="9"/>
      <c r="AF2354" s="10"/>
      <c r="AG2354" s="10"/>
      <c r="AH2354" s="10"/>
      <c r="AI2354" s="10"/>
    </row>
    <row r="2355" spans="28:35" ht="15" hidden="1" customHeight="1">
      <c r="AB2355" s="9"/>
      <c r="AC2355" s="9"/>
      <c r="AD2355" s="9"/>
      <c r="AF2355" s="10"/>
      <c r="AG2355" s="10"/>
      <c r="AH2355" s="10"/>
      <c r="AI2355" s="10"/>
    </row>
    <row r="2356" spans="28:35" ht="15" hidden="1" customHeight="1">
      <c r="AB2356" s="9"/>
      <c r="AC2356" s="9"/>
      <c r="AD2356" s="9"/>
      <c r="AF2356" s="10"/>
      <c r="AG2356" s="10"/>
      <c r="AH2356" s="10"/>
      <c r="AI2356" s="10"/>
    </row>
    <row r="2357" spans="28:35" ht="15" hidden="1" customHeight="1">
      <c r="AB2357" s="9"/>
      <c r="AC2357" s="9"/>
      <c r="AD2357" s="9"/>
      <c r="AF2357" s="10"/>
      <c r="AG2357" s="10"/>
      <c r="AH2357" s="10"/>
      <c r="AI2357" s="10"/>
    </row>
    <row r="2358" spans="28:35" ht="15" hidden="1" customHeight="1">
      <c r="AB2358" s="9"/>
      <c r="AC2358" s="9"/>
      <c r="AD2358" s="9"/>
      <c r="AF2358" s="10"/>
      <c r="AG2358" s="10"/>
      <c r="AH2358" s="10"/>
      <c r="AI2358" s="10"/>
    </row>
    <row r="2359" spans="28:35" ht="15" hidden="1" customHeight="1">
      <c r="AB2359" s="9"/>
      <c r="AC2359" s="9"/>
      <c r="AD2359" s="9"/>
      <c r="AF2359" s="10"/>
      <c r="AG2359" s="10"/>
      <c r="AH2359" s="10"/>
      <c r="AI2359" s="10"/>
    </row>
    <row r="2360" spans="28:35" ht="15" hidden="1" customHeight="1">
      <c r="AB2360" s="9"/>
      <c r="AC2360" s="9"/>
      <c r="AD2360" s="9"/>
      <c r="AF2360" s="10"/>
      <c r="AG2360" s="10"/>
      <c r="AH2360" s="10"/>
      <c r="AI2360" s="10"/>
    </row>
    <row r="2361" spans="28:35" ht="15" hidden="1" customHeight="1">
      <c r="AB2361" s="9"/>
      <c r="AC2361" s="9"/>
      <c r="AD2361" s="9"/>
      <c r="AF2361" s="10"/>
      <c r="AG2361" s="10"/>
      <c r="AH2361" s="10"/>
      <c r="AI2361" s="10"/>
    </row>
    <row r="2362" spans="28:35" ht="15" hidden="1" customHeight="1">
      <c r="AB2362" s="9"/>
      <c r="AC2362" s="9"/>
      <c r="AD2362" s="9"/>
      <c r="AF2362" s="10"/>
      <c r="AG2362" s="10"/>
      <c r="AH2362" s="10"/>
      <c r="AI2362" s="10"/>
    </row>
    <row r="2363" spans="28:35" ht="15" hidden="1" customHeight="1">
      <c r="AB2363" s="9"/>
      <c r="AC2363" s="9"/>
      <c r="AD2363" s="9"/>
      <c r="AF2363" s="10"/>
      <c r="AG2363" s="10"/>
      <c r="AH2363" s="10"/>
      <c r="AI2363" s="10"/>
    </row>
    <row r="2364" spans="28:35" ht="15" hidden="1" customHeight="1">
      <c r="AB2364" s="9"/>
      <c r="AC2364" s="9"/>
      <c r="AD2364" s="9"/>
      <c r="AF2364" s="10"/>
      <c r="AG2364" s="10"/>
      <c r="AH2364" s="10"/>
      <c r="AI2364" s="10"/>
    </row>
    <row r="2365" spans="28:35" ht="15" hidden="1" customHeight="1">
      <c r="AB2365" s="9"/>
      <c r="AC2365" s="9"/>
      <c r="AD2365" s="9"/>
      <c r="AF2365" s="10"/>
      <c r="AG2365" s="10"/>
      <c r="AH2365" s="10"/>
      <c r="AI2365" s="10"/>
    </row>
    <row r="2366" spans="28:35" ht="15" hidden="1" customHeight="1">
      <c r="AB2366" s="9"/>
      <c r="AC2366" s="9"/>
      <c r="AD2366" s="9"/>
      <c r="AF2366" s="10"/>
      <c r="AG2366" s="10"/>
      <c r="AH2366" s="10"/>
      <c r="AI2366" s="10"/>
    </row>
    <row r="2367" spans="28:35" ht="15" hidden="1" customHeight="1">
      <c r="AB2367" s="9"/>
      <c r="AC2367" s="9"/>
      <c r="AD2367" s="9"/>
      <c r="AF2367" s="10"/>
      <c r="AG2367" s="10"/>
      <c r="AH2367" s="10"/>
      <c r="AI2367" s="10"/>
    </row>
    <row r="2368" spans="28:35" ht="15" hidden="1" customHeight="1">
      <c r="AB2368" s="9"/>
      <c r="AC2368" s="9"/>
      <c r="AD2368" s="9"/>
      <c r="AF2368" s="10"/>
      <c r="AG2368" s="10"/>
      <c r="AH2368" s="10"/>
      <c r="AI2368" s="10"/>
    </row>
    <row r="2369" spans="28:35" ht="15" hidden="1" customHeight="1">
      <c r="AB2369" s="9"/>
      <c r="AC2369" s="9"/>
      <c r="AD2369" s="9"/>
      <c r="AF2369" s="10"/>
      <c r="AG2369" s="10"/>
      <c r="AH2369" s="10"/>
      <c r="AI2369" s="10"/>
    </row>
    <row r="2370" spans="28:35" ht="15" hidden="1" customHeight="1">
      <c r="AB2370" s="9"/>
      <c r="AC2370" s="9"/>
      <c r="AD2370" s="9"/>
      <c r="AF2370" s="10"/>
      <c r="AG2370" s="10"/>
      <c r="AH2370" s="10"/>
      <c r="AI2370" s="10"/>
    </row>
    <row r="2371" spans="28:35" ht="15" hidden="1" customHeight="1">
      <c r="AB2371" s="9"/>
      <c r="AC2371" s="9"/>
      <c r="AD2371" s="9"/>
      <c r="AF2371" s="10"/>
      <c r="AG2371" s="10"/>
      <c r="AH2371" s="10"/>
      <c r="AI2371" s="10"/>
    </row>
    <row r="2372" spans="28:35" ht="15" hidden="1" customHeight="1">
      <c r="AB2372" s="9"/>
      <c r="AC2372" s="9"/>
      <c r="AD2372" s="9"/>
      <c r="AF2372" s="10"/>
      <c r="AG2372" s="10"/>
      <c r="AH2372" s="10"/>
      <c r="AI2372" s="10"/>
    </row>
    <row r="2373" spans="28:35" ht="15" hidden="1" customHeight="1">
      <c r="AB2373" s="9"/>
      <c r="AC2373" s="9"/>
      <c r="AD2373" s="9"/>
      <c r="AF2373" s="10"/>
      <c r="AG2373" s="10"/>
      <c r="AH2373" s="10"/>
      <c r="AI2373" s="10"/>
    </row>
    <row r="2374" spans="28:35" ht="15" hidden="1" customHeight="1">
      <c r="AB2374" s="9"/>
      <c r="AC2374" s="9"/>
      <c r="AD2374" s="9"/>
      <c r="AF2374" s="10"/>
      <c r="AG2374" s="10"/>
      <c r="AH2374" s="10"/>
      <c r="AI2374" s="10"/>
    </row>
    <row r="2375" spans="28:35" ht="15" hidden="1" customHeight="1">
      <c r="AB2375" s="9"/>
      <c r="AC2375" s="9"/>
      <c r="AD2375" s="9"/>
      <c r="AF2375" s="10"/>
      <c r="AG2375" s="10"/>
      <c r="AH2375" s="10"/>
      <c r="AI2375" s="10"/>
    </row>
    <row r="2376" spans="28:35" ht="15" hidden="1" customHeight="1">
      <c r="AB2376" s="9"/>
      <c r="AC2376" s="9"/>
      <c r="AD2376" s="9"/>
      <c r="AF2376" s="10"/>
      <c r="AG2376" s="10"/>
      <c r="AH2376" s="10"/>
      <c r="AI2376" s="10"/>
    </row>
    <row r="2377" spans="28:35" ht="15" hidden="1" customHeight="1">
      <c r="AB2377" s="9"/>
      <c r="AC2377" s="9"/>
      <c r="AD2377" s="9"/>
      <c r="AF2377" s="10"/>
      <c r="AG2377" s="10"/>
      <c r="AH2377" s="10"/>
      <c r="AI2377" s="10"/>
    </row>
    <row r="2378" spans="28:35" ht="15" hidden="1" customHeight="1">
      <c r="AB2378" s="9"/>
      <c r="AC2378" s="9"/>
      <c r="AD2378" s="9"/>
      <c r="AF2378" s="10"/>
      <c r="AG2378" s="10"/>
      <c r="AH2378" s="10"/>
      <c r="AI2378" s="10"/>
    </row>
    <row r="2379" spans="28:35" ht="15" hidden="1" customHeight="1">
      <c r="AB2379" s="9"/>
      <c r="AC2379" s="9"/>
      <c r="AD2379" s="9"/>
      <c r="AF2379" s="10"/>
      <c r="AG2379" s="10"/>
      <c r="AH2379" s="10"/>
      <c r="AI2379" s="10"/>
    </row>
    <row r="2380" spans="28:35" ht="15" hidden="1" customHeight="1">
      <c r="AB2380" s="9"/>
      <c r="AC2380" s="9"/>
      <c r="AD2380" s="9"/>
      <c r="AF2380" s="10"/>
      <c r="AG2380" s="10"/>
      <c r="AH2380" s="10"/>
      <c r="AI2380" s="10"/>
    </row>
    <row r="2381" spans="28:35" ht="15" hidden="1" customHeight="1">
      <c r="AB2381" s="9"/>
      <c r="AC2381" s="9"/>
      <c r="AD2381" s="9"/>
      <c r="AF2381" s="10"/>
      <c r="AG2381" s="10"/>
      <c r="AH2381" s="10"/>
      <c r="AI2381" s="10"/>
    </row>
    <row r="2382" spans="28:35" ht="15" hidden="1" customHeight="1">
      <c r="AB2382" s="9"/>
      <c r="AC2382" s="9"/>
      <c r="AD2382" s="9"/>
      <c r="AF2382" s="10"/>
      <c r="AG2382" s="10"/>
      <c r="AH2382" s="10"/>
      <c r="AI2382" s="10"/>
    </row>
    <row r="2383" spans="28:35" ht="15" hidden="1" customHeight="1">
      <c r="AB2383" s="9"/>
      <c r="AC2383" s="9"/>
      <c r="AD2383" s="9"/>
      <c r="AF2383" s="10"/>
      <c r="AG2383" s="10"/>
      <c r="AH2383" s="10"/>
      <c r="AI2383" s="10"/>
    </row>
    <row r="2384" spans="28:35" ht="15" hidden="1" customHeight="1">
      <c r="AB2384" s="9"/>
      <c r="AC2384" s="9"/>
      <c r="AD2384" s="9"/>
      <c r="AF2384" s="10"/>
      <c r="AG2384" s="10"/>
      <c r="AH2384" s="10"/>
      <c r="AI2384" s="10"/>
    </row>
    <row r="2385" spans="28:35" ht="15" hidden="1" customHeight="1">
      <c r="AB2385" s="9"/>
      <c r="AC2385" s="9"/>
      <c r="AD2385" s="9"/>
      <c r="AF2385" s="10"/>
      <c r="AG2385" s="10"/>
      <c r="AH2385" s="10"/>
      <c r="AI2385" s="10"/>
    </row>
    <row r="2386" spans="28:35" ht="15" hidden="1" customHeight="1">
      <c r="AB2386" s="9"/>
      <c r="AC2386" s="9"/>
      <c r="AD2386" s="9"/>
      <c r="AF2386" s="10"/>
      <c r="AG2386" s="10"/>
      <c r="AH2386" s="10"/>
      <c r="AI2386" s="10"/>
    </row>
    <row r="2387" spans="28:35" ht="15" hidden="1" customHeight="1">
      <c r="AB2387" s="9"/>
      <c r="AC2387" s="9"/>
      <c r="AD2387" s="9"/>
      <c r="AF2387" s="10"/>
      <c r="AG2387" s="10"/>
      <c r="AH2387" s="10"/>
      <c r="AI2387" s="10"/>
    </row>
    <row r="2388" spans="28:35" ht="15" hidden="1" customHeight="1">
      <c r="AB2388" s="9"/>
      <c r="AC2388" s="9"/>
      <c r="AD2388" s="9"/>
      <c r="AF2388" s="10"/>
      <c r="AG2388" s="10"/>
      <c r="AH2388" s="10"/>
      <c r="AI2388" s="10"/>
    </row>
    <row r="2389" spans="28:35" ht="15" hidden="1" customHeight="1">
      <c r="AB2389" s="9"/>
      <c r="AC2389" s="9"/>
      <c r="AD2389" s="9"/>
      <c r="AF2389" s="10"/>
      <c r="AG2389" s="10"/>
      <c r="AH2389" s="10"/>
      <c r="AI2389" s="10"/>
    </row>
    <row r="2390" spans="28:35" ht="15" hidden="1" customHeight="1">
      <c r="AB2390" s="9"/>
      <c r="AC2390" s="9"/>
      <c r="AD2390" s="9"/>
      <c r="AF2390" s="10"/>
      <c r="AG2390" s="10"/>
      <c r="AH2390" s="10"/>
      <c r="AI2390" s="10"/>
    </row>
    <row r="2391" spans="28:35" ht="15" hidden="1" customHeight="1">
      <c r="AB2391" s="9"/>
      <c r="AC2391" s="9"/>
      <c r="AD2391" s="9"/>
      <c r="AF2391" s="10"/>
      <c r="AG2391" s="10"/>
      <c r="AH2391" s="10"/>
      <c r="AI2391" s="10"/>
    </row>
    <row r="2392" spans="28:35" ht="15" hidden="1" customHeight="1">
      <c r="AB2392" s="9"/>
      <c r="AC2392" s="9"/>
      <c r="AD2392" s="9"/>
      <c r="AF2392" s="10"/>
      <c r="AG2392" s="10"/>
      <c r="AH2392" s="10"/>
      <c r="AI2392" s="10"/>
    </row>
    <row r="2393" spans="28:35" ht="15" hidden="1" customHeight="1">
      <c r="AB2393" s="9"/>
      <c r="AC2393" s="9"/>
      <c r="AD2393" s="9"/>
      <c r="AF2393" s="10"/>
      <c r="AG2393" s="10"/>
      <c r="AH2393" s="10"/>
      <c r="AI2393" s="10"/>
    </row>
    <row r="2394" spans="28:35" ht="15" hidden="1" customHeight="1">
      <c r="AB2394" s="9"/>
      <c r="AC2394" s="9"/>
      <c r="AD2394" s="9"/>
      <c r="AF2394" s="10"/>
      <c r="AG2394" s="10"/>
      <c r="AH2394" s="10"/>
      <c r="AI2394" s="10"/>
    </row>
    <row r="2395" spans="28:35" ht="15" hidden="1" customHeight="1">
      <c r="AB2395" s="9"/>
      <c r="AC2395" s="9"/>
      <c r="AD2395" s="9"/>
      <c r="AF2395" s="10"/>
      <c r="AG2395" s="10"/>
      <c r="AH2395" s="10"/>
      <c r="AI2395" s="10"/>
    </row>
    <row r="2396" spans="28:35" ht="15" hidden="1" customHeight="1">
      <c r="AB2396" s="9"/>
      <c r="AC2396" s="9"/>
      <c r="AD2396" s="9"/>
      <c r="AF2396" s="10"/>
      <c r="AG2396" s="10"/>
      <c r="AH2396" s="10"/>
      <c r="AI2396" s="10"/>
    </row>
    <row r="2397" spans="28:35" ht="15" hidden="1" customHeight="1">
      <c r="AB2397" s="9"/>
      <c r="AC2397" s="9"/>
      <c r="AD2397" s="9"/>
      <c r="AF2397" s="10"/>
      <c r="AG2397" s="10"/>
      <c r="AH2397" s="10"/>
      <c r="AI2397" s="10"/>
    </row>
    <row r="2398" spans="28:35" ht="15" hidden="1" customHeight="1">
      <c r="AB2398" s="9"/>
      <c r="AC2398" s="9"/>
      <c r="AD2398" s="9"/>
      <c r="AF2398" s="10"/>
      <c r="AG2398" s="10"/>
      <c r="AH2398" s="10"/>
      <c r="AI2398" s="10"/>
    </row>
    <row r="2399" spans="28:35" ht="15" hidden="1" customHeight="1">
      <c r="AB2399" s="9"/>
      <c r="AC2399" s="9"/>
      <c r="AD2399" s="9"/>
      <c r="AF2399" s="10"/>
      <c r="AG2399" s="10"/>
      <c r="AH2399" s="10"/>
      <c r="AI2399" s="10"/>
    </row>
    <row r="2400" spans="28:35" ht="15" hidden="1" customHeight="1">
      <c r="AB2400" s="9"/>
      <c r="AC2400" s="9"/>
      <c r="AD2400" s="9"/>
      <c r="AF2400" s="10"/>
      <c r="AG2400" s="10"/>
      <c r="AH2400" s="10"/>
      <c r="AI2400" s="10"/>
    </row>
    <row r="2401" spans="28:35" ht="15" hidden="1" customHeight="1">
      <c r="AB2401" s="9"/>
      <c r="AC2401" s="9"/>
      <c r="AD2401" s="9"/>
      <c r="AF2401" s="10"/>
      <c r="AG2401" s="10"/>
      <c r="AH2401" s="10"/>
      <c r="AI2401" s="10"/>
    </row>
    <row r="2402" spans="28:35" ht="15" hidden="1" customHeight="1">
      <c r="AB2402" s="9"/>
      <c r="AC2402" s="9"/>
      <c r="AD2402" s="9"/>
      <c r="AF2402" s="10"/>
      <c r="AG2402" s="10"/>
      <c r="AH2402" s="10"/>
      <c r="AI2402" s="10"/>
    </row>
    <row r="2403" spans="28:35" ht="15" hidden="1" customHeight="1">
      <c r="AB2403" s="9"/>
      <c r="AC2403" s="9"/>
      <c r="AD2403" s="9"/>
      <c r="AF2403" s="10"/>
      <c r="AG2403" s="10"/>
      <c r="AH2403" s="10"/>
      <c r="AI2403" s="10"/>
    </row>
    <row r="2404" spans="28:35" ht="15" hidden="1" customHeight="1">
      <c r="AB2404" s="9"/>
      <c r="AC2404" s="9"/>
      <c r="AD2404" s="9"/>
      <c r="AF2404" s="10"/>
      <c r="AG2404" s="10"/>
      <c r="AH2404" s="10"/>
      <c r="AI2404" s="10"/>
    </row>
    <row r="2405" spans="28:35" ht="15" hidden="1" customHeight="1">
      <c r="AB2405" s="9"/>
      <c r="AC2405" s="9"/>
      <c r="AD2405" s="9"/>
      <c r="AF2405" s="10"/>
      <c r="AG2405" s="10"/>
      <c r="AH2405" s="10"/>
      <c r="AI2405" s="10"/>
    </row>
    <row r="2406" spans="28:35" ht="15" hidden="1" customHeight="1">
      <c r="AB2406" s="9"/>
      <c r="AC2406" s="9"/>
      <c r="AD2406" s="9"/>
      <c r="AF2406" s="10"/>
      <c r="AG2406" s="10"/>
      <c r="AH2406" s="10"/>
      <c r="AI2406" s="10"/>
    </row>
    <row r="2407" spans="28:35" ht="15" hidden="1" customHeight="1">
      <c r="AB2407" s="9"/>
      <c r="AC2407" s="9"/>
      <c r="AD2407" s="9"/>
      <c r="AF2407" s="10"/>
      <c r="AG2407" s="10"/>
      <c r="AH2407" s="10"/>
      <c r="AI2407" s="10"/>
    </row>
    <row r="2408" spans="28:35" ht="15" hidden="1" customHeight="1">
      <c r="AB2408" s="9"/>
      <c r="AC2408" s="9"/>
      <c r="AD2408" s="9"/>
      <c r="AF2408" s="10"/>
      <c r="AG2408" s="10"/>
      <c r="AH2408" s="10"/>
      <c r="AI2408" s="10"/>
    </row>
    <row r="2409" spans="28:35" ht="15" hidden="1" customHeight="1">
      <c r="AB2409" s="9"/>
      <c r="AC2409" s="9"/>
      <c r="AD2409" s="9"/>
      <c r="AF2409" s="10"/>
      <c r="AG2409" s="10"/>
      <c r="AH2409" s="10"/>
      <c r="AI2409" s="10"/>
    </row>
    <row r="2410" spans="28:35" ht="15" hidden="1" customHeight="1">
      <c r="AB2410" s="9"/>
      <c r="AC2410" s="9"/>
      <c r="AD2410" s="9"/>
      <c r="AF2410" s="10"/>
      <c r="AG2410" s="10"/>
      <c r="AH2410" s="10"/>
      <c r="AI2410" s="10"/>
    </row>
    <row r="2411" spans="28:35" ht="15" hidden="1" customHeight="1">
      <c r="AB2411" s="9"/>
      <c r="AC2411" s="9"/>
      <c r="AD2411" s="9"/>
      <c r="AF2411" s="10"/>
      <c r="AG2411" s="10"/>
      <c r="AH2411" s="10"/>
      <c r="AI2411" s="10"/>
    </row>
    <row r="2412" spans="28:35" ht="15" hidden="1" customHeight="1">
      <c r="AB2412" s="9"/>
      <c r="AC2412" s="9"/>
      <c r="AD2412" s="9"/>
      <c r="AF2412" s="10"/>
      <c r="AG2412" s="10"/>
      <c r="AH2412" s="10"/>
      <c r="AI2412" s="10"/>
    </row>
    <row r="2413" spans="28:35" ht="15" hidden="1" customHeight="1">
      <c r="AB2413" s="9"/>
      <c r="AC2413" s="9"/>
      <c r="AD2413" s="9"/>
      <c r="AF2413" s="10"/>
      <c r="AG2413" s="10"/>
      <c r="AH2413" s="10"/>
      <c r="AI2413" s="10"/>
    </row>
    <row r="2414" spans="28:35" ht="15" hidden="1" customHeight="1">
      <c r="AB2414" s="9"/>
      <c r="AC2414" s="9"/>
      <c r="AD2414" s="9"/>
      <c r="AF2414" s="10"/>
      <c r="AG2414" s="10"/>
      <c r="AH2414" s="10"/>
      <c r="AI2414" s="10"/>
    </row>
    <row r="2415" spans="28:35" ht="15" hidden="1" customHeight="1">
      <c r="AB2415" s="9"/>
      <c r="AC2415" s="9"/>
      <c r="AD2415" s="9"/>
      <c r="AF2415" s="10"/>
      <c r="AG2415" s="10"/>
      <c r="AH2415" s="10"/>
      <c r="AI2415" s="10"/>
    </row>
    <row r="2416" spans="28:35" ht="15" hidden="1" customHeight="1">
      <c r="AB2416" s="9"/>
      <c r="AC2416" s="9"/>
      <c r="AD2416" s="9"/>
      <c r="AF2416" s="10"/>
      <c r="AG2416" s="10"/>
      <c r="AH2416" s="10"/>
      <c r="AI2416" s="10"/>
    </row>
    <row r="2417" spans="28:35" ht="15" hidden="1" customHeight="1">
      <c r="AB2417" s="9"/>
      <c r="AC2417" s="9"/>
      <c r="AD2417" s="9"/>
      <c r="AF2417" s="10"/>
      <c r="AG2417" s="10"/>
      <c r="AH2417" s="10"/>
      <c r="AI2417" s="10"/>
    </row>
    <row r="2418" spans="28:35" ht="15" hidden="1" customHeight="1">
      <c r="AB2418" s="9"/>
      <c r="AC2418" s="9"/>
      <c r="AD2418" s="9"/>
      <c r="AF2418" s="10"/>
      <c r="AG2418" s="10"/>
      <c r="AH2418" s="10"/>
      <c r="AI2418" s="10"/>
    </row>
    <row r="2419" spans="28:35" ht="15" hidden="1" customHeight="1">
      <c r="AB2419" s="9"/>
      <c r="AC2419" s="9"/>
      <c r="AD2419" s="9"/>
      <c r="AF2419" s="10"/>
      <c r="AG2419" s="10"/>
      <c r="AH2419" s="10"/>
      <c r="AI2419" s="10"/>
    </row>
    <row r="2420" spans="28:35" ht="15" hidden="1" customHeight="1">
      <c r="AB2420" s="9"/>
      <c r="AC2420" s="9"/>
      <c r="AD2420" s="9"/>
      <c r="AF2420" s="10"/>
      <c r="AG2420" s="10"/>
      <c r="AH2420" s="10"/>
      <c r="AI2420" s="10"/>
    </row>
    <row r="2421" spans="28:35" ht="15" hidden="1" customHeight="1">
      <c r="AB2421" s="9"/>
      <c r="AC2421" s="9"/>
      <c r="AD2421" s="9"/>
      <c r="AF2421" s="10"/>
      <c r="AG2421" s="10"/>
      <c r="AH2421" s="10"/>
      <c r="AI2421" s="10"/>
    </row>
    <row r="2422" spans="28:35" ht="15" hidden="1" customHeight="1">
      <c r="AB2422" s="9"/>
      <c r="AC2422" s="9"/>
      <c r="AD2422" s="9"/>
      <c r="AF2422" s="10"/>
      <c r="AG2422" s="10"/>
      <c r="AH2422" s="10"/>
      <c r="AI2422" s="10"/>
    </row>
    <row r="2423" spans="28:35" ht="15" hidden="1" customHeight="1">
      <c r="AB2423" s="9"/>
      <c r="AC2423" s="9"/>
      <c r="AD2423" s="9"/>
      <c r="AF2423" s="10"/>
      <c r="AG2423" s="10"/>
      <c r="AH2423" s="10"/>
      <c r="AI2423" s="10"/>
    </row>
    <row r="2424" spans="28:35" ht="15" hidden="1" customHeight="1">
      <c r="AB2424" s="9"/>
      <c r="AC2424" s="9"/>
      <c r="AD2424" s="9"/>
      <c r="AF2424" s="10"/>
      <c r="AG2424" s="10"/>
      <c r="AH2424" s="10"/>
      <c r="AI2424" s="10"/>
    </row>
    <row r="2425" spans="28:35" ht="15" hidden="1" customHeight="1">
      <c r="AB2425" s="9"/>
      <c r="AC2425" s="9"/>
      <c r="AD2425" s="9"/>
      <c r="AF2425" s="10"/>
      <c r="AG2425" s="10"/>
      <c r="AH2425" s="10"/>
      <c r="AI2425" s="10"/>
    </row>
    <row r="2426" spans="28:35" ht="15" hidden="1" customHeight="1">
      <c r="AB2426" s="9"/>
      <c r="AC2426" s="9"/>
      <c r="AD2426" s="9"/>
      <c r="AF2426" s="10"/>
      <c r="AG2426" s="10"/>
      <c r="AH2426" s="10"/>
      <c r="AI2426" s="10"/>
    </row>
    <row r="2427" spans="28:35" ht="15" hidden="1" customHeight="1">
      <c r="AB2427" s="9"/>
      <c r="AC2427" s="9"/>
      <c r="AD2427" s="9"/>
      <c r="AF2427" s="10"/>
      <c r="AG2427" s="10"/>
      <c r="AH2427" s="10"/>
      <c r="AI2427" s="10"/>
    </row>
    <row r="2428" spans="28:35" ht="15" hidden="1" customHeight="1">
      <c r="AB2428" s="9"/>
      <c r="AC2428" s="9"/>
      <c r="AD2428" s="9"/>
      <c r="AF2428" s="10"/>
      <c r="AG2428" s="10"/>
      <c r="AH2428" s="10"/>
      <c r="AI2428" s="10"/>
    </row>
    <row r="2429" spans="28:35" ht="15" hidden="1" customHeight="1">
      <c r="AB2429" s="9"/>
      <c r="AC2429" s="9"/>
      <c r="AD2429" s="9"/>
      <c r="AF2429" s="10"/>
      <c r="AG2429" s="10"/>
      <c r="AH2429" s="10"/>
      <c r="AI2429" s="10"/>
    </row>
    <row r="2430" spans="28:35" ht="15" hidden="1" customHeight="1">
      <c r="AB2430" s="9"/>
      <c r="AC2430" s="9"/>
      <c r="AD2430" s="9"/>
      <c r="AF2430" s="10"/>
      <c r="AG2430" s="10"/>
      <c r="AH2430" s="10"/>
      <c r="AI2430" s="10"/>
    </row>
    <row r="2431" spans="28:35" ht="15" hidden="1" customHeight="1">
      <c r="AB2431" s="9"/>
      <c r="AC2431" s="9"/>
      <c r="AD2431" s="9"/>
      <c r="AF2431" s="10"/>
      <c r="AG2431" s="10"/>
      <c r="AH2431" s="10"/>
      <c r="AI2431" s="10"/>
    </row>
    <row r="2432" spans="28:35" ht="15" hidden="1" customHeight="1">
      <c r="AB2432" s="9"/>
      <c r="AC2432" s="9"/>
      <c r="AD2432" s="9"/>
      <c r="AF2432" s="10"/>
      <c r="AG2432" s="10"/>
      <c r="AH2432" s="10"/>
      <c r="AI2432" s="10"/>
    </row>
    <row r="2433" spans="28:35" ht="15" hidden="1" customHeight="1">
      <c r="AB2433" s="9"/>
      <c r="AC2433" s="9"/>
      <c r="AD2433" s="9"/>
      <c r="AF2433" s="10"/>
      <c r="AG2433" s="10"/>
      <c r="AH2433" s="10"/>
      <c r="AI2433" s="10"/>
    </row>
    <row r="2434" spans="28:35" ht="15" hidden="1" customHeight="1">
      <c r="AB2434" s="9"/>
      <c r="AC2434" s="9"/>
      <c r="AD2434" s="9"/>
      <c r="AF2434" s="10"/>
      <c r="AG2434" s="10"/>
      <c r="AH2434" s="10"/>
      <c r="AI2434" s="10"/>
    </row>
    <row r="2435" spans="28:35" ht="15" hidden="1" customHeight="1">
      <c r="AB2435" s="9"/>
      <c r="AC2435" s="9"/>
      <c r="AD2435" s="9"/>
      <c r="AF2435" s="10"/>
      <c r="AG2435" s="10"/>
      <c r="AH2435" s="10"/>
      <c r="AI2435" s="10"/>
    </row>
    <row r="2436" spans="28:35" ht="15" hidden="1" customHeight="1">
      <c r="AB2436" s="9"/>
      <c r="AC2436" s="9"/>
      <c r="AD2436" s="9"/>
      <c r="AF2436" s="10"/>
      <c r="AG2436" s="10"/>
      <c r="AH2436" s="10"/>
      <c r="AI2436" s="10"/>
    </row>
    <row r="2437" spans="28:35" ht="15" hidden="1" customHeight="1">
      <c r="AB2437" s="9"/>
      <c r="AC2437" s="9"/>
      <c r="AD2437" s="9"/>
      <c r="AF2437" s="10"/>
      <c r="AG2437" s="10"/>
      <c r="AH2437" s="10"/>
      <c r="AI2437" s="10"/>
    </row>
    <row r="2438" spans="28:35" ht="15" hidden="1" customHeight="1">
      <c r="AB2438" s="9"/>
      <c r="AC2438" s="9"/>
      <c r="AD2438" s="9"/>
      <c r="AF2438" s="10"/>
      <c r="AG2438" s="10"/>
      <c r="AH2438" s="10"/>
      <c r="AI2438" s="10"/>
    </row>
    <row r="2439" spans="28:35" ht="15" hidden="1" customHeight="1">
      <c r="AB2439" s="9"/>
      <c r="AC2439" s="9"/>
      <c r="AD2439" s="9"/>
      <c r="AF2439" s="10"/>
      <c r="AG2439" s="10"/>
      <c r="AH2439" s="10"/>
      <c r="AI2439" s="10"/>
    </row>
    <row r="2440" spans="28:35" ht="15" hidden="1" customHeight="1">
      <c r="AB2440" s="9"/>
      <c r="AC2440" s="9"/>
      <c r="AD2440" s="9"/>
      <c r="AF2440" s="10"/>
      <c r="AG2440" s="10"/>
      <c r="AH2440" s="10"/>
      <c r="AI2440" s="10"/>
    </row>
    <row r="2441" spans="28:35" ht="15" hidden="1" customHeight="1">
      <c r="AB2441" s="9"/>
      <c r="AC2441" s="9"/>
      <c r="AD2441" s="9"/>
      <c r="AF2441" s="10"/>
      <c r="AG2441" s="10"/>
      <c r="AH2441" s="10"/>
      <c r="AI2441" s="10"/>
    </row>
    <row r="2442" spans="28:35" ht="15" hidden="1" customHeight="1">
      <c r="AB2442" s="9"/>
      <c r="AC2442" s="9"/>
      <c r="AD2442" s="9"/>
      <c r="AF2442" s="10"/>
      <c r="AG2442" s="10"/>
      <c r="AH2442" s="10"/>
      <c r="AI2442" s="10"/>
    </row>
    <row r="2443" spans="28:35" ht="15" hidden="1" customHeight="1">
      <c r="AB2443" s="9"/>
      <c r="AC2443" s="9"/>
      <c r="AD2443" s="9"/>
      <c r="AF2443" s="10"/>
      <c r="AG2443" s="10"/>
      <c r="AH2443" s="10"/>
      <c r="AI2443" s="10"/>
    </row>
    <row r="2444" spans="28:35" ht="15" hidden="1" customHeight="1">
      <c r="AB2444" s="9"/>
      <c r="AC2444" s="9"/>
      <c r="AD2444" s="9"/>
      <c r="AF2444" s="10"/>
      <c r="AG2444" s="10"/>
      <c r="AH2444" s="10"/>
      <c r="AI2444" s="10"/>
    </row>
    <row r="2445" spans="28:35" ht="15" hidden="1" customHeight="1">
      <c r="AB2445" s="9"/>
      <c r="AC2445" s="9"/>
      <c r="AD2445" s="9"/>
      <c r="AF2445" s="10"/>
      <c r="AG2445" s="10"/>
      <c r="AH2445" s="10"/>
      <c r="AI2445" s="10"/>
    </row>
    <row r="2446" spans="28:35" ht="15" hidden="1" customHeight="1">
      <c r="AB2446" s="9"/>
      <c r="AC2446" s="9"/>
      <c r="AD2446" s="9"/>
      <c r="AF2446" s="10"/>
      <c r="AG2446" s="10"/>
      <c r="AH2446" s="10"/>
      <c r="AI2446" s="10"/>
    </row>
    <row r="2447" spans="28:35" ht="15" hidden="1" customHeight="1">
      <c r="AB2447" s="9"/>
      <c r="AC2447" s="9"/>
      <c r="AD2447" s="9"/>
      <c r="AF2447" s="10"/>
      <c r="AG2447" s="10"/>
      <c r="AH2447" s="10"/>
      <c r="AI2447" s="10"/>
    </row>
    <row r="2448" spans="28:35" ht="15" hidden="1" customHeight="1">
      <c r="AB2448" s="9"/>
      <c r="AC2448" s="9"/>
      <c r="AD2448" s="9"/>
      <c r="AF2448" s="10"/>
      <c r="AG2448" s="10"/>
      <c r="AH2448" s="10"/>
      <c r="AI2448" s="10"/>
    </row>
    <row r="2449" spans="28:35" ht="15" hidden="1" customHeight="1">
      <c r="AB2449" s="9"/>
      <c r="AC2449" s="9"/>
      <c r="AD2449" s="9"/>
      <c r="AF2449" s="10"/>
      <c r="AG2449" s="10"/>
      <c r="AH2449" s="10"/>
      <c r="AI2449" s="10"/>
    </row>
    <row r="2450" spans="28:35" ht="15" hidden="1" customHeight="1">
      <c r="AB2450" s="9"/>
      <c r="AC2450" s="9"/>
      <c r="AD2450" s="9"/>
      <c r="AF2450" s="10"/>
      <c r="AG2450" s="10"/>
      <c r="AH2450" s="10"/>
      <c r="AI2450" s="10"/>
    </row>
    <row r="2451" spans="28:35" ht="15" hidden="1" customHeight="1">
      <c r="AB2451" s="9"/>
      <c r="AC2451" s="9"/>
      <c r="AD2451" s="9"/>
      <c r="AF2451" s="10"/>
      <c r="AG2451" s="10"/>
      <c r="AH2451" s="10"/>
      <c r="AI2451" s="10"/>
    </row>
    <row r="2452" spans="28:35" ht="15" hidden="1" customHeight="1">
      <c r="AB2452" s="9"/>
      <c r="AC2452" s="9"/>
      <c r="AD2452" s="9"/>
      <c r="AF2452" s="10"/>
      <c r="AG2452" s="10"/>
      <c r="AH2452" s="10"/>
      <c r="AI2452" s="10"/>
    </row>
    <row r="2453" spans="28:35" ht="15" hidden="1" customHeight="1">
      <c r="AB2453" s="9"/>
      <c r="AC2453" s="9"/>
      <c r="AD2453" s="9"/>
      <c r="AF2453" s="10"/>
      <c r="AG2453" s="10"/>
      <c r="AH2453" s="10"/>
      <c r="AI2453" s="10"/>
    </row>
    <row r="2454" spans="28:35" ht="15" hidden="1" customHeight="1">
      <c r="AB2454" s="9"/>
      <c r="AC2454" s="9"/>
      <c r="AD2454" s="9"/>
      <c r="AF2454" s="10"/>
      <c r="AG2454" s="10"/>
      <c r="AH2454" s="10"/>
      <c r="AI2454" s="10"/>
    </row>
    <row r="2455" spans="28:35" ht="15" hidden="1" customHeight="1">
      <c r="AB2455" s="9"/>
      <c r="AC2455" s="9"/>
      <c r="AD2455" s="9"/>
      <c r="AF2455" s="10"/>
      <c r="AG2455" s="10"/>
      <c r="AH2455" s="10"/>
      <c r="AI2455" s="10"/>
    </row>
    <row r="2456" spans="28:35" ht="15" hidden="1" customHeight="1">
      <c r="AB2456" s="9"/>
      <c r="AC2456" s="9"/>
      <c r="AD2456" s="9"/>
      <c r="AF2456" s="10"/>
      <c r="AG2456" s="10"/>
      <c r="AH2456" s="10"/>
      <c r="AI2456" s="10"/>
    </row>
    <row r="2457" spans="28:35" ht="15" hidden="1" customHeight="1">
      <c r="AB2457" s="9"/>
      <c r="AC2457" s="9"/>
      <c r="AD2457" s="9"/>
      <c r="AF2457" s="10"/>
      <c r="AG2457" s="10"/>
      <c r="AH2457" s="10"/>
      <c r="AI2457" s="10"/>
    </row>
    <row r="2458" spans="28:35" ht="15" hidden="1" customHeight="1">
      <c r="AB2458" s="9"/>
      <c r="AC2458" s="9"/>
      <c r="AD2458" s="9"/>
      <c r="AF2458" s="10"/>
      <c r="AG2458" s="10"/>
      <c r="AH2458" s="10"/>
      <c r="AI2458" s="10"/>
    </row>
    <row r="2459" spans="28:35" ht="15" hidden="1" customHeight="1">
      <c r="AB2459" s="9"/>
      <c r="AC2459" s="9"/>
      <c r="AD2459" s="9"/>
      <c r="AF2459" s="10"/>
      <c r="AG2459" s="10"/>
      <c r="AH2459" s="10"/>
      <c r="AI2459" s="10"/>
    </row>
    <row r="2460" spans="28:35" ht="15" hidden="1" customHeight="1">
      <c r="AB2460" s="9"/>
      <c r="AC2460" s="9"/>
      <c r="AD2460" s="9"/>
      <c r="AF2460" s="10"/>
      <c r="AG2460" s="10"/>
      <c r="AH2460" s="10"/>
      <c r="AI2460" s="10"/>
    </row>
    <row r="2461" spans="28:35" ht="15" hidden="1" customHeight="1">
      <c r="AB2461" s="9"/>
      <c r="AC2461" s="9"/>
      <c r="AD2461" s="9"/>
      <c r="AF2461" s="10"/>
      <c r="AG2461" s="10"/>
      <c r="AH2461" s="10"/>
      <c r="AI2461" s="10"/>
    </row>
    <row r="2462" spans="28:35" ht="15" hidden="1" customHeight="1">
      <c r="AB2462" s="9"/>
      <c r="AC2462" s="9"/>
      <c r="AD2462" s="9"/>
      <c r="AF2462" s="10"/>
      <c r="AG2462" s="10"/>
      <c r="AH2462" s="10"/>
      <c r="AI2462" s="10"/>
    </row>
    <row r="2463" spans="28:35" ht="15" hidden="1" customHeight="1">
      <c r="AB2463" s="9"/>
      <c r="AC2463" s="9"/>
      <c r="AD2463" s="9"/>
      <c r="AF2463" s="10"/>
      <c r="AG2463" s="10"/>
      <c r="AH2463" s="10"/>
      <c r="AI2463" s="10"/>
    </row>
    <row r="2464" spans="28:35" ht="15" hidden="1" customHeight="1">
      <c r="AB2464" s="9"/>
      <c r="AC2464" s="9"/>
      <c r="AD2464" s="9"/>
      <c r="AF2464" s="10"/>
      <c r="AG2464" s="10"/>
      <c r="AH2464" s="10"/>
      <c r="AI2464" s="10"/>
    </row>
    <row r="2465" spans="28:35" ht="15" hidden="1" customHeight="1">
      <c r="AB2465" s="9"/>
      <c r="AC2465" s="9"/>
      <c r="AD2465" s="9"/>
      <c r="AF2465" s="10"/>
      <c r="AG2465" s="10"/>
      <c r="AH2465" s="10"/>
      <c r="AI2465" s="10"/>
    </row>
    <row r="2466" spans="28:35" ht="15" hidden="1" customHeight="1">
      <c r="AB2466" s="9"/>
      <c r="AC2466" s="9"/>
      <c r="AD2466" s="9"/>
      <c r="AF2466" s="10"/>
      <c r="AG2466" s="10"/>
      <c r="AH2466" s="10"/>
      <c r="AI2466" s="10"/>
    </row>
    <row r="2467" spans="28:35" ht="15" hidden="1" customHeight="1">
      <c r="AB2467" s="9"/>
      <c r="AC2467" s="9"/>
      <c r="AD2467" s="9"/>
      <c r="AF2467" s="10"/>
      <c r="AG2467" s="10"/>
      <c r="AH2467" s="10"/>
      <c r="AI2467" s="10"/>
    </row>
    <row r="2468" spans="28:35" ht="15" hidden="1" customHeight="1">
      <c r="AB2468" s="9"/>
      <c r="AC2468" s="9"/>
      <c r="AD2468" s="9"/>
      <c r="AF2468" s="10"/>
      <c r="AG2468" s="10"/>
      <c r="AH2468" s="10"/>
      <c r="AI2468" s="10"/>
    </row>
    <row r="2469" spans="28:35" ht="15" hidden="1" customHeight="1">
      <c r="AB2469" s="9"/>
      <c r="AC2469" s="9"/>
      <c r="AD2469" s="9"/>
      <c r="AF2469" s="10"/>
      <c r="AG2469" s="10"/>
      <c r="AH2469" s="10"/>
      <c r="AI2469" s="10"/>
    </row>
    <row r="2470" spans="28:35" ht="15" hidden="1" customHeight="1">
      <c r="AB2470" s="9"/>
      <c r="AC2470" s="9"/>
      <c r="AD2470" s="9"/>
      <c r="AF2470" s="10"/>
      <c r="AG2470" s="10"/>
      <c r="AH2470" s="10"/>
      <c r="AI2470" s="10"/>
    </row>
    <row r="2471" spans="28:35" ht="15" hidden="1" customHeight="1">
      <c r="AB2471" s="9"/>
      <c r="AC2471" s="9"/>
      <c r="AD2471" s="9"/>
      <c r="AF2471" s="10"/>
      <c r="AG2471" s="10"/>
      <c r="AH2471" s="10"/>
      <c r="AI2471" s="10"/>
    </row>
    <row r="2472" spans="28:35" ht="15" hidden="1" customHeight="1">
      <c r="AB2472" s="9"/>
      <c r="AC2472" s="9"/>
      <c r="AD2472" s="9"/>
      <c r="AF2472" s="10"/>
      <c r="AG2472" s="10"/>
      <c r="AH2472" s="10"/>
      <c r="AI2472" s="10"/>
    </row>
    <row r="2473" spans="28:35" ht="15" hidden="1" customHeight="1">
      <c r="AB2473" s="9"/>
      <c r="AC2473" s="9"/>
      <c r="AD2473" s="9"/>
      <c r="AF2473" s="10"/>
      <c r="AG2473" s="10"/>
      <c r="AH2473" s="10"/>
      <c r="AI2473" s="10"/>
    </row>
    <row r="2474" spans="28:35" ht="15" hidden="1" customHeight="1">
      <c r="AB2474" s="9"/>
      <c r="AC2474" s="9"/>
      <c r="AD2474" s="9"/>
      <c r="AF2474" s="10"/>
      <c r="AG2474" s="10"/>
      <c r="AH2474" s="10"/>
      <c r="AI2474" s="10"/>
    </row>
    <row r="2475" spans="28:35" ht="15" hidden="1" customHeight="1">
      <c r="AB2475" s="9"/>
      <c r="AC2475" s="9"/>
      <c r="AD2475" s="9"/>
      <c r="AF2475" s="10"/>
      <c r="AG2475" s="10"/>
      <c r="AH2475" s="10"/>
      <c r="AI2475" s="10"/>
    </row>
    <row r="2476" spans="28:35" ht="15" hidden="1" customHeight="1">
      <c r="AB2476" s="9"/>
      <c r="AC2476" s="9"/>
      <c r="AD2476" s="9"/>
      <c r="AF2476" s="10"/>
      <c r="AG2476" s="10"/>
      <c r="AH2476" s="10"/>
      <c r="AI2476" s="10"/>
    </row>
    <row r="2477" spans="28:35" ht="15" hidden="1" customHeight="1">
      <c r="AB2477" s="9"/>
      <c r="AC2477" s="9"/>
      <c r="AD2477" s="9"/>
      <c r="AF2477" s="10"/>
      <c r="AG2477" s="10"/>
      <c r="AH2477" s="10"/>
      <c r="AI2477" s="10"/>
    </row>
    <row r="2478" spans="28:35" ht="15" hidden="1" customHeight="1">
      <c r="AB2478" s="9"/>
      <c r="AC2478" s="9"/>
      <c r="AD2478" s="9"/>
      <c r="AF2478" s="10"/>
      <c r="AG2478" s="10"/>
      <c r="AH2478" s="10"/>
      <c r="AI2478" s="10"/>
    </row>
    <row r="2479" spans="28:35" ht="15" hidden="1" customHeight="1">
      <c r="AB2479" s="9"/>
      <c r="AC2479" s="9"/>
      <c r="AD2479" s="9"/>
      <c r="AF2479" s="10"/>
      <c r="AG2479" s="10"/>
      <c r="AH2479" s="10"/>
      <c r="AI2479" s="10"/>
    </row>
    <row r="2480" spans="28:35" ht="15" hidden="1" customHeight="1">
      <c r="AB2480" s="9"/>
      <c r="AC2480" s="9"/>
      <c r="AD2480" s="9"/>
      <c r="AF2480" s="10"/>
      <c r="AG2480" s="10"/>
      <c r="AH2480" s="10"/>
      <c r="AI2480" s="10"/>
    </row>
    <row r="2481" spans="28:35" ht="15" hidden="1" customHeight="1">
      <c r="AB2481" s="9"/>
      <c r="AC2481" s="9"/>
      <c r="AD2481" s="9"/>
      <c r="AF2481" s="10"/>
      <c r="AG2481" s="10"/>
      <c r="AH2481" s="10"/>
      <c r="AI2481" s="10"/>
    </row>
    <row r="2482" spans="28:35" ht="15" hidden="1" customHeight="1">
      <c r="AB2482" s="9"/>
      <c r="AC2482" s="9"/>
      <c r="AD2482" s="9"/>
      <c r="AF2482" s="10"/>
      <c r="AG2482" s="10"/>
      <c r="AH2482" s="10"/>
      <c r="AI2482" s="10"/>
    </row>
    <row r="2483" spans="28:35" ht="15" hidden="1" customHeight="1">
      <c r="AB2483" s="9"/>
      <c r="AC2483" s="9"/>
      <c r="AD2483" s="9"/>
      <c r="AF2483" s="10"/>
      <c r="AG2483" s="10"/>
      <c r="AH2483" s="10"/>
      <c r="AI2483" s="10"/>
    </row>
    <row r="2484" spans="28:35" ht="15" hidden="1" customHeight="1">
      <c r="AB2484" s="9"/>
      <c r="AC2484" s="9"/>
      <c r="AD2484" s="9"/>
      <c r="AF2484" s="10"/>
      <c r="AG2484" s="10"/>
      <c r="AH2484" s="10"/>
      <c r="AI2484" s="10"/>
    </row>
    <row r="2485" spans="28:35" ht="15" hidden="1" customHeight="1">
      <c r="AB2485" s="9"/>
      <c r="AC2485" s="9"/>
      <c r="AD2485" s="9"/>
      <c r="AF2485" s="10"/>
      <c r="AG2485" s="10"/>
      <c r="AH2485" s="10"/>
      <c r="AI2485" s="10"/>
    </row>
    <row r="2486" spans="28:35" ht="15" hidden="1" customHeight="1">
      <c r="AB2486" s="9"/>
      <c r="AC2486" s="9"/>
      <c r="AD2486" s="9"/>
      <c r="AF2486" s="10"/>
      <c r="AG2486" s="10"/>
      <c r="AH2486" s="10"/>
      <c r="AI2486" s="10"/>
    </row>
    <row r="2487" spans="28:35" ht="15" hidden="1" customHeight="1">
      <c r="AB2487" s="9"/>
      <c r="AC2487" s="9"/>
      <c r="AD2487" s="9"/>
      <c r="AF2487" s="10"/>
      <c r="AG2487" s="10"/>
      <c r="AH2487" s="10"/>
      <c r="AI2487" s="10"/>
    </row>
    <row r="2488" spans="28:35" ht="15" hidden="1" customHeight="1">
      <c r="AB2488" s="9"/>
      <c r="AC2488" s="9"/>
      <c r="AD2488" s="9"/>
      <c r="AF2488" s="10"/>
      <c r="AG2488" s="10"/>
      <c r="AH2488" s="10"/>
      <c r="AI2488" s="10"/>
    </row>
    <row r="2489" spans="28:35" ht="15" hidden="1" customHeight="1">
      <c r="AB2489" s="9"/>
      <c r="AC2489" s="9"/>
      <c r="AD2489" s="9"/>
      <c r="AF2489" s="10"/>
      <c r="AG2489" s="10"/>
      <c r="AH2489" s="10"/>
      <c r="AI2489" s="10"/>
    </row>
    <row r="2490" spans="28:35" ht="15" hidden="1" customHeight="1">
      <c r="AB2490" s="9"/>
      <c r="AC2490" s="9"/>
      <c r="AD2490" s="9"/>
      <c r="AF2490" s="10"/>
      <c r="AG2490" s="10"/>
      <c r="AH2490" s="10"/>
      <c r="AI2490" s="10"/>
    </row>
    <row r="2491" spans="28:35" ht="15" hidden="1" customHeight="1">
      <c r="AB2491" s="9"/>
      <c r="AC2491" s="9"/>
      <c r="AD2491" s="9"/>
      <c r="AF2491" s="10"/>
      <c r="AG2491" s="10"/>
      <c r="AH2491" s="10"/>
      <c r="AI2491" s="10"/>
    </row>
    <row r="2492" spans="28:35" ht="15" hidden="1" customHeight="1">
      <c r="AB2492" s="9"/>
      <c r="AC2492" s="9"/>
      <c r="AD2492" s="9"/>
      <c r="AF2492" s="10"/>
      <c r="AG2492" s="10"/>
      <c r="AH2492" s="10"/>
      <c r="AI2492" s="10"/>
    </row>
    <row r="2493" spans="28:35" ht="15" hidden="1" customHeight="1">
      <c r="AB2493" s="9"/>
      <c r="AC2493" s="9"/>
      <c r="AD2493" s="9"/>
      <c r="AF2493" s="10"/>
      <c r="AG2493" s="10"/>
      <c r="AH2493" s="10"/>
      <c r="AI2493" s="10"/>
    </row>
    <row r="2494" spans="28:35" ht="15" hidden="1" customHeight="1">
      <c r="AB2494" s="9"/>
      <c r="AC2494" s="9"/>
      <c r="AD2494" s="9"/>
      <c r="AF2494" s="10"/>
      <c r="AG2494" s="10"/>
      <c r="AH2494" s="10"/>
      <c r="AI2494" s="10"/>
    </row>
    <row r="2495" spans="28:35" ht="15" hidden="1" customHeight="1">
      <c r="AB2495" s="9"/>
      <c r="AC2495" s="9"/>
      <c r="AD2495" s="9"/>
      <c r="AF2495" s="10"/>
      <c r="AG2495" s="10"/>
      <c r="AH2495" s="10"/>
      <c r="AI2495" s="10"/>
    </row>
    <row r="2496" spans="28:35" ht="15" hidden="1" customHeight="1">
      <c r="AB2496" s="9"/>
      <c r="AC2496" s="9"/>
      <c r="AD2496" s="9"/>
      <c r="AF2496" s="10"/>
      <c r="AG2496" s="10"/>
      <c r="AH2496" s="10"/>
      <c r="AI2496" s="10"/>
    </row>
    <row r="2497" spans="28:35" ht="15" hidden="1" customHeight="1">
      <c r="AB2497" s="9"/>
      <c r="AC2497" s="9"/>
      <c r="AD2497" s="9"/>
      <c r="AF2497" s="10"/>
      <c r="AG2497" s="10"/>
      <c r="AH2497" s="10"/>
      <c r="AI2497" s="10"/>
    </row>
    <row r="2498" spans="28:35" ht="15" hidden="1" customHeight="1">
      <c r="AB2498" s="9"/>
      <c r="AC2498" s="9"/>
      <c r="AD2498" s="9"/>
      <c r="AF2498" s="10"/>
      <c r="AG2498" s="10"/>
      <c r="AH2498" s="10"/>
      <c r="AI2498" s="10"/>
    </row>
    <row r="2499" spans="28:35" ht="15" hidden="1" customHeight="1">
      <c r="AB2499" s="9"/>
      <c r="AC2499" s="9"/>
      <c r="AD2499" s="9"/>
      <c r="AF2499" s="10"/>
      <c r="AG2499" s="10"/>
      <c r="AH2499" s="10"/>
      <c r="AI2499" s="10"/>
    </row>
    <row r="2500" spans="28:35" ht="15" hidden="1" customHeight="1">
      <c r="AB2500" s="9"/>
      <c r="AC2500" s="9"/>
      <c r="AD2500" s="9"/>
      <c r="AF2500" s="10"/>
      <c r="AG2500" s="10"/>
      <c r="AH2500" s="10"/>
      <c r="AI2500" s="10"/>
    </row>
    <row r="2501" spans="28:35" ht="15" hidden="1" customHeight="1">
      <c r="AB2501" s="9"/>
      <c r="AC2501" s="9"/>
      <c r="AD2501" s="9"/>
      <c r="AF2501" s="10"/>
      <c r="AG2501" s="10"/>
      <c r="AH2501" s="10"/>
      <c r="AI2501" s="10"/>
    </row>
    <row r="2502" spans="28:35" ht="15" hidden="1" customHeight="1">
      <c r="AB2502" s="9"/>
      <c r="AC2502" s="9"/>
      <c r="AD2502" s="9"/>
      <c r="AF2502" s="10"/>
      <c r="AG2502" s="10"/>
      <c r="AH2502" s="10"/>
      <c r="AI2502" s="10"/>
    </row>
    <row r="2503" spans="28:35" ht="15" hidden="1" customHeight="1">
      <c r="AB2503" s="9"/>
      <c r="AC2503" s="9"/>
      <c r="AD2503" s="9"/>
      <c r="AF2503" s="10"/>
      <c r="AG2503" s="10"/>
      <c r="AH2503" s="10"/>
      <c r="AI2503" s="10"/>
    </row>
    <row r="2504" spans="28:35" ht="15" hidden="1" customHeight="1">
      <c r="AB2504" s="9"/>
      <c r="AC2504" s="9"/>
      <c r="AD2504" s="9"/>
      <c r="AF2504" s="10"/>
      <c r="AG2504" s="10"/>
      <c r="AH2504" s="10"/>
      <c r="AI2504" s="10"/>
    </row>
    <row r="2505" spans="28:35" ht="15" hidden="1" customHeight="1">
      <c r="AB2505" s="9"/>
      <c r="AC2505" s="9"/>
      <c r="AD2505" s="9"/>
      <c r="AF2505" s="10"/>
      <c r="AG2505" s="10"/>
      <c r="AH2505" s="10"/>
      <c r="AI2505" s="10"/>
    </row>
    <row r="2506" spans="28:35" ht="15" hidden="1" customHeight="1">
      <c r="AB2506" s="9"/>
      <c r="AC2506" s="9"/>
      <c r="AD2506" s="9"/>
      <c r="AF2506" s="10"/>
      <c r="AG2506" s="10"/>
      <c r="AH2506" s="10"/>
      <c r="AI2506" s="10"/>
    </row>
    <row r="2507" spans="28:35" ht="15" hidden="1" customHeight="1">
      <c r="AB2507" s="9"/>
      <c r="AC2507" s="9"/>
      <c r="AD2507" s="9"/>
      <c r="AF2507" s="10"/>
      <c r="AG2507" s="10"/>
      <c r="AH2507" s="10"/>
      <c r="AI2507" s="10"/>
    </row>
    <row r="2508" spans="28:35" ht="15" hidden="1" customHeight="1">
      <c r="AB2508" s="9"/>
      <c r="AC2508" s="9"/>
      <c r="AD2508" s="9"/>
      <c r="AF2508" s="10"/>
      <c r="AG2508" s="10"/>
      <c r="AH2508" s="10"/>
      <c r="AI2508" s="10"/>
    </row>
    <row r="2509" spans="28:35" ht="15" hidden="1" customHeight="1">
      <c r="AB2509" s="9"/>
      <c r="AC2509" s="9"/>
      <c r="AD2509" s="9"/>
      <c r="AF2509" s="10"/>
      <c r="AG2509" s="10"/>
      <c r="AH2509" s="10"/>
      <c r="AI2509" s="10"/>
    </row>
    <row r="2510" spans="28:35" ht="15" hidden="1" customHeight="1">
      <c r="AB2510" s="9"/>
      <c r="AC2510" s="9"/>
      <c r="AD2510" s="9"/>
      <c r="AF2510" s="10"/>
      <c r="AG2510" s="10"/>
      <c r="AH2510" s="10"/>
      <c r="AI2510" s="10"/>
    </row>
    <row r="2511" spans="28:35" ht="15" hidden="1" customHeight="1">
      <c r="AB2511" s="9"/>
      <c r="AC2511" s="9"/>
      <c r="AD2511" s="9"/>
      <c r="AF2511" s="10"/>
      <c r="AG2511" s="10"/>
      <c r="AH2511" s="10"/>
      <c r="AI2511" s="10"/>
    </row>
    <row r="2512" spans="28:35" ht="15" hidden="1" customHeight="1">
      <c r="AB2512" s="9"/>
      <c r="AC2512" s="9"/>
      <c r="AD2512" s="9"/>
      <c r="AF2512" s="10"/>
      <c r="AG2512" s="10"/>
      <c r="AH2512" s="10"/>
      <c r="AI2512" s="10"/>
    </row>
    <row r="2513" spans="28:35" ht="15" hidden="1" customHeight="1">
      <c r="AB2513" s="9"/>
      <c r="AC2513" s="9"/>
      <c r="AD2513" s="9"/>
      <c r="AF2513" s="10"/>
      <c r="AG2513" s="10"/>
      <c r="AH2513" s="10"/>
      <c r="AI2513" s="10"/>
    </row>
    <row r="2514" spans="28:35" ht="15" hidden="1" customHeight="1">
      <c r="AB2514" s="9"/>
      <c r="AC2514" s="9"/>
      <c r="AD2514" s="9"/>
      <c r="AF2514" s="10"/>
      <c r="AG2514" s="10"/>
      <c r="AH2514" s="10"/>
      <c r="AI2514" s="10"/>
    </row>
    <row r="2515" spans="28:35" ht="15" hidden="1" customHeight="1">
      <c r="AB2515" s="9"/>
      <c r="AC2515" s="9"/>
      <c r="AD2515" s="9"/>
      <c r="AF2515" s="10"/>
      <c r="AG2515" s="10"/>
      <c r="AH2515" s="10"/>
      <c r="AI2515" s="10"/>
    </row>
    <row r="2516" spans="28:35" ht="15" hidden="1" customHeight="1">
      <c r="AB2516" s="9"/>
      <c r="AC2516" s="9"/>
      <c r="AD2516" s="9"/>
      <c r="AF2516" s="10"/>
      <c r="AG2516" s="10"/>
      <c r="AH2516" s="10"/>
      <c r="AI2516" s="10"/>
    </row>
    <row r="2517" spans="28:35" ht="15" hidden="1" customHeight="1">
      <c r="AB2517" s="9"/>
      <c r="AC2517" s="9"/>
      <c r="AD2517" s="9"/>
      <c r="AF2517" s="10"/>
      <c r="AG2517" s="10"/>
      <c r="AH2517" s="10"/>
      <c r="AI2517" s="10"/>
    </row>
    <row r="2518" spans="28:35" ht="15" hidden="1" customHeight="1">
      <c r="AB2518" s="9"/>
      <c r="AC2518" s="9"/>
      <c r="AD2518" s="9"/>
      <c r="AF2518" s="10"/>
      <c r="AG2518" s="10"/>
      <c r="AH2518" s="10"/>
      <c r="AI2518" s="10"/>
    </row>
    <row r="2519" spans="28:35" ht="15" hidden="1" customHeight="1">
      <c r="AB2519" s="9"/>
      <c r="AC2519" s="9"/>
      <c r="AD2519" s="9"/>
      <c r="AF2519" s="10"/>
      <c r="AG2519" s="10"/>
      <c r="AH2519" s="10"/>
      <c r="AI2519" s="10"/>
    </row>
    <row r="2520" spans="28:35" ht="15" hidden="1" customHeight="1">
      <c r="AB2520" s="9"/>
      <c r="AC2520" s="9"/>
      <c r="AD2520" s="9"/>
      <c r="AF2520" s="10"/>
      <c r="AG2520" s="10"/>
      <c r="AH2520" s="10"/>
      <c r="AI2520" s="10"/>
    </row>
    <row r="2521" spans="28:35" ht="15" hidden="1" customHeight="1">
      <c r="AB2521" s="9"/>
      <c r="AC2521" s="9"/>
      <c r="AD2521" s="9"/>
      <c r="AF2521" s="10"/>
      <c r="AG2521" s="10"/>
      <c r="AH2521" s="10"/>
      <c r="AI2521" s="10"/>
    </row>
    <row r="2522" spans="28:35" ht="15" hidden="1" customHeight="1">
      <c r="AB2522" s="9"/>
      <c r="AC2522" s="9"/>
      <c r="AD2522" s="9"/>
      <c r="AF2522" s="10"/>
      <c r="AG2522" s="10"/>
      <c r="AH2522" s="10"/>
      <c r="AI2522" s="10"/>
    </row>
    <row r="2523" spans="28:35" ht="15" hidden="1" customHeight="1">
      <c r="AB2523" s="9"/>
      <c r="AC2523" s="9"/>
      <c r="AD2523" s="9"/>
      <c r="AF2523" s="10"/>
      <c r="AG2523" s="10"/>
      <c r="AH2523" s="10"/>
      <c r="AI2523" s="10"/>
    </row>
    <row r="2524" spans="28:35" ht="15" hidden="1" customHeight="1">
      <c r="AB2524" s="9"/>
      <c r="AC2524" s="9"/>
      <c r="AD2524" s="9"/>
      <c r="AF2524" s="10"/>
      <c r="AG2524" s="10"/>
      <c r="AH2524" s="10"/>
      <c r="AI2524" s="10"/>
    </row>
    <row r="2525" spans="28:35" ht="15" hidden="1" customHeight="1">
      <c r="AB2525" s="9"/>
      <c r="AC2525" s="9"/>
      <c r="AD2525" s="9"/>
      <c r="AF2525" s="10"/>
      <c r="AG2525" s="10"/>
      <c r="AH2525" s="10"/>
      <c r="AI2525" s="10"/>
    </row>
    <row r="2526" spans="28:35" ht="15" hidden="1" customHeight="1">
      <c r="AB2526" s="9"/>
      <c r="AC2526" s="9"/>
      <c r="AD2526" s="9"/>
      <c r="AF2526" s="10"/>
      <c r="AG2526" s="10"/>
      <c r="AH2526" s="10"/>
      <c r="AI2526" s="10"/>
    </row>
    <row r="2527" spans="28:35" ht="15" hidden="1" customHeight="1">
      <c r="AB2527" s="9"/>
      <c r="AC2527" s="9"/>
      <c r="AD2527" s="9"/>
      <c r="AF2527" s="10"/>
      <c r="AG2527" s="10"/>
      <c r="AH2527" s="10"/>
      <c r="AI2527" s="10"/>
    </row>
    <row r="2528" spans="28:35" ht="15" hidden="1" customHeight="1">
      <c r="AB2528" s="9"/>
      <c r="AC2528" s="9"/>
      <c r="AD2528" s="9"/>
      <c r="AF2528" s="10"/>
      <c r="AG2528" s="10"/>
      <c r="AH2528" s="10"/>
      <c r="AI2528" s="10"/>
    </row>
    <row r="2529" spans="28:35" ht="15" hidden="1" customHeight="1">
      <c r="AB2529" s="9"/>
      <c r="AC2529" s="9"/>
      <c r="AD2529" s="9"/>
      <c r="AF2529" s="10"/>
      <c r="AG2529" s="10"/>
      <c r="AH2529" s="10"/>
      <c r="AI2529" s="10"/>
    </row>
    <row r="2530" spans="28:35" ht="15" hidden="1" customHeight="1">
      <c r="AB2530" s="9"/>
      <c r="AC2530" s="9"/>
      <c r="AD2530" s="9"/>
      <c r="AF2530" s="10"/>
      <c r="AG2530" s="10"/>
      <c r="AH2530" s="10"/>
      <c r="AI2530" s="10"/>
    </row>
    <row r="2531" spans="28:35" ht="15" hidden="1" customHeight="1">
      <c r="AB2531" s="9"/>
      <c r="AC2531" s="9"/>
      <c r="AD2531" s="9"/>
      <c r="AF2531" s="10"/>
      <c r="AG2531" s="10"/>
      <c r="AH2531" s="10"/>
      <c r="AI2531" s="10"/>
    </row>
    <row r="2532" spans="28:35" ht="15" hidden="1" customHeight="1">
      <c r="AB2532" s="9"/>
      <c r="AC2532" s="9"/>
      <c r="AD2532" s="9"/>
      <c r="AF2532" s="10"/>
      <c r="AG2532" s="10"/>
      <c r="AH2532" s="10"/>
      <c r="AI2532" s="10"/>
    </row>
    <row r="2533" spans="28:35" ht="15" hidden="1" customHeight="1">
      <c r="AB2533" s="9"/>
      <c r="AC2533" s="9"/>
      <c r="AD2533" s="9"/>
      <c r="AF2533" s="10"/>
      <c r="AG2533" s="10"/>
      <c r="AH2533" s="10"/>
      <c r="AI2533" s="10"/>
    </row>
    <row r="2534" spans="28:35" ht="15" hidden="1" customHeight="1">
      <c r="AB2534" s="9"/>
      <c r="AC2534" s="9"/>
      <c r="AD2534" s="9"/>
      <c r="AF2534" s="10"/>
      <c r="AG2534" s="10"/>
      <c r="AH2534" s="10"/>
      <c r="AI2534" s="10"/>
    </row>
    <row r="2535" spans="28:35" ht="15" hidden="1" customHeight="1">
      <c r="AB2535" s="9"/>
      <c r="AC2535" s="9"/>
      <c r="AD2535" s="9"/>
      <c r="AF2535" s="10"/>
      <c r="AG2535" s="10"/>
      <c r="AH2535" s="10"/>
      <c r="AI2535" s="10"/>
    </row>
    <row r="2536" spans="28:35" ht="15" hidden="1" customHeight="1">
      <c r="AB2536" s="9"/>
      <c r="AC2536" s="9"/>
      <c r="AD2536" s="9"/>
      <c r="AF2536" s="10"/>
      <c r="AG2536" s="10"/>
      <c r="AH2536" s="10"/>
      <c r="AI2536" s="10"/>
    </row>
    <row r="2537" spans="28:35" ht="15" hidden="1" customHeight="1">
      <c r="AB2537" s="9"/>
      <c r="AC2537" s="9"/>
      <c r="AD2537" s="9"/>
      <c r="AF2537" s="10"/>
      <c r="AG2537" s="10"/>
      <c r="AH2537" s="10"/>
      <c r="AI2537" s="10"/>
    </row>
    <row r="2538" spans="28:35" ht="15" hidden="1" customHeight="1">
      <c r="AB2538" s="9"/>
      <c r="AC2538" s="9"/>
      <c r="AD2538" s="9"/>
      <c r="AF2538" s="10"/>
      <c r="AG2538" s="10"/>
      <c r="AH2538" s="10"/>
      <c r="AI2538" s="10"/>
    </row>
    <row r="2539" spans="28:35" ht="15" hidden="1" customHeight="1">
      <c r="AB2539" s="9"/>
      <c r="AC2539" s="9"/>
      <c r="AD2539" s="9"/>
      <c r="AF2539" s="10"/>
      <c r="AG2539" s="10"/>
      <c r="AH2539" s="10"/>
      <c r="AI2539" s="10"/>
    </row>
    <row r="2540" spans="28:35" ht="15" hidden="1" customHeight="1">
      <c r="AB2540" s="9"/>
      <c r="AC2540" s="9"/>
      <c r="AD2540" s="9"/>
      <c r="AF2540" s="10"/>
      <c r="AG2540" s="10"/>
      <c r="AH2540" s="10"/>
      <c r="AI2540" s="10"/>
    </row>
    <row r="2541" spans="28:35" ht="15" hidden="1" customHeight="1">
      <c r="AB2541" s="9"/>
      <c r="AC2541" s="9"/>
      <c r="AD2541" s="9"/>
      <c r="AF2541" s="10"/>
      <c r="AG2541" s="10"/>
      <c r="AH2541" s="10"/>
      <c r="AI2541" s="10"/>
    </row>
    <row r="2542" spans="28:35" ht="15" hidden="1" customHeight="1">
      <c r="AB2542" s="9"/>
      <c r="AC2542" s="9"/>
      <c r="AD2542" s="9"/>
      <c r="AF2542" s="10"/>
      <c r="AG2542" s="10"/>
      <c r="AH2542" s="10"/>
      <c r="AI2542" s="10"/>
    </row>
    <row r="2543" spans="28:35" ht="15" hidden="1" customHeight="1">
      <c r="AB2543" s="9"/>
      <c r="AC2543" s="9"/>
      <c r="AD2543" s="9"/>
      <c r="AF2543" s="10"/>
      <c r="AG2543" s="10"/>
      <c r="AH2543" s="10"/>
      <c r="AI2543" s="10"/>
    </row>
    <row r="2544" spans="28:35" ht="15" hidden="1" customHeight="1">
      <c r="AB2544" s="9"/>
      <c r="AC2544" s="9"/>
      <c r="AD2544" s="9"/>
      <c r="AF2544" s="10"/>
      <c r="AG2544" s="10"/>
      <c r="AH2544" s="10"/>
      <c r="AI2544" s="10"/>
    </row>
    <row r="2545" spans="28:35" ht="15" hidden="1" customHeight="1">
      <c r="AB2545" s="9"/>
      <c r="AC2545" s="9"/>
      <c r="AD2545" s="9"/>
      <c r="AF2545" s="10"/>
      <c r="AG2545" s="10"/>
      <c r="AH2545" s="10"/>
      <c r="AI2545" s="10"/>
    </row>
    <row r="2546" spans="28:35" ht="15" hidden="1" customHeight="1">
      <c r="AB2546" s="9"/>
      <c r="AC2546" s="9"/>
      <c r="AD2546" s="9"/>
      <c r="AF2546" s="10"/>
      <c r="AG2546" s="10"/>
      <c r="AH2546" s="10"/>
      <c r="AI2546" s="10"/>
    </row>
    <row r="2547" spans="28:35" ht="15" hidden="1" customHeight="1">
      <c r="AB2547" s="9"/>
      <c r="AC2547" s="9"/>
      <c r="AD2547" s="9"/>
      <c r="AF2547" s="10"/>
      <c r="AG2547" s="10"/>
      <c r="AH2547" s="10"/>
      <c r="AI2547" s="10"/>
    </row>
    <row r="2548" spans="28:35" ht="15" hidden="1" customHeight="1">
      <c r="AB2548" s="9"/>
      <c r="AC2548" s="9"/>
      <c r="AD2548" s="9"/>
      <c r="AF2548" s="10"/>
      <c r="AG2548" s="10"/>
      <c r="AH2548" s="10"/>
      <c r="AI2548" s="10"/>
    </row>
    <row r="2549" spans="28:35" ht="15" hidden="1" customHeight="1">
      <c r="AB2549" s="9"/>
      <c r="AC2549" s="9"/>
      <c r="AD2549" s="9"/>
      <c r="AF2549" s="10"/>
      <c r="AG2549" s="10"/>
      <c r="AH2549" s="10"/>
      <c r="AI2549" s="10"/>
    </row>
    <row r="2550" spans="28:35" ht="15" hidden="1" customHeight="1">
      <c r="AB2550" s="9"/>
      <c r="AC2550" s="9"/>
      <c r="AD2550" s="9"/>
      <c r="AF2550" s="10"/>
      <c r="AG2550" s="10"/>
      <c r="AH2550" s="10"/>
      <c r="AI2550" s="10"/>
    </row>
    <row r="2551" spans="28:35" ht="15" hidden="1" customHeight="1">
      <c r="AB2551" s="9"/>
      <c r="AC2551" s="9"/>
      <c r="AD2551" s="9"/>
      <c r="AF2551" s="10"/>
      <c r="AG2551" s="10"/>
      <c r="AH2551" s="10"/>
      <c r="AI2551" s="10"/>
    </row>
    <row r="2552" spans="28:35" ht="15" hidden="1" customHeight="1">
      <c r="AB2552" s="9"/>
      <c r="AC2552" s="9"/>
      <c r="AD2552" s="9"/>
      <c r="AF2552" s="10"/>
      <c r="AG2552" s="10"/>
      <c r="AH2552" s="10"/>
      <c r="AI2552" s="10"/>
    </row>
    <row r="2553" spans="28:35" ht="15" hidden="1" customHeight="1">
      <c r="AB2553" s="9"/>
      <c r="AC2553" s="9"/>
      <c r="AD2553" s="9"/>
      <c r="AF2553" s="10"/>
      <c r="AG2553" s="10"/>
      <c r="AH2553" s="10"/>
      <c r="AI2553" s="10"/>
    </row>
    <row r="2554" spans="28:35" ht="15" hidden="1" customHeight="1">
      <c r="AB2554" s="9"/>
      <c r="AC2554" s="9"/>
      <c r="AD2554" s="9"/>
      <c r="AF2554" s="10"/>
      <c r="AG2554" s="10"/>
      <c r="AH2554" s="10"/>
      <c r="AI2554" s="10"/>
    </row>
    <row r="2555" spans="28:35" ht="15" hidden="1" customHeight="1">
      <c r="AB2555" s="9"/>
      <c r="AC2555" s="9"/>
      <c r="AD2555" s="9"/>
      <c r="AF2555" s="10"/>
      <c r="AG2555" s="10"/>
      <c r="AH2555" s="10"/>
      <c r="AI2555" s="10"/>
    </row>
    <row r="2556" spans="28:35" ht="15" hidden="1" customHeight="1">
      <c r="AB2556" s="9"/>
      <c r="AC2556" s="9"/>
      <c r="AD2556" s="9"/>
      <c r="AF2556" s="10"/>
      <c r="AG2556" s="10"/>
      <c r="AH2556" s="10"/>
      <c r="AI2556" s="10"/>
    </row>
    <row r="2557" spans="28:35" ht="15" hidden="1" customHeight="1">
      <c r="AB2557" s="9"/>
      <c r="AC2557" s="9"/>
      <c r="AD2557" s="9"/>
      <c r="AF2557" s="10"/>
      <c r="AG2557" s="10"/>
      <c r="AH2557" s="10"/>
      <c r="AI2557" s="10"/>
    </row>
    <row r="2558" spans="28:35" ht="15" hidden="1" customHeight="1">
      <c r="AB2558" s="9"/>
      <c r="AC2558" s="9"/>
      <c r="AD2558" s="9"/>
      <c r="AF2558" s="10"/>
      <c r="AG2558" s="10"/>
      <c r="AH2558" s="10"/>
      <c r="AI2558" s="10"/>
    </row>
    <row r="2559" spans="28:35" ht="15" hidden="1" customHeight="1">
      <c r="AB2559" s="9"/>
      <c r="AC2559" s="9"/>
      <c r="AD2559" s="9"/>
      <c r="AF2559" s="10"/>
      <c r="AG2559" s="10"/>
      <c r="AH2559" s="10"/>
      <c r="AI2559" s="10"/>
    </row>
    <row r="2560" spans="28:35" ht="15" hidden="1" customHeight="1">
      <c r="AB2560" s="9"/>
      <c r="AC2560" s="9"/>
      <c r="AD2560" s="9"/>
      <c r="AF2560" s="10"/>
      <c r="AG2560" s="10"/>
      <c r="AH2560" s="10"/>
      <c r="AI2560" s="10"/>
    </row>
    <row r="2561" spans="28:35" ht="15" hidden="1" customHeight="1">
      <c r="AB2561" s="9"/>
      <c r="AC2561" s="9"/>
      <c r="AD2561" s="9"/>
      <c r="AF2561" s="10"/>
      <c r="AG2561" s="10"/>
      <c r="AH2561" s="10"/>
      <c r="AI2561" s="10"/>
    </row>
    <row r="2562" spans="28:35" ht="15" hidden="1" customHeight="1">
      <c r="AB2562" s="9"/>
      <c r="AC2562" s="9"/>
      <c r="AD2562" s="9"/>
      <c r="AF2562" s="10"/>
      <c r="AG2562" s="10"/>
      <c r="AH2562" s="10"/>
      <c r="AI2562" s="10"/>
    </row>
    <row r="2563" spans="28:35" ht="15" hidden="1" customHeight="1">
      <c r="AB2563" s="9"/>
      <c r="AC2563" s="9"/>
      <c r="AD2563" s="9"/>
      <c r="AF2563" s="10"/>
      <c r="AG2563" s="10"/>
      <c r="AH2563" s="10"/>
      <c r="AI2563" s="10"/>
    </row>
    <row r="2564" spans="28:35" ht="15" hidden="1" customHeight="1">
      <c r="AB2564" s="9"/>
      <c r="AC2564" s="9"/>
      <c r="AD2564" s="9"/>
      <c r="AF2564" s="10"/>
      <c r="AG2564" s="10"/>
      <c r="AH2564" s="10"/>
      <c r="AI2564" s="10"/>
    </row>
    <row r="2565" spans="28:35" ht="15" hidden="1" customHeight="1">
      <c r="AB2565" s="9"/>
      <c r="AC2565" s="9"/>
      <c r="AD2565" s="9"/>
      <c r="AF2565" s="10"/>
      <c r="AG2565" s="10"/>
      <c r="AH2565" s="10"/>
      <c r="AI2565" s="10"/>
    </row>
    <row r="2566" spans="28:35" ht="15" hidden="1" customHeight="1">
      <c r="AB2566" s="9"/>
      <c r="AC2566" s="9"/>
      <c r="AD2566" s="9"/>
      <c r="AF2566" s="10"/>
      <c r="AG2566" s="10"/>
      <c r="AH2566" s="10"/>
      <c r="AI2566" s="10"/>
    </row>
    <row r="2567" spans="28:35" ht="15" hidden="1" customHeight="1">
      <c r="AB2567" s="9"/>
      <c r="AC2567" s="9"/>
      <c r="AD2567" s="9"/>
      <c r="AF2567" s="10"/>
      <c r="AG2567" s="10"/>
      <c r="AH2567" s="10"/>
      <c r="AI2567" s="10"/>
    </row>
    <row r="2568" spans="28:35" ht="15" hidden="1" customHeight="1">
      <c r="AB2568" s="9"/>
      <c r="AC2568" s="9"/>
      <c r="AD2568" s="9"/>
      <c r="AF2568" s="10"/>
      <c r="AG2568" s="10"/>
      <c r="AH2568" s="10"/>
      <c r="AI2568" s="10"/>
    </row>
    <row r="2569" spans="28:35" ht="15" hidden="1" customHeight="1">
      <c r="AB2569" s="9"/>
      <c r="AC2569" s="9"/>
      <c r="AD2569" s="9"/>
      <c r="AF2569" s="10"/>
      <c r="AG2569" s="10"/>
      <c r="AH2569" s="10"/>
      <c r="AI2569" s="10"/>
    </row>
    <row r="2570" spans="28:35" ht="15" hidden="1" customHeight="1">
      <c r="AB2570" s="9"/>
      <c r="AC2570" s="9"/>
      <c r="AD2570" s="9"/>
      <c r="AF2570" s="10"/>
      <c r="AG2570" s="10"/>
      <c r="AH2570" s="10"/>
      <c r="AI2570" s="10"/>
    </row>
    <row r="2571" spans="28:35" ht="15" hidden="1" customHeight="1">
      <c r="AB2571" s="9"/>
      <c r="AC2571" s="9"/>
      <c r="AD2571" s="9"/>
      <c r="AF2571" s="10"/>
      <c r="AG2571" s="10"/>
      <c r="AH2571" s="10"/>
      <c r="AI2571" s="10"/>
    </row>
    <row r="2572" spans="28:35" ht="15" hidden="1" customHeight="1">
      <c r="AB2572" s="9"/>
      <c r="AC2572" s="9"/>
      <c r="AD2572" s="9"/>
      <c r="AF2572" s="10"/>
      <c r="AG2572" s="10"/>
      <c r="AH2572" s="10"/>
      <c r="AI2572" s="10"/>
    </row>
    <row r="2573" spans="28:35" ht="15" hidden="1" customHeight="1">
      <c r="AB2573" s="9"/>
      <c r="AC2573" s="9"/>
      <c r="AD2573" s="9"/>
      <c r="AF2573" s="10"/>
      <c r="AG2573" s="10"/>
      <c r="AH2573" s="10"/>
      <c r="AI2573" s="10"/>
    </row>
    <row r="2574" spans="28:35" ht="15" hidden="1" customHeight="1">
      <c r="AB2574" s="9"/>
      <c r="AC2574" s="9"/>
      <c r="AD2574" s="9"/>
      <c r="AF2574" s="10"/>
      <c r="AG2574" s="10"/>
      <c r="AH2574" s="10"/>
      <c r="AI2574" s="10"/>
    </row>
    <row r="2575" spans="28:35" ht="15" hidden="1" customHeight="1">
      <c r="AB2575" s="9"/>
      <c r="AC2575" s="9"/>
      <c r="AD2575" s="9"/>
      <c r="AF2575" s="10"/>
      <c r="AG2575" s="10"/>
      <c r="AH2575" s="10"/>
      <c r="AI2575" s="10"/>
    </row>
    <row r="2576" spans="28:35" ht="15" hidden="1" customHeight="1">
      <c r="AB2576" s="9"/>
      <c r="AC2576" s="9"/>
      <c r="AD2576" s="9"/>
      <c r="AF2576" s="10"/>
      <c r="AG2576" s="10"/>
      <c r="AH2576" s="10"/>
      <c r="AI2576" s="10"/>
    </row>
    <row r="2577" spans="28:35" ht="15" hidden="1" customHeight="1">
      <c r="AB2577" s="9"/>
      <c r="AC2577" s="9"/>
      <c r="AD2577" s="9"/>
      <c r="AF2577" s="10"/>
      <c r="AG2577" s="10"/>
      <c r="AH2577" s="10"/>
      <c r="AI2577" s="10"/>
    </row>
    <row r="2578" spans="28:35" ht="15" hidden="1" customHeight="1">
      <c r="AB2578" s="9"/>
      <c r="AC2578" s="9"/>
      <c r="AD2578" s="9"/>
      <c r="AF2578" s="10"/>
      <c r="AG2578" s="10"/>
      <c r="AH2578" s="10"/>
      <c r="AI2578" s="10"/>
    </row>
    <row r="2579" spans="28:35" ht="15" hidden="1" customHeight="1">
      <c r="AB2579" s="9"/>
      <c r="AC2579" s="9"/>
      <c r="AD2579" s="9"/>
      <c r="AF2579" s="10"/>
      <c r="AG2579" s="10"/>
      <c r="AH2579" s="10"/>
      <c r="AI2579" s="10"/>
    </row>
    <row r="2580" spans="28:35" ht="15" hidden="1" customHeight="1">
      <c r="AB2580" s="9"/>
      <c r="AC2580" s="9"/>
      <c r="AD2580" s="9"/>
      <c r="AF2580" s="10"/>
      <c r="AG2580" s="10"/>
      <c r="AH2580" s="10"/>
      <c r="AI2580" s="10"/>
    </row>
    <row r="2581" spans="28:35" ht="15" hidden="1" customHeight="1">
      <c r="AB2581" s="9"/>
      <c r="AC2581" s="9"/>
      <c r="AD2581" s="9"/>
      <c r="AF2581" s="10"/>
      <c r="AG2581" s="10"/>
      <c r="AH2581" s="10"/>
      <c r="AI2581" s="10"/>
    </row>
    <row r="2582" spans="28:35" ht="15" hidden="1" customHeight="1">
      <c r="AB2582" s="9"/>
      <c r="AC2582" s="9"/>
      <c r="AD2582" s="9"/>
      <c r="AF2582" s="10"/>
      <c r="AG2582" s="10"/>
      <c r="AH2582" s="10"/>
      <c r="AI2582" s="10"/>
    </row>
    <row r="2583" spans="28:35" ht="15" hidden="1" customHeight="1">
      <c r="AB2583" s="9"/>
      <c r="AC2583" s="9"/>
      <c r="AD2583" s="9"/>
      <c r="AF2583" s="10"/>
      <c r="AG2583" s="10"/>
      <c r="AH2583" s="10"/>
      <c r="AI2583" s="10"/>
    </row>
    <row r="2584" spans="28:35" ht="15" hidden="1" customHeight="1">
      <c r="AB2584" s="9"/>
      <c r="AC2584" s="9"/>
      <c r="AD2584" s="9"/>
      <c r="AF2584" s="10"/>
      <c r="AG2584" s="10"/>
      <c r="AH2584" s="10"/>
      <c r="AI2584" s="10"/>
    </row>
    <row r="2585" spans="28:35" ht="15" hidden="1" customHeight="1">
      <c r="AB2585" s="9"/>
      <c r="AC2585" s="9"/>
      <c r="AD2585" s="9"/>
      <c r="AF2585" s="10"/>
      <c r="AG2585" s="10"/>
      <c r="AH2585" s="10"/>
      <c r="AI2585" s="10"/>
    </row>
    <row r="2586" spans="28:35" ht="15" hidden="1" customHeight="1">
      <c r="AB2586" s="9"/>
      <c r="AC2586" s="9"/>
      <c r="AD2586" s="9"/>
      <c r="AF2586" s="10"/>
      <c r="AG2586" s="10"/>
      <c r="AH2586" s="10"/>
      <c r="AI2586" s="10"/>
    </row>
    <row r="2587" spans="28:35" ht="15" hidden="1" customHeight="1">
      <c r="AB2587" s="9"/>
      <c r="AC2587" s="9"/>
      <c r="AD2587" s="9"/>
      <c r="AF2587" s="10"/>
      <c r="AG2587" s="10"/>
      <c r="AH2587" s="10"/>
      <c r="AI2587" s="10"/>
    </row>
    <row r="2588" spans="28:35" ht="15" hidden="1" customHeight="1">
      <c r="AB2588" s="9"/>
      <c r="AC2588" s="9"/>
      <c r="AD2588" s="9"/>
      <c r="AF2588" s="10"/>
      <c r="AG2588" s="10"/>
      <c r="AH2588" s="10"/>
      <c r="AI2588" s="10"/>
    </row>
    <row r="2589" spans="28:35" ht="15" hidden="1" customHeight="1">
      <c r="AB2589" s="9"/>
      <c r="AC2589" s="9"/>
      <c r="AD2589" s="9"/>
      <c r="AF2589" s="10"/>
      <c r="AG2589" s="10"/>
      <c r="AH2589" s="10"/>
      <c r="AI2589" s="10"/>
    </row>
    <row r="2590" spans="28:35" ht="15" hidden="1" customHeight="1">
      <c r="AB2590" s="9"/>
      <c r="AC2590" s="9"/>
      <c r="AD2590" s="9"/>
      <c r="AF2590" s="10"/>
      <c r="AG2590" s="10"/>
      <c r="AH2590" s="10"/>
      <c r="AI2590" s="10"/>
    </row>
    <row r="2591" spans="28:35" ht="15" hidden="1" customHeight="1">
      <c r="AB2591" s="9"/>
      <c r="AC2591" s="9"/>
      <c r="AD2591" s="9"/>
      <c r="AF2591" s="10"/>
      <c r="AG2591" s="10"/>
      <c r="AH2591" s="10"/>
      <c r="AI2591" s="10"/>
    </row>
    <row r="2592" spans="28:35" ht="15" hidden="1" customHeight="1">
      <c r="AB2592" s="9"/>
      <c r="AC2592" s="9"/>
      <c r="AD2592" s="9"/>
      <c r="AF2592" s="10"/>
      <c r="AG2592" s="10"/>
      <c r="AH2592" s="10"/>
      <c r="AI2592" s="10"/>
    </row>
    <row r="2593" spans="28:35" ht="15" hidden="1" customHeight="1">
      <c r="AB2593" s="9"/>
      <c r="AC2593" s="9"/>
      <c r="AD2593" s="9"/>
      <c r="AF2593" s="10"/>
      <c r="AG2593" s="10"/>
      <c r="AH2593" s="10"/>
      <c r="AI2593" s="10"/>
    </row>
    <row r="2594" spans="28:35" ht="15" hidden="1" customHeight="1">
      <c r="AB2594" s="9"/>
      <c r="AC2594" s="9"/>
      <c r="AD2594" s="9"/>
      <c r="AF2594" s="10"/>
      <c r="AG2594" s="10"/>
      <c r="AH2594" s="10"/>
      <c r="AI2594" s="10"/>
    </row>
    <row r="2595" spans="28:35" ht="15" hidden="1" customHeight="1">
      <c r="AB2595" s="9"/>
      <c r="AC2595" s="9"/>
      <c r="AD2595" s="9"/>
      <c r="AF2595" s="10"/>
      <c r="AG2595" s="10"/>
      <c r="AH2595" s="10"/>
      <c r="AI2595" s="10"/>
    </row>
    <row r="2596" spans="28:35" ht="15" hidden="1" customHeight="1">
      <c r="AB2596" s="9"/>
      <c r="AC2596" s="9"/>
      <c r="AD2596" s="9"/>
      <c r="AF2596" s="10"/>
      <c r="AG2596" s="10"/>
      <c r="AH2596" s="10"/>
      <c r="AI2596" s="10"/>
    </row>
    <row r="2597" spans="28:35" ht="15" hidden="1" customHeight="1">
      <c r="AB2597" s="9"/>
      <c r="AC2597" s="9"/>
      <c r="AD2597" s="9"/>
      <c r="AF2597" s="10"/>
      <c r="AG2597" s="10"/>
      <c r="AH2597" s="10"/>
      <c r="AI2597" s="10"/>
    </row>
    <row r="2598" spans="28:35" ht="15" hidden="1" customHeight="1">
      <c r="AB2598" s="9"/>
      <c r="AC2598" s="9"/>
      <c r="AD2598" s="9"/>
      <c r="AF2598" s="10"/>
      <c r="AG2598" s="10"/>
      <c r="AH2598" s="10"/>
      <c r="AI2598" s="10"/>
    </row>
    <row r="2599" spans="28:35" ht="15" hidden="1" customHeight="1">
      <c r="AB2599" s="9"/>
      <c r="AC2599" s="9"/>
      <c r="AD2599" s="9"/>
      <c r="AF2599" s="10"/>
      <c r="AG2599" s="10"/>
      <c r="AH2599" s="10"/>
      <c r="AI2599" s="10"/>
    </row>
    <row r="2600" spans="28:35" ht="15" hidden="1" customHeight="1">
      <c r="AB2600" s="9"/>
      <c r="AC2600" s="9"/>
      <c r="AD2600" s="9"/>
      <c r="AF2600" s="10"/>
      <c r="AG2600" s="10"/>
      <c r="AH2600" s="10"/>
      <c r="AI2600" s="10"/>
    </row>
    <row r="2601" spans="28:35" ht="15" hidden="1" customHeight="1">
      <c r="AB2601" s="9"/>
      <c r="AC2601" s="9"/>
      <c r="AD2601" s="9"/>
      <c r="AF2601" s="10"/>
      <c r="AG2601" s="10"/>
      <c r="AH2601" s="10"/>
      <c r="AI2601" s="10"/>
    </row>
    <row r="2602" spans="28:35" ht="15" hidden="1" customHeight="1">
      <c r="AB2602" s="9"/>
      <c r="AC2602" s="9"/>
      <c r="AD2602" s="9"/>
      <c r="AF2602" s="10"/>
      <c r="AG2602" s="10"/>
      <c r="AH2602" s="10"/>
      <c r="AI2602" s="10"/>
    </row>
    <row r="2603" spans="28:35" ht="15" hidden="1" customHeight="1">
      <c r="AB2603" s="9"/>
      <c r="AC2603" s="9"/>
      <c r="AD2603" s="9"/>
      <c r="AF2603" s="10"/>
      <c r="AG2603" s="10"/>
      <c r="AH2603" s="10"/>
      <c r="AI2603" s="10"/>
    </row>
    <row r="2604" spans="28:35" ht="15" hidden="1" customHeight="1">
      <c r="AB2604" s="9"/>
      <c r="AC2604" s="9"/>
      <c r="AD2604" s="9"/>
      <c r="AF2604" s="10"/>
      <c r="AG2604" s="10"/>
      <c r="AH2604" s="10"/>
      <c r="AI2604" s="10"/>
    </row>
    <row r="2605" spans="28:35" ht="15" hidden="1" customHeight="1">
      <c r="AB2605" s="9"/>
      <c r="AC2605" s="9"/>
      <c r="AD2605" s="9"/>
      <c r="AF2605" s="10"/>
      <c r="AG2605" s="10"/>
      <c r="AH2605" s="10"/>
      <c r="AI2605" s="10"/>
    </row>
    <row r="2606" spans="28:35" ht="15" hidden="1" customHeight="1">
      <c r="AB2606" s="9"/>
      <c r="AC2606" s="9"/>
      <c r="AD2606" s="9"/>
      <c r="AF2606" s="10"/>
      <c r="AG2606" s="10"/>
      <c r="AH2606" s="10"/>
      <c r="AI2606" s="10"/>
    </row>
    <row r="2607" spans="28:35" ht="15" hidden="1" customHeight="1">
      <c r="AB2607" s="9"/>
      <c r="AC2607" s="9"/>
      <c r="AD2607" s="9"/>
      <c r="AF2607" s="10"/>
      <c r="AG2607" s="10"/>
      <c r="AH2607" s="10"/>
      <c r="AI2607" s="10"/>
    </row>
    <row r="2608" spans="28:35" ht="15" hidden="1" customHeight="1">
      <c r="AB2608" s="9"/>
      <c r="AC2608" s="9"/>
      <c r="AD2608" s="9"/>
      <c r="AF2608" s="10"/>
      <c r="AG2608" s="10"/>
      <c r="AH2608" s="10"/>
      <c r="AI2608" s="10"/>
    </row>
    <row r="2609" spans="28:35" ht="15" hidden="1" customHeight="1">
      <c r="AB2609" s="9"/>
      <c r="AC2609" s="9"/>
      <c r="AD2609" s="9"/>
      <c r="AF2609" s="10"/>
      <c r="AG2609" s="10"/>
      <c r="AH2609" s="10"/>
      <c r="AI2609" s="10"/>
    </row>
    <row r="2610" spans="28:35" ht="15" hidden="1" customHeight="1">
      <c r="AB2610" s="9"/>
      <c r="AC2610" s="9"/>
      <c r="AD2610" s="9"/>
      <c r="AF2610" s="10"/>
      <c r="AG2610" s="10"/>
      <c r="AH2610" s="10"/>
      <c r="AI2610" s="10"/>
    </row>
    <row r="2611" spans="28:35" ht="15" hidden="1" customHeight="1">
      <c r="AB2611" s="9"/>
      <c r="AC2611" s="9"/>
      <c r="AD2611" s="9"/>
      <c r="AF2611" s="10"/>
      <c r="AG2611" s="10"/>
      <c r="AH2611" s="10"/>
      <c r="AI2611" s="10"/>
    </row>
    <row r="2612" spans="28:35" ht="15" hidden="1" customHeight="1">
      <c r="AB2612" s="9"/>
      <c r="AC2612" s="9"/>
      <c r="AD2612" s="9"/>
      <c r="AF2612" s="10"/>
      <c r="AG2612" s="10"/>
      <c r="AH2612" s="10"/>
      <c r="AI2612" s="10"/>
    </row>
    <row r="2613" spans="28:35" ht="15" hidden="1" customHeight="1">
      <c r="AB2613" s="9"/>
      <c r="AC2613" s="9"/>
      <c r="AD2613" s="9"/>
      <c r="AF2613" s="10"/>
      <c r="AG2613" s="10"/>
      <c r="AH2613" s="10"/>
      <c r="AI2613" s="10"/>
    </row>
    <row r="2614" spans="28:35" ht="15" hidden="1" customHeight="1">
      <c r="AB2614" s="9"/>
      <c r="AC2614" s="9"/>
      <c r="AD2614" s="9"/>
      <c r="AF2614" s="10"/>
      <c r="AG2614" s="10"/>
      <c r="AH2614" s="10"/>
      <c r="AI2614" s="10"/>
    </row>
    <row r="2615" spans="28:35" ht="15" hidden="1" customHeight="1">
      <c r="AB2615" s="9"/>
      <c r="AC2615" s="9"/>
      <c r="AD2615" s="9"/>
      <c r="AF2615" s="10"/>
      <c r="AG2615" s="10"/>
      <c r="AH2615" s="10"/>
      <c r="AI2615" s="10"/>
    </row>
    <row r="2616" spans="28:35" ht="15" hidden="1" customHeight="1">
      <c r="AB2616" s="9"/>
      <c r="AC2616" s="9"/>
      <c r="AD2616" s="9"/>
      <c r="AF2616" s="10"/>
      <c r="AG2616" s="10"/>
      <c r="AH2616" s="10"/>
      <c r="AI2616" s="10"/>
    </row>
    <row r="2617" spans="28:35" ht="15" hidden="1" customHeight="1">
      <c r="AB2617" s="9"/>
      <c r="AC2617" s="9"/>
      <c r="AD2617" s="9"/>
      <c r="AF2617" s="10"/>
      <c r="AG2617" s="10"/>
      <c r="AH2617" s="10"/>
      <c r="AI2617" s="10"/>
    </row>
    <row r="2618" spans="28:35" ht="15" hidden="1" customHeight="1">
      <c r="AB2618" s="9"/>
      <c r="AC2618" s="9"/>
      <c r="AD2618" s="9"/>
      <c r="AF2618" s="10"/>
      <c r="AG2618" s="10"/>
      <c r="AH2618" s="10"/>
      <c r="AI2618" s="10"/>
    </row>
    <row r="2619" spans="28:35" ht="15" hidden="1" customHeight="1">
      <c r="AB2619" s="9"/>
      <c r="AC2619" s="9"/>
      <c r="AD2619" s="9"/>
      <c r="AF2619" s="10"/>
      <c r="AG2619" s="10"/>
      <c r="AH2619" s="10"/>
      <c r="AI2619" s="10"/>
    </row>
    <row r="2620" spans="28:35" ht="15" hidden="1" customHeight="1">
      <c r="AB2620" s="9"/>
      <c r="AC2620" s="9"/>
      <c r="AD2620" s="9"/>
      <c r="AF2620" s="10"/>
      <c r="AG2620" s="10"/>
      <c r="AH2620" s="10"/>
      <c r="AI2620" s="10"/>
    </row>
    <row r="2621" spans="28:35" ht="15" hidden="1" customHeight="1">
      <c r="AB2621" s="9"/>
      <c r="AC2621" s="9"/>
      <c r="AD2621" s="9"/>
      <c r="AF2621" s="10"/>
      <c r="AG2621" s="10"/>
      <c r="AH2621" s="10"/>
      <c r="AI2621" s="10"/>
    </row>
    <row r="2622" spans="28:35" ht="15" hidden="1" customHeight="1">
      <c r="AB2622" s="9"/>
      <c r="AC2622" s="9"/>
      <c r="AD2622" s="9"/>
      <c r="AF2622" s="10"/>
      <c r="AG2622" s="10"/>
      <c r="AH2622" s="10"/>
      <c r="AI2622" s="10"/>
    </row>
    <row r="2623" spans="28:35" ht="15" hidden="1" customHeight="1">
      <c r="AB2623" s="9"/>
      <c r="AC2623" s="9"/>
      <c r="AD2623" s="9"/>
      <c r="AF2623" s="10"/>
      <c r="AG2623" s="10"/>
      <c r="AH2623" s="10"/>
      <c r="AI2623" s="10"/>
    </row>
    <row r="2624" spans="28:35" ht="15" hidden="1" customHeight="1">
      <c r="AB2624" s="9"/>
      <c r="AC2624" s="9"/>
      <c r="AD2624" s="9"/>
      <c r="AF2624" s="10"/>
      <c r="AG2624" s="10"/>
      <c r="AH2624" s="10"/>
      <c r="AI2624" s="10"/>
    </row>
    <row r="2625" spans="28:35" ht="15" hidden="1" customHeight="1">
      <c r="AB2625" s="9"/>
      <c r="AC2625" s="9"/>
      <c r="AD2625" s="9"/>
      <c r="AF2625" s="10"/>
      <c r="AG2625" s="10"/>
      <c r="AH2625" s="10"/>
      <c r="AI2625" s="10"/>
    </row>
    <row r="2626" spans="28:35" ht="15" hidden="1" customHeight="1">
      <c r="AB2626" s="9"/>
      <c r="AC2626" s="9"/>
      <c r="AD2626" s="9"/>
      <c r="AF2626" s="10"/>
      <c r="AG2626" s="10"/>
      <c r="AH2626" s="10"/>
      <c r="AI2626" s="10"/>
    </row>
    <row r="2627" spans="28:35" ht="15" hidden="1" customHeight="1">
      <c r="AB2627" s="9"/>
      <c r="AC2627" s="9"/>
      <c r="AD2627" s="9"/>
      <c r="AF2627" s="10"/>
      <c r="AG2627" s="10"/>
      <c r="AH2627" s="10"/>
      <c r="AI2627" s="10"/>
    </row>
    <row r="2628" spans="28:35" ht="15" hidden="1" customHeight="1">
      <c r="AB2628" s="9"/>
      <c r="AC2628" s="9"/>
      <c r="AD2628" s="9"/>
      <c r="AF2628" s="10"/>
      <c r="AG2628" s="10"/>
      <c r="AH2628" s="10"/>
      <c r="AI2628" s="10"/>
    </row>
    <row r="2629" spans="28:35" ht="15" hidden="1" customHeight="1">
      <c r="AB2629" s="9"/>
      <c r="AC2629" s="9"/>
      <c r="AD2629" s="9"/>
      <c r="AF2629" s="10"/>
      <c r="AG2629" s="10"/>
      <c r="AH2629" s="10"/>
      <c r="AI2629" s="10"/>
    </row>
    <row r="2630" spans="28:35" ht="15" hidden="1" customHeight="1">
      <c r="AB2630" s="9"/>
      <c r="AC2630" s="9"/>
      <c r="AD2630" s="9"/>
      <c r="AF2630" s="10"/>
      <c r="AG2630" s="10"/>
      <c r="AH2630" s="10"/>
      <c r="AI2630" s="10"/>
    </row>
    <row r="2631" spans="28:35" ht="15" hidden="1" customHeight="1">
      <c r="AB2631" s="9"/>
      <c r="AC2631" s="9"/>
      <c r="AD2631" s="9"/>
      <c r="AF2631" s="10"/>
      <c r="AG2631" s="10"/>
      <c r="AH2631" s="10"/>
      <c r="AI2631" s="10"/>
    </row>
    <row r="2632" spans="28:35" ht="15" hidden="1" customHeight="1">
      <c r="AB2632" s="9"/>
      <c r="AC2632" s="9"/>
      <c r="AD2632" s="9"/>
      <c r="AF2632" s="10"/>
      <c r="AG2632" s="10"/>
      <c r="AH2632" s="10"/>
      <c r="AI2632" s="10"/>
    </row>
    <row r="2633" spans="28:35" ht="15" hidden="1" customHeight="1">
      <c r="AB2633" s="9"/>
      <c r="AC2633" s="9"/>
      <c r="AD2633" s="9"/>
      <c r="AF2633" s="10"/>
      <c r="AG2633" s="10"/>
      <c r="AH2633" s="10"/>
      <c r="AI2633" s="10"/>
    </row>
    <row r="2634" spans="28:35" ht="15" hidden="1" customHeight="1">
      <c r="AB2634" s="9"/>
      <c r="AC2634" s="9"/>
      <c r="AD2634" s="9"/>
      <c r="AF2634" s="10"/>
      <c r="AG2634" s="10"/>
      <c r="AH2634" s="10"/>
      <c r="AI2634" s="10"/>
    </row>
    <row r="2635" spans="28:35" ht="15" hidden="1" customHeight="1">
      <c r="AB2635" s="9"/>
      <c r="AC2635" s="9"/>
      <c r="AD2635" s="9"/>
      <c r="AF2635" s="10"/>
      <c r="AG2635" s="10"/>
      <c r="AH2635" s="10"/>
      <c r="AI2635" s="10"/>
    </row>
    <row r="2636" spans="28:35" ht="15" hidden="1" customHeight="1">
      <c r="AB2636" s="9"/>
      <c r="AC2636" s="9"/>
      <c r="AD2636" s="9"/>
      <c r="AF2636" s="10"/>
      <c r="AG2636" s="10"/>
      <c r="AH2636" s="10"/>
      <c r="AI2636" s="10"/>
    </row>
    <row r="2637" spans="28:35" ht="15" hidden="1" customHeight="1">
      <c r="AB2637" s="9"/>
      <c r="AC2637" s="9"/>
      <c r="AD2637" s="9"/>
      <c r="AF2637" s="10"/>
      <c r="AG2637" s="10"/>
      <c r="AH2637" s="10"/>
      <c r="AI2637" s="10"/>
    </row>
    <row r="2638" spans="28:35" ht="15" hidden="1" customHeight="1">
      <c r="AB2638" s="9"/>
      <c r="AC2638" s="9"/>
      <c r="AD2638" s="9"/>
      <c r="AF2638" s="10"/>
      <c r="AG2638" s="10"/>
      <c r="AH2638" s="10"/>
      <c r="AI2638" s="10"/>
    </row>
    <row r="2639" spans="28:35" ht="15" hidden="1" customHeight="1">
      <c r="AB2639" s="9"/>
      <c r="AC2639" s="9"/>
      <c r="AD2639" s="9"/>
      <c r="AF2639" s="10"/>
      <c r="AG2639" s="10"/>
      <c r="AH2639" s="10"/>
      <c r="AI2639" s="10"/>
    </row>
    <row r="2640" spans="28:35" ht="15" hidden="1" customHeight="1">
      <c r="AB2640" s="9"/>
      <c r="AC2640" s="9"/>
      <c r="AD2640" s="9"/>
      <c r="AF2640" s="10"/>
      <c r="AG2640" s="10"/>
      <c r="AH2640" s="10"/>
      <c r="AI2640" s="10"/>
    </row>
    <row r="2641" spans="28:35" ht="15" hidden="1" customHeight="1">
      <c r="AB2641" s="9"/>
      <c r="AC2641" s="9"/>
      <c r="AD2641" s="9"/>
      <c r="AF2641" s="10"/>
      <c r="AG2641" s="10"/>
      <c r="AH2641" s="10"/>
      <c r="AI2641" s="10"/>
    </row>
    <row r="2642" spans="28:35" ht="15" hidden="1" customHeight="1">
      <c r="AB2642" s="9"/>
      <c r="AC2642" s="9"/>
      <c r="AD2642" s="9"/>
      <c r="AF2642" s="10"/>
      <c r="AG2642" s="10"/>
      <c r="AH2642" s="10"/>
      <c r="AI2642" s="10"/>
    </row>
    <row r="2643" spans="28:35" ht="15" hidden="1" customHeight="1">
      <c r="AB2643" s="9"/>
      <c r="AC2643" s="9"/>
      <c r="AD2643" s="9"/>
      <c r="AF2643" s="10"/>
      <c r="AG2643" s="10"/>
      <c r="AH2643" s="10"/>
      <c r="AI2643" s="10"/>
    </row>
    <row r="2644" spans="28:35" ht="15" hidden="1" customHeight="1">
      <c r="AB2644" s="9"/>
      <c r="AC2644" s="9"/>
      <c r="AD2644" s="9"/>
      <c r="AF2644" s="10"/>
      <c r="AG2644" s="10"/>
      <c r="AH2644" s="10"/>
      <c r="AI2644" s="10"/>
    </row>
    <row r="2645" spans="28:35" ht="15" hidden="1" customHeight="1">
      <c r="AB2645" s="9"/>
      <c r="AC2645" s="9"/>
      <c r="AD2645" s="9"/>
      <c r="AF2645" s="10"/>
      <c r="AG2645" s="10"/>
      <c r="AH2645" s="10"/>
      <c r="AI2645" s="10"/>
    </row>
    <row r="2646" spans="28:35" ht="15" hidden="1" customHeight="1">
      <c r="AB2646" s="9"/>
      <c r="AC2646" s="9"/>
      <c r="AD2646" s="9"/>
      <c r="AF2646" s="10"/>
      <c r="AG2646" s="10"/>
      <c r="AH2646" s="10"/>
      <c r="AI2646" s="10"/>
    </row>
    <row r="2647" spans="28:35" ht="15" hidden="1" customHeight="1">
      <c r="AB2647" s="9"/>
      <c r="AC2647" s="9"/>
      <c r="AD2647" s="9"/>
      <c r="AF2647" s="10"/>
      <c r="AG2647" s="10"/>
      <c r="AH2647" s="10"/>
      <c r="AI2647" s="10"/>
    </row>
    <row r="2648" spans="28:35" ht="15" hidden="1" customHeight="1">
      <c r="AB2648" s="9"/>
      <c r="AC2648" s="9"/>
      <c r="AD2648" s="9"/>
      <c r="AF2648" s="10"/>
      <c r="AG2648" s="10"/>
      <c r="AH2648" s="10"/>
      <c r="AI2648" s="10"/>
    </row>
    <row r="2649" spans="28:35" ht="15" hidden="1" customHeight="1">
      <c r="AB2649" s="9"/>
      <c r="AC2649" s="9"/>
      <c r="AD2649" s="9"/>
      <c r="AF2649" s="10"/>
      <c r="AG2649" s="10"/>
      <c r="AH2649" s="10"/>
      <c r="AI2649" s="10"/>
    </row>
    <row r="2650" spans="28:35" ht="15" hidden="1" customHeight="1">
      <c r="AB2650" s="9"/>
      <c r="AC2650" s="9"/>
      <c r="AD2650" s="9"/>
      <c r="AF2650" s="10"/>
      <c r="AG2650" s="10"/>
      <c r="AH2650" s="10"/>
      <c r="AI2650" s="10"/>
    </row>
    <row r="2651" spans="28:35" ht="15" hidden="1" customHeight="1">
      <c r="AB2651" s="9"/>
      <c r="AC2651" s="9"/>
      <c r="AD2651" s="9"/>
      <c r="AF2651" s="10"/>
      <c r="AG2651" s="10"/>
      <c r="AH2651" s="10"/>
      <c r="AI2651" s="10"/>
    </row>
    <row r="2652" spans="28:35" ht="15" hidden="1" customHeight="1">
      <c r="AB2652" s="9"/>
      <c r="AC2652" s="9"/>
      <c r="AD2652" s="9"/>
      <c r="AF2652" s="10"/>
      <c r="AG2652" s="10"/>
      <c r="AH2652" s="10"/>
      <c r="AI2652" s="10"/>
    </row>
    <row r="2653" spans="28:35" ht="15" hidden="1" customHeight="1">
      <c r="AB2653" s="9"/>
      <c r="AC2653" s="9"/>
      <c r="AD2653" s="9"/>
      <c r="AF2653" s="10"/>
      <c r="AG2653" s="10"/>
      <c r="AH2653" s="10"/>
      <c r="AI2653" s="10"/>
    </row>
    <row r="2654" spans="28:35" ht="15" hidden="1" customHeight="1">
      <c r="AB2654" s="9"/>
      <c r="AC2654" s="9"/>
      <c r="AD2654" s="9"/>
      <c r="AF2654" s="10"/>
      <c r="AG2654" s="10"/>
      <c r="AH2654" s="10"/>
      <c r="AI2654" s="10"/>
    </row>
    <row r="2655" spans="28:35" ht="15" hidden="1" customHeight="1">
      <c r="AB2655" s="9"/>
      <c r="AC2655" s="9"/>
      <c r="AD2655" s="9"/>
      <c r="AF2655" s="10"/>
      <c r="AG2655" s="10"/>
      <c r="AH2655" s="10"/>
      <c r="AI2655" s="10"/>
    </row>
    <row r="2656" spans="28:35" ht="15" hidden="1" customHeight="1">
      <c r="AB2656" s="9"/>
      <c r="AC2656" s="9"/>
      <c r="AD2656" s="9"/>
      <c r="AF2656" s="10"/>
      <c r="AG2656" s="10"/>
      <c r="AH2656" s="10"/>
      <c r="AI2656" s="10"/>
    </row>
    <row r="2657" spans="28:35" ht="15" hidden="1" customHeight="1">
      <c r="AB2657" s="9"/>
      <c r="AC2657" s="9"/>
      <c r="AD2657" s="9"/>
      <c r="AF2657" s="10"/>
      <c r="AG2657" s="10"/>
      <c r="AH2657" s="10"/>
      <c r="AI2657" s="10"/>
    </row>
    <row r="2658" spans="28:35" ht="15" hidden="1" customHeight="1">
      <c r="AB2658" s="9"/>
      <c r="AC2658" s="9"/>
      <c r="AD2658" s="9"/>
      <c r="AF2658" s="10"/>
      <c r="AG2658" s="10"/>
      <c r="AH2658" s="10"/>
      <c r="AI2658" s="10"/>
    </row>
    <row r="2659" spans="28:35" ht="15" hidden="1" customHeight="1">
      <c r="AB2659" s="9"/>
      <c r="AC2659" s="9"/>
      <c r="AD2659" s="9"/>
      <c r="AF2659" s="10"/>
      <c r="AG2659" s="10"/>
      <c r="AH2659" s="10"/>
      <c r="AI2659" s="10"/>
    </row>
    <row r="2660" spans="28:35" ht="15" hidden="1" customHeight="1">
      <c r="AB2660" s="9"/>
      <c r="AC2660" s="9"/>
      <c r="AD2660" s="9"/>
      <c r="AF2660" s="10"/>
      <c r="AG2660" s="10"/>
      <c r="AH2660" s="10"/>
      <c r="AI2660" s="10"/>
    </row>
    <row r="2661" spans="28:35" ht="15" hidden="1" customHeight="1">
      <c r="AB2661" s="9"/>
      <c r="AC2661" s="9"/>
      <c r="AD2661" s="9"/>
      <c r="AF2661" s="10"/>
      <c r="AG2661" s="10"/>
      <c r="AH2661" s="10"/>
      <c r="AI2661" s="10"/>
    </row>
    <row r="2662" spans="28:35" ht="15" hidden="1" customHeight="1">
      <c r="AB2662" s="9"/>
      <c r="AC2662" s="9"/>
      <c r="AD2662" s="9"/>
      <c r="AF2662" s="10"/>
      <c r="AG2662" s="10"/>
      <c r="AH2662" s="10"/>
      <c r="AI2662" s="10"/>
    </row>
    <row r="2663" spans="28:35" ht="15" hidden="1" customHeight="1">
      <c r="AB2663" s="9"/>
      <c r="AC2663" s="9"/>
      <c r="AD2663" s="9"/>
      <c r="AF2663" s="10"/>
      <c r="AG2663" s="10"/>
      <c r="AH2663" s="10"/>
      <c r="AI2663" s="10"/>
    </row>
    <row r="2664" spans="28:35" ht="15" hidden="1" customHeight="1">
      <c r="AB2664" s="9"/>
      <c r="AC2664" s="9"/>
      <c r="AD2664" s="9"/>
      <c r="AF2664" s="10"/>
      <c r="AG2664" s="10"/>
      <c r="AH2664" s="10"/>
      <c r="AI2664" s="10"/>
    </row>
    <row r="2665" spans="28:35" ht="15" hidden="1" customHeight="1">
      <c r="AB2665" s="9"/>
      <c r="AC2665" s="9"/>
      <c r="AD2665" s="9"/>
      <c r="AF2665" s="10"/>
      <c r="AG2665" s="10"/>
      <c r="AH2665" s="10"/>
      <c r="AI2665" s="10"/>
    </row>
    <row r="2666" spans="28:35" ht="15" hidden="1" customHeight="1">
      <c r="AB2666" s="9"/>
      <c r="AC2666" s="9"/>
      <c r="AD2666" s="9"/>
      <c r="AF2666" s="10"/>
      <c r="AG2666" s="10"/>
      <c r="AH2666" s="10"/>
      <c r="AI2666" s="10"/>
    </row>
    <row r="2667" spans="28:35" ht="15" hidden="1" customHeight="1">
      <c r="AB2667" s="9"/>
      <c r="AC2667" s="9"/>
      <c r="AD2667" s="9"/>
      <c r="AF2667" s="10"/>
      <c r="AG2667" s="10"/>
      <c r="AH2667" s="10"/>
      <c r="AI2667" s="10"/>
    </row>
    <row r="2668" spans="28:35" ht="15" hidden="1" customHeight="1">
      <c r="AB2668" s="9"/>
      <c r="AC2668" s="9"/>
      <c r="AD2668" s="9"/>
      <c r="AF2668" s="10"/>
      <c r="AG2668" s="10"/>
      <c r="AH2668" s="10"/>
      <c r="AI2668" s="10"/>
    </row>
    <row r="2669" spans="28:35" ht="15" hidden="1" customHeight="1">
      <c r="AB2669" s="9"/>
      <c r="AC2669" s="9"/>
      <c r="AD2669" s="9"/>
      <c r="AF2669" s="10"/>
      <c r="AG2669" s="10"/>
      <c r="AH2669" s="10"/>
      <c r="AI2669" s="10"/>
    </row>
    <row r="2670" spans="28:35" ht="15" hidden="1" customHeight="1">
      <c r="AB2670" s="9"/>
      <c r="AC2670" s="9"/>
      <c r="AD2670" s="9"/>
      <c r="AF2670" s="10"/>
      <c r="AG2670" s="10"/>
      <c r="AH2670" s="10"/>
      <c r="AI2670" s="10"/>
    </row>
    <row r="2671" spans="28:35" ht="15" hidden="1" customHeight="1">
      <c r="AB2671" s="9"/>
      <c r="AC2671" s="9"/>
      <c r="AD2671" s="9"/>
      <c r="AF2671" s="10"/>
      <c r="AG2671" s="10"/>
      <c r="AH2671" s="10"/>
      <c r="AI2671" s="10"/>
    </row>
    <row r="2672" spans="28:35" ht="15" hidden="1" customHeight="1">
      <c r="AB2672" s="9"/>
      <c r="AC2672" s="9"/>
      <c r="AD2672" s="9"/>
      <c r="AF2672" s="10"/>
      <c r="AG2672" s="10"/>
      <c r="AH2672" s="10"/>
      <c r="AI2672" s="10"/>
    </row>
    <row r="2673" spans="28:35" ht="15" hidden="1" customHeight="1">
      <c r="AB2673" s="9"/>
      <c r="AC2673" s="9"/>
      <c r="AD2673" s="9"/>
      <c r="AF2673" s="10"/>
      <c r="AG2673" s="10"/>
      <c r="AH2673" s="10"/>
      <c r="AI2673" s="10"/>
    </row>
    <row r="2674" spans="28:35" ht="15" hidden="1" customHeight="1">
      <c r="AB2674" s="9"/>
      <c r="AC2674" s="9"/>
      <c r="AD2674" s="9"/>
      <c r="AF2674" s="10"/>
      <c r="AG2674" s="10"/>
      <c r="AH2674" s="10"/>
      <c r="AI2674" s="10"/>
    </row>
    <row r="2675" spans="28:35" ht="15" hidden="1" customHeight="1">
      <c r="AB2675" s="9"/>
      <c r="AC2675" s="9"/>
      <c r="AD2675" s="9"/>
      <c r="AF2675" s="10"/>
      <c r="AG2675" s="10"/>
      <c r="AH2675" s="10"/>
      <c r="AI2675" s="10"/>
    </row>
    <row r="2676" spans="28:35" ht="15" hidden="1" customHeight="1">
      <c r="AB2676" s="9"/>
      <c r="AC2676" s="9"/>
      <c r="AD2676" s="9"/>
      <c r="AF2676" s="10"/>
      <c r="AG2676" s="10"/>
      <c r="AH2676" s="10"/>
      <c r="AI2676" s="10"/>
    </row>
    <row r="2677" spans="28:35" ht="15" hidden="1" customHeight="1">
      <c r="AB2677" s="9"/>
      <c r="AC2677" s="9"/>
      <c r="AD2677" s="9"/>
      <c r="AF2677" s="10"/>
      <c r="AG2677" s="10"/>
      <c r="AH2677" s="10"/>
      <c r="AI2677" s="10"/>
    </row>
    <row r="2678" spans="28:35" ht="15" hidden="1" customHeight="1">
      <c r="AB2678" s="9"/>
      <c r="AC2678" s="9"/>
      <c r="AD2678" s="9"/>
      <c r="AF2678" s="10"/>
      <c r="AG2678" s="10"/>
      <c r="AH2678" s="10"/>
      <c r="AI2678" s="10"/>
    </row>
    <row r="2679" spans="28:35" ht="15" hidden="1" customHeight="1">
      <c r="AB2679" s="9"/>
      <c r="AC2679" s="9"/>
      <c r="AD2679" s="9"/>
      <c r="AF2679" s="10"/>
      <c r="AG2679" s="10"/>
      <c r="AH2679" s="10"/>
      <c r="AI2679" s="10"/>
    </row>
    <row r="2680" spans="28:35" ht="15" hidden="1" customHeight="1">
      <c r="AB2680" s="9"/>
      <c r="AC2680" s="9"/>
      <c r="AD2680" s="9"/>
      <c r="AF2680" s="10"/>
      <c r="AG2680" s="10"/>
      <c r="AH2680" s="10"/>
      <c r="AI2680" s="10"/>
    </row>
    <row r="2681" spans="28:35" ht="15" hidden="1" customHeight="1">
      <c r="AB2681" s="9"/>
      <c r="AC2681" s="9"/>
      <c r="AD2681" s="9"/>
      <c r="AF2681" s="10"/>
      <c r="AG2681" s="10"/>
      <c r="AH2681" s="10"/>
      <c r="AI2681" s="10"/>
    </row>
    <row r="2682" spans="28:35" ht="15" hidden="1" customHeight="1">
      <c r="AB2682" s="9"/>
      <c r="AC2682" s="9"/>
      <c r="AD2682" s="9"/>
      <c r="AF2682" s="10"/>
      <c r="AG2682" s="10"/>
      <c r="AH2682" s="10"/>
      <c r="AI2682" s="10"/>
    </row>
    <row r="2683" spans="28:35" ht="15" hidden="1" customHeight="1">
      <c r="AB2683" s="9"/>
      <c r="AC2683" s="9"/>
      <c r="AD2683" s="9"/>
      <c r="AF2683" s="10"/>
      <c r="AG2683" s="10"/>
      <c r="AH2683" s="10"/>
      <c r="AI2683" s="10"/>
    </row>
    <row r="2684" spans="28:35" ht="15" hidden="1" customHeight="1">
      <c r="AB2684" s="9"/>
      <c r="AC2684" s="9"/>
      <c r="AD2684" s="9"/>
      <c r="AF2684" s="10"/>
      <c r="AG2684" s="10"/>
      <c r="AH2684" s="10"/>
      <c r="AI2684" s="10"/>
    </row>
    <row r="2685" spans="28:35" ht="15" hidden="1" customHeight="1">
      <c r="AB2685" s="9"/>
      <c r="AC2685" s="9"/>
      <c r="AD2685" s="9"/>
      <c r="AF2685" s="10"/>
      <c r="AG2685" s="10"/>
      <c r="AH2685" s="10"/>
      <c r="AI2685" s="10"/>
    </row>
    <row r="2686" spans="28:35" ht="15" hidden="1" customHeight="1">
      <c r="AB2686" s="9"/>
      <c r="AC2686" s="9"/>
      <c r="AD2686" s="9"/>
      <c r="AF2686" s="10"/>
      <c r="AG2686" s="10"/>
      <c r="AH2686" s="10"/>
      <c r="AI2686" s="10"/>
    </row>
    <row r="2687" spans="28:35" ht="15" hidden="1" customHeight="1">
      <c r="AB2687" s="9"/>
      <c r="AC2687" s="9"/>
      <c r="AD2687" s="9"/>
      <c r="AF2687" s="10"/>
      <c r="AG2687" s="10"/>
      <c r="AH2687" s="10"/>
      <c r="AI2687" s="10"/>
    </row>
    <row r="2688" spans="28:35" ht="15" hidden="1" customHeight="1">
      <c r="AB2688" s="9"/>
      <c r="AC2688" s="9"/>
      <c r="AD2688" s="9"/>
      <c r="AF2688" s="10"/>
      <c r="AG2688" s="10"/>
      <c r="AH2688" s="10"/>
      <c r="AI2688" s="10"/>
    </row>
    <row r="2689" spans="28:35" ht="15" hidden="1" customHeight="1">
      <c r="AB2689" s="9"/>
      <c r="AC2689" s="9"/>
      <c r="AD2689" s="9"/>
      <c r="AF2689" s="10"/>
      <c r="AG2689" s="10"/>
      <c r="AH2689" s="10"/>
      <c r="AI2689" s="10"/>
    </row>
    <row r="2690" spans="28:35" ht="15" hidden="1" customHeight="1">
      <c r="AB2690" s="9"/>
      <c r="AC2690" s="9"/>
      <c r="AD2690" s="9"/>
      <c r="AF2690" s="10"/>
      <c r="AG2690" s="10"/>
      <c r="AH2690" s="10"/>
      <c r="AI2690" s="10"/>
    </row>
    <row r="2691" spans="28:35" ht="15" hidden="1" customHeight="1">
      <c r="AB2691" s="9"/>
      <c r="AC2691" s="9"/>
      <c r="AD2691" s="9"/>
      <c r="AF2691" s="10"/>
      <c r="AG2691" s="10"/>
      <c r="AH2691" s="10"/>
      <c r="AI2691" s="10"/>
    </row>
    <row r="2692" spans="28:35" ht="15" hidden="1" customHeight="1">
      <c r="AB2692" s="9"/>
      <c r="AC2692" s="9"/>
      <c r="AD2692" s="9"/>
      <c r="AF2692" s="10"/>
      <c r="AG2692" s="10"/>
      <c r="AH2692" s="10"/>
      <c r="AI2692" s="10"/>
    </row>
    <row r="2693" spans="28:35" ht="15" hidden="1" customHeight="1">
      <c r="AB2693" s="9"/>
      <c r="AC2693" s="9"/>
      <c r="AD2693" s="9"/>
      <c r="AF2693" s="10"/>
      <c r="AG2693" s="10"/>
      <c r="AH2693" s="10"/>
      <c r="AI2693" s="10"/>
    </row>
    <row r="2694" spans="28:35" ht="15" hidden="1" customHeight="1">
      <c r="AB2694" s="9"/>
      <c r="AC2694" s="9"/>
      <c r="AD2694" s="9"/>
      <c r="AF2694" s="10"/>
      <c r="AG2694" s="10"/>
      <c r="AH2694" s="10"/>
      <c r="AI2694" s="10"/>
    </row>
    <row r="2695" spans="28:35" ht="15" hidden="1" customHeight="1">
      <c r="AB2695" s="9"/>
      <c r="AC2695" s="9"/>
      <c r="AD2695" s="9"/>
      <c r="AF2695" s="10"/>
      <c r="AG2695" s="10"/>
      <c r="AH2695" s="10"/>
      <c r="AI2695" s="10"/>
    </row>
    <row r="2696" spans="28:35" ht="15" hidden="1" customHeight="1">
      <c r="AB2696" s="9"/>
      <c r="AC2696" s="9"/>
      <c r="AD2696" s="9"/>
      <c r="AF2696" s="10"/>
      <c r="AG2696" s="10"/>
      <c r="AH2696" s="10"/>
      <c r="AI2696" s="10"/>
    </row>
    <row r="2697" spans="28:35" ht="15" hidden="1" customHeight="1">
      <c r="AB2697" s="9"/>
      <c r="AC2697" s="9"/>
      <c r="AD2697" s="9"/>
      <c r="AF2697" s="10"/>
      <c r="AG2697" s="10"/>
      <c r="AH2697" s="10"/>
      <c r="AI2697" s="10"/>
    </row>
    <row r="2698" spans="28:35" ht="15" hidden="1" customHeight="1">
      <c r="AB2698" s="9"/>
      <c r="AC2698" s="9"/>
      <c r="AD2698" s="9"/>
      <c r="AF2698" s="10"/>
      <c r="AG2698" s="10"/>
      <c r="AH2698" s="10"/>
      <c r="AI2698" s="10"/>
    </row>
    <row r="2699" spans="28:35" ht="15" hidden="1" customHeight="1">
      <c r="AB2699" s="9"/>
      <c r="AC2699" s="9"/>
      <c r="AD2699" s="9"/>
      <c r="AF2699" s="10"/>
      <c r="AG2699" s="10"/>
      <c r="AH2699" s="10"/>
      <c r="AI2699" s="10"/>
    </row>
    <row r="2700" spans="28:35" ht="15" hidden="1" customHeight="1">
      <c r="AB2700" s="9"/>
      <c r="AC2700" s="9"/>
      <c r="AD2700" s="9"/>
      <c r="AF2700" s="10"/>
      <c r="AG2700" s="10"/>
      <c r="AH2700" s="10"/>
      <c r="AI2700" s="10"/>
    </row>
    <row r="2701" spans="28:35" ht="15" hidden="1" customHeight="1">
      <c r="AB2701" s="9"/>
      <c r="AC2701" s="9"/>
      <c r="AD2701" s="9"/>
      <c r="AF2701" s="10"/>
      <c r="AG2701" s="10"/>
      <c r="AH2701" s="10"/>
      <c r="AI2701" s="10"/>
    </row>
    <row r="2702" spans="28:35" ht="15" hidden="1" customHeight="1">
      <c r="AB2702" s="9"/>
      <c r="AC2702" s="9"/>
      <c r="AD2702" s="9"/>
      <c r="AF2702" s="10"/>
      <c r="AG2702" s="10"/>
      <c r="AH2702" s="10"/>
      <c r="AI2702" s="10"/>
    </row>
    <row r="2703" spans="28:35" ht="15" hidden="1" customHeight="1">
      <c r="AB2703" s="9"/>
      <c r="AC2703" s="9"/>
      <c r="AD2703" s="9"/>
      <c r="AF2703" s="10"/>
      <c r="AG2703" s="10"/>
      <c r="AH2703" s="10"/>
      <c r="AI2703" s="10"/>
    </row>
    <row r="2704" spans="28:35" ht="15" hidden="1" customHeight="1">
      <c r="AB2704" s="9"/>
      <c r="AC2704" s="9"/>
      <c r="AD2704" s="9"/>
      <c r="AF2704" s="10"/>
      <c r="AG2704" s="10"/>
      <c r="AH2704" s="10"/>
      <c r="AI2704" s="10"/>
    </row>
    <row r="2705" spans="28:35" ht="15" hidden="1" customHeight="1">
      <c r="AB2705" s="9"/>
      <c r="AC2705" s="9"/>
      <c r="AD2705" s="9"/>
      <c r="AF2705" s="10"/>
      <c r="AG2705" s="10"/>
      <c r="AH2705" s="10"/>
      <c r="AI2705" s="10"/>
    </row>
    <row r="2706" spans="28:35" ht="15" hidden="1" customHeight="1">
      <c r="AB2706" s="9"/>
      <c r="AC2706" s="9"/>
      <c r="AD2706" s="9"/>
      <c r="AF2706" s="10"/>
      <c r="AG2706" s="10"/>
      <c r="AH2706" s="10"/>
      <c r="AI2706" s="10"/>
    </row>
    <row r="2707" spans="28:35" ht="15" hidden="1" customHeight="1">
      <c r="AB2707" s="9"/>
      <c r="AC2707" s="9"/>
      <c r="AD2707" s="9"/>
      <c r="AF2707" s="10"/>
      <c r="AG2707" s="10"/>
      <c r="AH2707" s="10"/>
      <c r="AI2707" s="10"/>
    </row>
    <row r="2708" spans="28:35" ht="15" hidden="1" customHeight="1">
      <c r="AB2708" s="9"/>
      <c r="AC2708" s="9"/>
      <c r="AD2708" s="9"/>
      <c r="AF2708" s="10"/>
      <c r="AG2708" s="10"/>
      <c r="AH2708" s="10"/>
      <c r="AI2708" s="10"/>
    </row>
    <row r="2709" spans="28:35" ht="15" hidden="1" customHeight="1">
      <c r="AB2709" s="9"/>
      <c r="AC2709" s="9"/>
      <c r="AD2709" s="9"/>
      <c r="AF2709" s="10"/>
      <c r="AG2709" s="10"/>
      <c r="AH2709" s="10"/>
      <c r="AI2709" s="10"/>
    </row>
    <row r="2710" spans="28:35" ht="15" hidden="1" customHeight="1">
      <c r="AB2710" s="9"/>
      <c r="AC2710" s="9"/>
      <c r="AD2710" s="9"/>
      <c r="AF2710" s="10"/>
      <c r="AG2710" s="10"/>
      <c r="AH2710" s="10"/>
      <c r="AI2710" s="10"/>
    </row>
    <row r="2711" spans="28:35" ht="15" hidden="1" customHeight="1">
      <c r="AB2711" s="9"/>
      <c r="AC2711" s="9"/>
      <c r="AD2711" s="9"/>
      <c r="AF2711" s="10"/>
      <c r="AG2711" s="10"/>
      <c r="AH2711" s="10"/>
      <c r="AI2711" s="10"/>
    </row>
    <row r="2712" spans="28:35" ht="15" hidden="1" customHeight="1">
      <c r="AB2712" s="9"/>
      <c r="AC2712" s="9"/>
      <c r="AD2712" s="9"/>
      <c r="AF2712" s="10"/>
      <c r="AG2712" s="10"/>
      <c r="AH2712" s="10"/>
      <c r="AI2712" s="10"/>
    </row>
    <row r="2713" spans="28:35" ht="15" hidden="1" customHeight="1">
      <c r="AB2713" s="9"/>
      <c r="AC2713" s="9"/>
      <c r="AD2713" s="9"/>
      <c r="AF2713" s="10"/>
      <c r="AG2713" s="10"/>
      <c r="AH2713" s="10"/>
      <c r="AI2713" s="10"/>
    </row>
    <row r="2714" spans="28:35" ht="15" hidden="1" customHeight="1">
      <c r="AB2714" s="9"/>
      <c r="AC2714" s="9"/>
      <c r="AD2714" s="9"/>
      <c r="AF2714" s="10"/>
      <c r="AG2714" s="10"/>
      <c r="AH2714" s="10"/>
      <c r="AI2714" s="10"/>
    </row>
    <row r="2715" spans="28:35" ht="15" hidden="1" customHeight="1">
      <c r="AB2715" s="9"/>
      <c r="AC2715" s="9"/>
      <c r="AD2715" s="9"/>
      <c r="AF2715" s="10"/>
      <c r="AG2715" s="10"/>
      <c r="AH2715" s="10"/>
      <c r="AI2715" s="10"/>
    </row>
    <row r="2716" spans="28:35" ht="15" hidden="1" customHeight="1">
      <c r="AB2716" s="9"/>
      <c r="AC2716" s="9"/>
      <c r="AD2716" s="9"/>
      <c r="AF2716" s="10"/>
      <c r="AG2716" s="10"/>
      <c r="AH2716" s="10"/>
      <c r="AI2716" s="10"/>
    </row>
    <row r="2717" spans="28:35" ht="15" hidden="1" customHeight="1">
      <c r="AB2717" s="9"/>
      <c r="AC2717" s="9"/>
      <c r="AD2717" s="9"/>
      <c r="AF2717" s="10"/>
      <c r="AG2717" s="10"/>
      <c r="AH2717" s="10"/>
      <c r="AI2717" s="10"/>
    </row>
    <row r="2718" spans="28:35" ht="15" hidden="1" customHeight="1">
      <c r="AB2718" s="9"/>
      <c r="AC2718" s="9"/>
      <c r="AD2718" s="9"/>
      <c r="AF2718" s="10"/>
      <c r="AG2718" s="10"/>
      <c r="AH2718" s="10"/>
      <c r="AI2718" s="10"/>
    </row>
    <row r="2719" spans="28:35" ht="15" hidden="1" customHeight="1">
      <c r="AB2719" s="9"/>
      <c r="AC2719" s="9"/>
      <c r="AD2719" s="9"/>
      <c r="AF2719" s="10"/>
      <c r="AG2719" s="10"/>
      <c r="AH2719" s="10"/>
      <c r="AI2719" s="10"/>
    </row>
    <row r="2720" spans="28:35" ht="15" hidden="1" customHeight="1">
      <c r="AB2720" s="9"/>
      <c r="AC2720" s="9"/>
      <c r="AD2720" s="9"/>
      <c r="AF2720" s="10"/>
      <c r="AG2720" s="10"/>
      <c r="AH2720" s="10"/>
      <c r="AI2720" s="10"/>
    </row>
    <row r="2721" spans="28:35" ht="15" hidden="1" customHeight="1">
      <c r="AB2721" s="9"/>
      <c r="AC2721" s="9"/>
      <c r="AD2721" s="9"/>
      <c r="AF2721" s="10"/>
      <c r="AG2721" s="10"/>
      <c r="AH2721" s="10"/>
      <c r="AI2721" s="10"/>
    </row>
    <row r="2722" spans="28:35" ht="15" hidden="1" customHeight="1">
      <c r="AB2722" s="9"/>
      <c r="AC2722" s="9"/>
      <c r="AD2722" s="9"/>
      <c r="AF2722" s="10"/>
      <c r="AG2722" s="10"/>
      <c r="AH2722" s="10"/>
      <c r="AI2722" s="10"/>
    </row>
    <row r="2723" spans="28:35" ht="15" hidden="1" customHeight="1">
      <c r="AB2723" s="9"/>
      <c r="AC2723" s="9"/>
      <c r="AD2723" s="9"/>
      <c r="AF2723" s="10"/>
      <c r="AG2723" s="10"/>
      <c r="AH2723" s="10"/>
      <c r="AI2723" s="10"/>
    </row>
    <row r="2724" spans="28:35" ht="15" hidden="1" customHeight="1">
      <c r="AB2724" s="9"/>
      <c r="AC2724" s="9"/>
      <c r="AD2724" s="9"/>
      <c r="AF2724" s="10"/>
      <c r="AG2724" s="10"/>
      <c r="AH2724" s="10"/>
      <c r="AI2724" s="10"/>
    </row>
    <row r="2725" spans="28:35" ht="15" hidden="1" customHeight="1">
      <c r="AB2725" s="9"/>
      <c r="AC2725" s="9"/>
      <c r="AD2725" s="9"/>
      <c r="AF2725" s="10"/>
      <c r="AG2725" s="10"/>
      <c r="AH2725" s="10"/>
      <c r="AI2725" s="10"/>
    </row>
    <row r="2726" spans="28:35" ht="15" hidden="1" customHeight="1">
      <c r="AB2726" s="9"/>
      <c r="AC2726" s="9"/>
      <c r="AD2726" s="9"/>
      <c r="AF2726" s="10"/>
      <c r="AG2726" s="10"/>
      <c r="AH2726" s="10"/>
      <c r="AI2726" s="10"/>
    </row>
    <row r="2727" spans="28:35" ht="15" hidden="1" customHeight="1">
      <c r="AB2727" s="9"/>
      <c r="AC2727" s="9"/>
      <c r="AD2727" s="9"/>
      <c r="AF2727" s="10"/>
      <c r="AG2727" s="10"/>
      <c r="AH2727" s="10"/>
      <c r="AI2727" s="10"/>
    </row>
    <row r="2728" spans="28:35" ht="15" hidden="1" customHeight="1">
      <c r="AB2728" s="9"/>
      <c r="AC2728" s="9"/>
      <c r="AD2728" s="9"/>
      <c r="AF2728" s="10"/>
      <c r="AG2728" s="10"/>
      <c r="AH2728" s="10"/>
      <c r="AI2728" s="10"/>
    </row>
    <row r="2729" spans="28:35" ht="15" hidden="1" customHeight="1">
      <c r="AB2729" s="9"/>
      <c r="AC2729" s="9"/>
      <c r="AD2729" s="9"/>
      <c r="AF2729" s="10"/>
      <c r="AG2729" s="10"/>
      <c r="AH2729" s="10"/>
      <c r="AI2729" s="10"/>
    </row>
    <row r="2730" spans="28:35" ht="15" hidden="1" customHeight="1">
      <c r="AB2730" s="9"/>
      <c r="AC2730" s="9"/>
      <c r="AD2730" s="9"/>
      <c r="AF2730" s="10"/>
      <c r="AG2730" s="10"/>
      <c r="AH2730" s="10"/>
      <c r="AI2730" s="10"/>
    </row>
    <row r="2731" spans="28:35" ht="15" hidden="1" customHeight="1">
      <c r="AB2731" s="9"/>
      <c r="AC2731" s="9"/>
      <c r="AD2731" s="9"/>
      <c r="AF2731" s="10"/>
      <c r="AG2731" s="10"/>
      <c r="AH2731" s="10"/>
      <c r="AI2731" s="10"/>
    </row>
    <row r="2732" spans="28:35" ht="15" hidden="1" customHeight="1">
      <c r="AB2732" s="9"/>
      <c r="AC2732" s="9"/>
      <c r="AD2732" s="9"/>
      <c r="AF2732" s="10"/>
      <c r="AG2732" s="10"/>
      <c r="AH2732" s="10"/>
      <c r="AI2732" s="10"/>
    </row>
    <row r="2733" spans="28:35" ht="15" hidden="1" customHeight="1">
      <c r="AB2733" s="9"/>
      <c r="AC2733" s="9"/>
      <c r="AD2733" s="9"/>
      <c r="AF2733" s="10"/>
      <c r="AG2733" s="10"/>
      <c r="AH2733" s="10"/>
      <c r="AI2733" s="10"/>
    </row>
    <row r="2734" spans="28:35" ht="15" hidden="1" customHeight="1">
      <c r="AB2734" s="9"/>
      <c r="AC2734" s="9"/>
      <c r="AD2734" s="9"/>
      <c r="AF2734" s="10"/>
      <c r="AG2734" s="10"/>
      <c r="AH2734" s="10"/>
      <c r="AI2734" s="10"/>
    </row>
    <row r="2735" spans="28:35" ht="15" hidden="1" customHeight="1">
      <c r="AB2735" s="9"/>
      <c r="AC2735" s="9"/>
      <c r="AD2735" s="9"/>
      <c r="AF2735" s="10"/>
      <c r="AG2735" s="10"/>
      <c r="AH2735" s="10"/>
      <c r="AI2735" s="10"/>
    </row>
    <row r="2736" spans="28:35" ht="15" hidden="1" customHeight="1">
      <c r="AB2736" s="9"/>
      <c r="AC2736" s="9"/>
      <c r="AD2736" s="9"/>
      <c r="AF2736" s="10"/>
      <c r="AG2736" s="10"/>
      <c r="AH2736" s="10"/>
      <c r="AI2736" s="10"/>
    </row>
    <row r="2737" spans="28:35" ht="15" hidden="1" customHeight="1">
      <c r="AB2737" s="9"/>
      <c r="AC2737" s="9"/>
      <c r="AD2737" s="9"/>
      <c r="AF2737" s="10"/>
      <c r="AG2737" s="10"/>
      <c r="AH2737" s="10"/>
      <c r="AI2737" s="10"/>
    </row>
    <row r="2738" spans="28:35" ht="15" hidden="1" customHeight="1">
      <c r="AB2738" s="9"/>
      <c r="AC2738" s="9"/>
      <c r="AD2738" s="9"/>
      <c r="AF2738" s="10"/>
      <c r="AG2738" s="10"/>
      <c r="AH2738" s="10"/>
      <c r="AI2738" s="10"/>
    </row>
    <row r="2739" spans="28:35" ht="15" hidden="1" customHeight="1">
      <c r="AB2739" s="9"/>
      <c r="AC2739" s="9"/>
      <c r="AD2739" s="9"/>
      <c r="AF2739" s="10"/>
      <c r="AG2739" s="10"/>
      <c r="AH2739" s="10"/>
      <c r="AI2739" s="10"/>
    </row>
    <row r="2740" spans="28:35" ht="15" hidden="1" customHeight="1">
      <c r="AB2740" s="9"/>
      <c r="AC2740" s="9"/>
      <c r="AD2740" s="9"/>
      <c r="AF2740" s="10"/>
      <c r="AG2740" s="10"/>
      <c r="AH2740" s="10"/>
      <c r="AI2740" s="10"/>
    </row>
    <row r="2741" spans="28:35" ht="15" hidden="1" customHeight="1">
      <c r="AB2741" s="9"/>
      <c r="AC2741" s="9"/>
      <c r="AD2741" s="9"/>
      <c r="AF2741" s="10"/>
      <c r="AG2741" s="10"/>
      <c r="AH2741" s="10"/>
      <c r="AI2741" s="10"/>
    </row>
    <row r="2742" spans="28:35" ht="15" hidden="1" customHeight="1">
      <c r="AB2742" s="9"/>
      <c r="AC2742" s="9"/>
      <c r="AD2742" s="9"/>
      <c r="AF2742" s="10"/>
      <c r="AG2742" s="10"/>
      <c r="AH2742" s="10"/>
      <c r="AI2742" s="10"/>
    </row>
    <row r="2743" spans="28:35" ht="15" hidden="1" customHeight="1">
      <c r="AB2743" s="9"/>
      <c r="AC2743" s="9"/>
      <c r="AD2743" s="9"/>
      <c r="AF2743" s="10"/>
      <c r="AG2743" s="10"/>
      <c r="AH2743" s="10"/>
      <c r="AI2743" s="10"/>
    </row>
    <row r="2744" spans="28:35" ht="15" hidden="1" customHeight="1">
      <c r="AB2744" s="9"/>
      <c r="AC2744" s="9"/>
      <c r="AD2744" s="9"/>
      <c r="AF2744" s="10"/>
      <c r="AG2744" s="10"/>
      <c r="AH2744" s="10"/>
      <c r="AI2744" s="10"/>
    </row>
    <row r="2745" spans="28:35" ht="15" hidden="1" customHeight="1">
      <c r="AB2745" s="9"/>
      <c r="AC2745" s="9"/>
      <c r="AD2745" s="9"/>
      <c r="AF2745" s="10"/>
      <c r="AG2745" s="10"/>
      <c r="AH2745" s="10"/>
      <c r="AI2745" s="10"/>
    </row>
    <row r="2746" spans="28:35" ht="15" hidden="1" customHeight="1">
      <c r="AB2746" s="9"/>
      <c r="AC2746" s="9"/>
      <c r="AD2746" s="9"/>
      <c r="AF2746" s="10"/>
      <c r="AG2746" s="10"/>
      <c r="AH2746" s="10"/>
      <c r="AI2746" s="10"/>
    </row>
    <row r="2747" spans="28:35" ht="15" hidden="1" customHeight="1">
      <c r="AB2747" s="9"/>
      <c r="AC2747" s="9"/>
      <c r="AD2747" s="9"/>
      <c r="AF2747" s="10"/>
      <c r="AG2747" s="10"/>
      <c r="AH2747" s="10"/>
      <c r="AI2747" s="10"/>
    </row>
    <row r="2748" spans="28:35" ht="15" hidden="1" customHeight="1">
      <c r="AB2748" s="9"/>
      <c r="AC2748" s="9"/>
      <c r="AD2748" s="9"/>
      <c r="AF2748" s="10"/>
      <c r="AG2748" s="10"/>
      <c r="AH2748" s="10"/>
      <c r="AI2748" s="10"/>
    </row>
    <row r="2749" spans="28:35" ht="15" hidden="1" customHeight="1">
      <c r="AB2749" s="9"/>
      <c r="AC2749" s="9"/>
      <c r="AD2749" s="9"/>
      <c r="AF2749" s="10"/>
      <c r="AG2749" s="10"/>
      <c r="AH2749" s="10"/>
      <c r="AI2749" s="10"/>
    </row>
    <row r="2750" spans="28:35" ht="15" hidden="1" customHeight="1">
      <c r="AB2750" s="9"/>
      <c r="AC2750" s="9"/>
      <c r="AD2750" s="9"/>
      <c r="AF2750" s="10"/>
      <c r="AG2750" s="10"/>
      <c r="AH2750" s="10"/>
      <c r="AI2750" s="10"/>
    </row>
    <row r="2751" spans="28:35" ht="15" hidden="1" customHeight="1">
      <c r="AB2751" s="9"/>
      <c r="AC2751" s="9"/>
      <c r="AD2751" s="9"/>
      <c r="AF2751" s="10"/>
      <c r="AG2751" s="10"/>
      <c r="AH2751" s="10"/>
      <c r="AI2751" s="10"/>
    </row>
    <row r="2752" spans="28:35" ht="15" hidden="1" customHeight="1">
      <c r="AB2752" s="9"/>
      <c r="AC2752" s="9"/>
      <c r="AD2752" s="9"/>
      <c r="AF2752" s="10"/>
      <c r="AG2752" s="10"/>
      <c r="AH2752" s="10"/>
      <c r="AI2752" s="10"/>
    </row>
    <row r="2753" spans="28:35" ht="15" hidden="1" customHeight="1">
      <c r="AB2753" s="9"/>
      <c r="AC2753" s="9"/>
      <c r="AD2753" s="9"/>
      <c r="AF2753" s="10"/>
      <c r="AG2753" s="10"/>
      <c r="AH2753" s="10"/>
      <c r="AI2753" s="10"/>
    </row>
    <row r="2754" spans="28:35" ht="15" hidden="1" customHeight="1">
      <c r="AB2754" s="9"/>
      <c r="AC2754" s="9"/>
      <c r="AD2754" s="9"/>
      <c r="AF2754" s="10"/>
      <c r="AG2754" s="10"/>
      <c r="AH2754" s="10"/>
      <c r="AI2754" s="10"/>
    </row>
    <row r="2755" spans="28:35" ht="15" hidden="1" customHeight="1">
      <c r="AB2755" s="9"/>
      <c r="AC2755" s="9"/>
      <c r="AD2755" s="9"/>
      <c r="AF2755" s="10"/>
      <c r="AG2755" s="10"/>
      <c r="AH2755" s="10"/>
      <c r="AI2755" s="10"/>
    </row>
    <row r="2756" spans="28:35" ht="15" hidden="1" customHeight="1">
      <c r="AB2756" s="9"/>
      <c r="AC2756" s="9"/>
      <c r="AD2756" s="9"/>
      <c r="AF2756" s="10"/>
      <c r="AG2756" s="10"/>
      <c r="AH2756" s="10"/>
      <c r="AI2756" s="10"/>
    </row>
    <row r="2757" spans="28:35" ht="15" hidden="1" customHeight="1">
      <c r="AB2757" s="9"/>
      <c r="AC2757" s="9"/>
      <c r="AD2757" s="9"/>
      <c r="AF2757" s="10"/>
      <c r="AG2757" s="10"/>
      <c r="AH2757" s="10"/>
      <c r="AI2757" s="10"/>
    </row>
    <row r="2758" spans="28:35" ht="15" hidden="1" customHeight="1">
      <c r="AB2758" s="9"/>
      <c r="AC2758" s="9"/>
      <c r="AD2758" s="9"/>
      <c r="AF2758" s="10"/>
      <c r="AG2758" s="10"/>
      <c r="AH2758" s="10"/>
      <c r="AI2758" s="10"/>
    </row>
    <row r="2759" spans="28:35" ht="15" hidden="1" customHeight="1">
      <c r="AB2759" s="9"/>
      <c r="AC2759" s="9"/>
      <c r="AD2759" s="9"/>
      <c r="AF2759" s="10"/>
      <c r="AG2759" s="10"/>
      <c r="AH2759" s="10"/>
      <c r="AI2759" s="10"/>
    </row>
    <row r="2760" spans="28:35" ht="15" hidden="1" customHeight="1">
      <c r="AB2760" s="9"/>
      <c r="AC2760" s="9"/>
      <c r="AD2760" s="9"/>
      <c r="AF2760" s="10"/>
      <c r="AG2760" s="10"/>
      <c r="AH2760" s="10"/>
      <c r="AI2760" s="10"/>
    </row>
    <row r="2761" spans="28:35" ht="15" hidden="1" customHeight="1">
      <c r="AB2761" s="9"/>
      <c r="AC2761" s="9"/>
      <c r="AD2761" s="9"/>
      <c r="AF2761" s="10"/>
      <c r="AG2761" s="10"/>
      <c r="AH2761" s="10"/>
      <c r="AI2761" s="10"/>
    </row>
    <row r="2762" spans="28:35" ht="15" hidden="1" customHeight="1">
      <c r="AB2762" s="9"/>
      <c r="AC2762" s="9"/>
      <c r="AD2762" s="9"/>
      <c r="AF2762" s="10"/>
      <c r="AG2762" s="10"/>
      <c r="AH2762" s="10"/>
      <c r="AI2762" s="10"/>
    </row>
    <row r="2763" spans="28:35" ht="15" hidden="1" customHeight="1">
      <c r="AB2763" s="9"/>
      <c r="AC2763" s="9"/>
      <c r="AD2763" s="9"/>
      <c r="AF2763" s="10"/>
      <c r="AG2763" s="10"/>
      <c r="AH2763" s="10"/>
      <c r="AI2763" s="10"/>
    </row>
    <row r="2764" spans="28:35" ht="15" hidden="1" customHeight="1">
      <c r="AB2764" s="9"/>
      <c r="AC2764" s="9"/>
      <c r="AD2764" s="9"/>
      <c r="AF2764" s="10"/>
      <c r="AG2764" s="10"/>
      <c r="AH2764" s="10"/>
      <c r="AI2764" s="10"/>
    </row>
    <row r="2765" spans="28:35" ht="15" hidden="1" customHeight="1">
      <c r="AB2765" s="9"/>
      <c r="AC2765" s="9"/>
      <c r="AD2765" s="9"/>
      <c r="AF2765" s="10"/>
      <c r="AG2765" s="10"/>
      <c r="AH2765" s="10"/>
      <c r="AI2765" s="10"/>
    </row>
    <row r="2766" spans="28:35" ht="15" hidden="1" customHeight="1">
      <c r="AB2766" s="9"/>
      <c r="AC2766" s="9"/>
      <c r="AD2766" s="9"/>
      <c r="AF2766" s="10"/>
      <c r="AG2766" s="10"/>
      <c r="AH2766" s="10"/>
      <c r="AI2766" s="10"/>
    </row>
    <row r="2767" spans="28:35" ht="15" hidden="1" customHeight="1">
      <c r="AB2767" s="9"/>
      <c r="AC2767" s="9"/>
      <c r="AD2767" s="9"/>
      <c r="AF2767" s="10"/>
      <c r="AG2767" s="10"/>
      <c r="AH2767" s="10"/>
      <c r="AI2767" s="10"/>
    </row>
    <row r="2768" spans="28:35" ht="15" hidden="1" customHeight="1">
      <c r="AB2768" s="9"/>
      <c r="AC2768" s="9"/>
      <c r="AD2768" s="9"/>
      <c r="AF2768" s="10"/>
      <c r="AG2768" s="10"/>
      <c r="AH2768" s="10"/>
      <c r="AI2768" s="10"/>
    </row>
    <row r="2769" spans="28:35" ht="15" hidden="1" customHeight="1">
      <c r="AB2769" s="9"/>
      <c r="AC2769" s="9"/>
      <c r="AD2769" s="9"/>
      <c r="AF2769" s="10"/>
      <c r="AG2769" s="10"/>
      <c r="AH2769" s="10"/>
      <c r="AI2769" s="10"/>
    </row>
    <row r="2770" spans="28:35" ht="15" hidden="1" customHeight="1">
      <c r="AB2770" s="9"/>
      <c r="AC2770" s="9"/>
      <c r="AD2770" s="9"/>
      <c r="AF2770" s="10"/>
      <c r="AG2770" s="10"/>
      <c r="AH2770" s="10"/>
      <c r="AI2770" s="10"/>
    </row>
    <row r="2771" spans="28:35" ht="15" hidden="1" customHeight="1">
      <c r="AB2771" s="9"/>
      <c r="AC2771" s="9"/>
      <c r="AD2771" s="9"/>
      <c r="AF2771" s="10"/>
      <c r="AG2771" s="10"/>
      <c r="AH2771" s="10"/>
      <c r="AI2771" s="10"/>
    </row>
    <row r="2772" spans="28:35" ht="15" hidden="1" customHeight="1">
      <c r="AB2772" s="9"/>
      <c r="AC2772" s="9"/>
      <c r="AD2772" s="9"/>
      <c r="AF2772" s="10"/>
      <c r="AG2772" s="10"/>
      <c r="AH2772" s="10"/>
      <c r="AI2772" s="10"/>
    </row>
    <row r="2773" spans="28:35" ht="15" hidden="1" customHeight="1">
      <c r="AB2773" s="9"/>
      <c r="AC2773" s="9"/>
      <c r="AD2773" s="9"/>
      <c r="AF2773" s="10"/>
      <c r="AG2773" s="10"/>
      <c r="AH2773" s="10"/>
      <c r="AI2773" s="10"/>
    </row>
    <row r="2774" spans="28:35" ht="15" hidden="1" customHeight="1">
      <c r="AB2774" s="9"/>
      <c r="AC2774" s="9"/>
      <c r="AD2774" s="9"/>
      <c r="AF2774" s="10"/>
      <c r="AG2774" s="10"/>
      <c r="AH2774" s="10"/>
      <c r="AI2774" s="10"/>
    </row>
    <row r="2775" spans="28:35" ht="15" hidden="1" customHeight="1">
      <c r="AB2775" s="9"/>
      <c r="AC2775" s="9"/>
      <c r="AD2775" s="9"/>
      <c r="AF2775" s="10"/>
      <c r="AG2775" s="10"/>
      <c r="AH2775" s="10"/>
      <c r="AI2775" s="10"/>
    </row>
    <row r="2776" spans="28:35" ht="15" hidden="1" customHeight="1">
      <c r="AB2776" s="9"/>
      <c r="AC2776" s="9"/>
      <c r="AD2776" s="9"/>
      <c r="AF2776" s="10"/>
      <c r="AG2776" s="10"/>
      <c r="AH2776" s="10"/>
      <c r="AI2776" s="10"/>
    </row>
    <row r="2777" spans="28:35" ht="15" hidden="1" customHeight="1">
      <c r="AB2777" s="9"/>
      <c r="AC2777" s="9"/>
      <c r="AD2777" s="9"/>
      <c r="AF2777" s="10"/>
      <c r="AG2777" s="10"/>
      <c r="AH2777" s="10"/>
      <c r="AI2777" s="10"/>
    </row>
    <row r="2778" spans="28:35" ht="15" hidden="1" customHeight="1">
      <c r="AB2778" s="9"/>
      <c r="AC2778" s="9"/>
      <c r="AD2778" s="9"/>
      <c r="AF2778" s="10"/>
      <c r="AG2778" s="10"/>
      <c r="AH2778" s="10"/>
      <c r="AI2778" s="10"/>
    </row>
    <row r="2779" spans="28:35" ht="15" hidden="1" customHeight="1">
      <c r="AB2779" s="9"/>
      <c r="AC2779" s="9"/>
      <c r="AD2779" s="9"/>
      <c r="AF2779" s="10"/>
      <c r="AG2779" s="10"/>
      <c r="AH2779" s="10"/>
      <c r="AI2779" s="10"/>
    </row>
    <row r="2780" spans="28:35" ht="15" hidden="1" customHeight="1">
      <c r="AB2780" s="9"/>
      <c r="AC2780" s="9"/>
      <c r="AD2780" s="9"/>
      <c r="AF2780" s="10"/>
      <c r="AG2780" s="10"/>
      <c r="AH2780" s="10"/>
      <c r="AI2780" s="10"/>
    </row>
    <row r="2781" spans="28:35" ht="15" hidden="1" customHeight="1">
      <c r="AB2781" s="9"/>
      <c r="AC2781" s="9"/>
      <c r="AD2781" s="9"/>
      <c r="AF2781" s="10"/>
      <c r="AG2781" s="10"/>
      <c r="AH2781" s="10"/>
      <c r="AI2781" s="10"/>
    </row>
    <row r="2782" spans="28:35" ht="15" hidden="1" customHeight="1">
      <c r="AB2782" s="9"/>
      <c r="AC2782" s="9"/>
      <c r="AD2782" s="9"/>
      <c r="AF2782" s="10"/>
      <c r="AG2782" s="10"/>
      <c r="AH2782" s="10"/>
      <c r="AI2782" s="10"/>
    </row>
    <row r="2783" spans="28:35" ht="15" hidden="1" customHeight="1">
      <c r="AB2783" s="9"/>
      <c r="AC2783" s="9"/>
      <c r="AD2783" s="9"/>
      <c r="AF2783" s="10"/>
      <c r="AG2783" s="10"/>
      <c r="AH2783" s="10"/>
      <c r="AI2783" s="10"/>
    </row>
    <row r="2784" spans="28:35" ht="15" hidden="1" customHeight="1">
      <c r="AB2784" s="9"/>
      <c r="AC2784" s="9"/>
      <c r="AD2784" s="9"/>
      <c r="AF2784" s="10"/>
      <c r="AG2784" s="10"/>
      <c r="AH2784" s="10"/>
      <c r="AI2784" s="10"/>
    </row>
    <row r="2785" spans="28:35" ht="15" hidden="1" customHeight="1">
      <c r="AB2785" s="9"/>
      <c r="AC2785" s="9"/>
      <c r="AD2785" s="9"/>
      <c r="AF2785" s="10"/>
      <c r="AG2785" s="10"/>
      <c r="AH2785" s="10"/>
      <c r="AI2785" s="10"/>
    </row>
    <row r="2786" spans="28:35" ht="15" hidden="1" customHeight="1">
      <c r="AB2786" s="9"/>
      <c r="AC2786" s="9"/>
      <c r="AD2786" s="9"/>
      <c r="AF2786" s="10"/>
      <c r="AG2786" s="10"/>
      <c r="AH2786" s="10"/>
      <c r="AI2786" s="10"/>
    </row>
    <row r="2787" spans="28:35" ht="15" hidden="1" customHeight="1">
      <c r="AB2787" s="9"/>
      <c r="AC2787" s="9"/>
      <c r="AD2787" s="9"/>
      <c r="AF2787" s="10"/>
      <c r="AG2787" s="10"/>
      <c r="AH2787" s="10"/>
      <c r="AI2787" s="10"/>
    </row>
    <row r="2788" spans="28:35" ht="15" hidden="1" customHeight="1">
      <c r="AB2788" s="9"/>
      <c r="AC2788" s="9"/>
      <c r="AD2788" s="9"/>
      <c r="AF2788" s="10"/>
      <c r="AG2788" s="10"/>
      <c r="AH2788" s="10"/>
      <c r="AI2788" s="10"/>
    </row>
    <row r="2789" spans="28:35" ht="15" hidden="1" customHeight="1">
      <c r="AB2789" s="9"/>
      <c r="AC2789" s="9"/>
      <c r="AD2789" s="9"/>
      <c r="AF2789" s="10"/>
      <c r="AG2789" s="10"/>
      <c r="AH2789" s="10"/>
      <c r="AI2789" s="10"/>
    </row>
    <row r="2790" spans="28:35" ht="15" hidden="1" customHeight="1">
      <c r="AB2790" s="9"/>
      <c r="AC2790" s="9"/>
      <c r="AD2790" s="9"/>
      <c r="AF2790" s="10"/>
      <c r="AG2790" s="10"/>
      <c r="AH2790" s="10"/>
      <c r="AI2790" s="10"/>
    </row>
    <row r="2791" spans="28:35" ht="15" hidden="1" customHeight="1">
      <c r="AB2791" s="9"/>
      <c r="AC2791" s="9"/>
      <c r="AD2791" s="9"/>
      <c r="AF2791" s="10"/>
      <c r="AG2791" s="10"/>
      <c r="AH2791" s="10"/>
      <c r="AI2791" s="10"/>
    </row>
    <row r="2792" spans="28:35" ht="15" hidden="1" customHeight="1">
      <c r="AB2792" s="9"/>
      <c r="AC2792" s="9"/>
      <c r="AD2792" s="9"/>
      <c r="AF2792" s="10"/>
      <c r="AG2792" s="10"/>
      <c r="AH2792" s="10"/>
      <c r="AI2792" s="10"/>
    </row>
    <row r="2793" spans="28:35" ht="15" hidden="1" customHeight="1">
      <c r="AB2793" s="9"/>
      <c r="AC2793" s="9"/>
      <c r="AD2793" s="9"/>
      <c r="AF2793" s="10"/>
      <c r="AG2793" s="10"/>
      <c r="AH2793" s="10"/>
      <c r="AI2793" s="10"/>
    </row>
    <row r="2794" spans="28:35" ht="15" hidden="1" customHeight="1">
      <c r="AB2794" s="9"/>
      <c r="AC2794" s="9"/>
      <c r="AD2794" s="9"/>
      <c r="AF2794" s="10"/>
      <c r="AG2794" s="10"/>
      <c r="AH2794" s="10"/>
      <c r="AI2794" s="10"/>
    </row>
    <row r="2795" spans="28:35" ht="15" hidden="1" customHeight="1">
      <c r="AB2795" s="9"/>
      <c r="AC2795" s="9"/>
      <c r="AD2795" s="9"/>
      <c r="AF2795" s="10"/>
      <c r="AG2795" s="10"/>
      <c r="AH2795" s="10"/>
      <c r="AI2795" s="10"/>
    </row>
    <row r="2796" spans="28:35" ht="15" hidden="1" customHeight="1">
      <c r="AB2796" s="9"/>
      <c r="AC2796" s="9"/>
      <c r="AD2796" s="9"/>
      <c r="AF2796" s="10"/>
      <c r="AG2796" s="10"/>
      <c r="AH2796" s="10"/>
      <c r="AI2796" s="10"/>
    </row>
    <row r="2797" spans="28:35" ht="15" hidden="1" customHeight="1">
      <c r="AB2797" s="9"/>
      <c r="AC2797" s="9"/>
      <c r="AD2797" s="9"/>
      <c r="AF2797" s="10"/>
      <c r="AG2797" s="10"/>
      <c r="AH2797" s="10"/>
      <c r="AI2797" s="10"/>
    </row>
    <row r="2798" spans="28:35" ht="15" hidden="1" customHeight="1">
      <c r="AB2798" s="9"/>
      <c r="AC2798" s="9"/>
      <c r="AD2798" s="9"/>
      <c r="AF2798" s="10"/>
      <c r="AG2798" s="10"/>
      <c r="AH2798" s="10"/>
      <c r="AI2798" s="10"/>
    </row>
    <row r="2799" spans="28:35" ht="15" hidden="1" customHeight="1">
      <c r="AB2799" s="9"/>
      <c r="AC2799" s="9"/>
      <c r="AD2799" s="9"/>
      <c r="AF2799" s="10"/>
      <c r="AG2799" s="10"/>
      <c r="AH2799" s="10"/>
      <c r="AI2799" s="10"/>
    </row>
    <row r="2800" spans="28:35" ht="15" hidden="1" customHeight="1">
      <c r="AB2800" s="9"/>
      <c r="AC2800" s="9"/>
      <c r="AD2800" s="9"/>
      <c r="AF2800" s="10"/>
      <c r="AG2800" s="10"/>
      <c r="AH2800" s="10"/>
      <c r="AI2800" s="10"/>
    </row>
    <row r="2801" spans="28:35" ht="15" hidden="1" customHeight="1">
      <c r="AB2801" s="9"/>
      <c r="AC2801" s="9"/>
      <c r="AD2801" s="9"/>
      <c r="AF2801" s="10"/>
      <c r="AG2801" s="10"/>
      <c r="AH2801" s="10"/>
      <c r="AI2801" s="10"/>
    </row>
    <row r="2802" spans="28:35" ht="15" hidden="1" customHeight="1">
      <c r="AB2802" s="9"/>
      <c r="AC2802" s="9"/>
      <c r="AD2802" s="9"/>
      <c r="AF2802" s="10"/>
      <c r="AG2802" s="10"/>
      <c r="AH2802" s="10"/>
      <c r="AI2802" s="10"/>
    </row>
    <row r="2803" spans="28:35" ht="15" hidden="1" customHeight="1">
      <c r="AB2803" s="9"/>
      <c r="AC2803" s="9"/>
      <c r="AD2803" s="9"/>
      <c r="AF2803" s="10"/>
      <c r="AG2803" s="10"/>
      <c r="AH2803" s="10"/>
      <c r="AI2803" s="10"/>
    </row>
    <row r="2804" spans="28:35" ht="15" hidden="1" customHeight="1">
      <c r="AB2804" s="9"/>
      <c r="AC2804" s="9"/>
      <c r="AD2804" s="9"/>
      <c r="AF2804" s="10"/>
      <c r="AG2804" s="10"/>
      <c r="AH2804" s="10"/>
      <c r="AI2804" s="10"/>
    </row>
    <row r="2805" spans="28:35" ht="15" hidden="1" customHeight="1">
      <c r="AB2805" s="9"/>
      <c r="AC2805" s="9"/>
      <c r="AD2805" s="9"/>
      <c r="AF2805" s="10"/>
      <c r="AG2805" s="10"/>
      <c r="AH2805" s="10"/>
      <c r="AI2805" s="10"/>
    </row>
    <row r="2806" spans="28:35" ht="15" hidden="1" customHeight="1">
      <c r="AB2806" s="9"/>
      <c r="AC2806" s="9"/>
      <c r="AD2806" s="9"/>
      <c r="AF2806" s="10"/>
      <c r="AG2806" s="10"/>
      <c r="AH2806" s="10"/>
      <c r="AI2806" s="10"/>
    </row>
    <row r="2807" spans="28:35" ht="15" hidden="1" customHeight="1">
      <c r="AB2807" s="9"/>
      <c r="AC2807" s="9"/>
      <c r="AD2807" s="9"/>
      <c r="AF2807" s="10"/>
      <c r="AG2807" s="10"/>
      <c r="AH2807" s="10"/>
      <c r="AI2807" s="10"/>
    </row>
    <row r="2808" spans="28:35" ht="15" hidden="1" customHeight="1">
      <c r="AB2808" s="9"/>
      <c r="AC2808" s="9"/>
      <c r="AD2808" s="9"/>
      <c r="AF2808" s="10"/>
      <c r="AG2808" s="10"/>
      <c r="AH2808" s="10"/>
      <c r="AI2808" s="10"/>
    </row>
    <row r="2809" spans="28:35" ht="15" hidden="1" customHeight="1">
      <c r="AB2809" s="9"/>
      <c r="AC2809" s="9"/>
      <c r="AD2809" s="9"/>
      <c r="AF2809" s="10"/>
      <c r="AG2809" s="10"/>
      <c r="AH2809" s="10"/>
      <c r="AI2809" s="10"/>
    </row>
    <row r="2810" spans="28:35" ht="15" hidden="1" customHeight="1">
      <c r="AB2810" s="9"/>
      <c r="AC2810" s="9"/>
      <c r="AD2810" s="9"/>
      <c r="AF2810" s="10"/>
      <c r="AG2810" s="10"/>
      <c r="AH2810" s="10"/>
      <c r="AI2810" s="10"/>
    </row>
    <row r="2811" spans="28:35" ht="15" hidden="1" customHeight="1">
      <c r="AB2811" s="9"/>
      <c r="AC2811" s="9"/>
      <c r="AD2811" s="9"/>
      <c r="AF2811" s="10"/>
      <c r="AG2811" s="10"/>
      <c r="AH2811" s="10"/>
      <c r="AI2811" s="10"/>
    </row>
    <row r="2812" spans="28:35" ht="15" hidden="1" customHeight="1">
      <c r="AB2812" s="9"/>
      <c r="AC2812" s="9"/>
      <c r="AD2812" s="9"/>
      <c r="AF2812" s="10"/>
      <c r="AG2812" s="10"/>
      <c r="AH2812" s="10"/>
      <c r="AI2812" s="10"/>
    </row>
    <row r="2813" spans="28:35" ht="15" hidden="1" customHeight="1">
      <c r="AB2813" s="9"/>
      <c r="AC2813" s="9"/>
      <c r="AD2813" s="9"/>
      <c r="AF2813" s="10"/>
      <c r="AG2813" s="10"/>
      <c r="AH2813" s="10"/>
      <c r="AI2813" s="10"/>
    </row>
    <row r="2814" spans="28:35" ht="15" hidden="1" customHeight="1">
      <c r="AB2814" s="9"/>
      <c r="AC2814" s="9"/>
      <c r="AD2814" s="9"/>
      <c r="AF2814" s="10"/>
      <c r="AG2814" s="10"/>
      <c r="AH2814" s="10"/>
      <c r="AI2814" s="10"/>
    </row>
    <row r="2815" spans="28:35" ht="15" hidden="1" customHeight="1">
      <c r="AB2815" s="9"/>
      <c r="AC2815" s="9"/>
      <c r="AD2815" s="9"/>
      <c r="AF2815" s="10"/>
      <c r="AG2815" s="10"/>
      <c r="AH2815" s="10"/>
      <c r="AI2815" s="10"/>
    </row>
    <row r="2816" spans="28:35" ht="15" hidden="1" customHeight="1">
      <c r="AB2816" s="9"/>
      <c r="AC2816" s="9"/>
      <c r="AD2816" s="9"/>
      <c r="AF2816" s="10"/>
      <c r="AG2816" s="10"/>
      <c r="AH2816" s="10"/>
      <c r="AI2816" s="10"/>
    </row>
    <row r="2817" spans="28:35" ht="15" hidden="1" customHeight="1">
      <c r="AB2817" s="9"/>
      <c r="AC2817" s="9"/>
      <c r="AD2817" s="9"/>
      <c r="AF2817" s="10"/>
      <c r="AG2817" s="10"/>
      <c r="AH2817" s="10"/>
      <c r="AI2817" s="10"/>
    </row>
    <row r="2818" spans="28:35" ht="15" hidden="1" customHeight="1">
      <c r="AB2818" s="9"/>
      <c r="AC2818" s="9"/>
      <c r="AD2818" s="9"/>
      <c r="AF2818" s="10"/>
      <c r="AG2818" s="10"/>
      <c r="AH2818" s="10"/>
      <c r="AI2818" s="10"/>
    </row>
    <row r="2819" spans="28:35" ht="15" hidden="1" customHeight="1">
      <c r="AB2819" s="9"/>
      <c r="AC2819" s="9"/>
      <c r="AD2819" s="9"/>
      <c r="AF2819" s="10"/>
      <c r="AG2819" s="10"/>
      <c r="AH2819" s="10"/>
      <c r="AI2819" s="10"/>
    </row>
    <row r="2820" spans="28:35" ht="15" hidden="1" customHeight="1">
      <c r="AB2820" s="9"/>
      <c r="AC2820" s="9"/>
      <c r="AD2820" s="9"/>
      <c r="AF2820" s="10"/>
      <c r="AG2820" s="10"/>
      <c r="AH2820" s="10"/>
      <c r="AI2820" s="10"/>
    </row>
    <row r="2821" spans="28:35" ht="15" hidden="1" customHeight="1">
      <c r="AB2821" s="9"/>
      <c r="AC2821" s="9"/>
      <c r="AD2821" s="9"/>
      <c r="AF2821" s="10"/>
      <c r="AG2821" s="10"/>
      <c r="AH2821" s="10"/>
      <c r="AI2821" s="10"/>
    </row>
    <row r="2822" spans="28:35" ht="15" hidden="1" customHeight="1">
      <c r="AB2822" s="9"/>
      <c r="AC2822" s="9"/>
      <c r="AD2822" s="9"/>
      <c r="AF2822" s="10"/>
      <c r="AG2822" s="10"/>
      <c r="AH2822" s="10"/>
      <c r="AI2822" s="10"/>
    </row>
    <row r="2823" spans="28:35" ht="15" hidden="1" customHeight="1">
      <c r="AB2823" s="9"/>
      <c r="AC2823" s="9"/>
      <c r="AD2823" s="9"/>
      <c r="AF2823" s="10"/>
      <c r="AG2823" s="10"/>
      <c r="AH2823" s="10"/>
      <c r="AI2823" s="10"/>
    </row>
    <row r="2824" spans="28:35" ht="15" hidden="1" customHeight="1">
      <c r="AB2824" s="9"/>
      <c r="AC2824" s="9"/>
      <c r="AD2824" s="9"/>
      <c r="AF2824" s="10"/>
      <c r="AG2824" s="10"/>
      <c r="AH2824" s="10"/>
      <c r="AI2824" s="10"/>
    </row>
    <row r="2825" spans="28:35" ht="15" hidden="1" customHeight="1">
      <c r="AB2825" s="9"/>
      <c r="AC2825" s="9"/>
      <c r="AD2825" s="9"/>
      <c r="AF2825" s="10"/>
      <c r="AG2825" s="10"/>
      <c r="AH2825" s="10"/>
      <c r="AI2825" s="10"/>
    </row>
    <row r="2826" spans="28:35" ht="15" hidden="1" customHeight="1">
      <c r="AB2826" s="9"/>
      <c r="AC2826" s="9"/>
      <c r="AD2826" s="9"/>
      <c r="AF2826" s="10"/>
      <c r="AG2826" s="10"/>
      <c r="AH2826" s="10"/>
      <c r="AI2826" s="10"/>
    </row>
    <row r="2827" spans="28:35" ht="15" hidden="1" customHeight="1">
      <c r="AB2827" s="9"/>
      <c r="AC2827" s="9"/>
      <c r="AD2827" s="9"/>
      <c r="AF2827" s="10"/>
      <c r="AG2827" s="10"/>
      <c r="AH2827" s="10"/>
      <c r="AI2827" s="10"/>
    </row>
    <row r="2828" spans="28:35" ht="15" hidden="1" customHeight="1">
      <c r="AB2828" s="9"/>
      <c r="AC2828" s="9"/>
      <c r="AD2828" s="9"/>
      <c r="AF2828" s="10"/>
      <c r="AG2828" s="10"/>
      <c r="AH2828" s="10"/>
      <c r="AI2828" s="10"/>
    </row>
    <row r="2829" spans="28:35" ht="15" hidden="1" customHeight="1">
      <c r="AB2829" s="9"/>
      <c r="AC2829" s="9"/>
      <c r="AD2829" s="9"/>
      <c r="AF2829" s="10"/>
      <c r="AG2829" s="10"/>
      <c r="AH2829" s="10"/>
      <c r="AI2829" s="10"/>
    </row>
    <row r="2830" spans="28:35" ht="15" hidden="1" customHeight="1">
      <c r="AB2830" s="9"/>
      <c r="AC2830" s="9"/>
      <c r="AD2830" s="9"/>
      <c r="AF2830" s="10"/>
      <c r="AG2830" s="10"/>
      <c r="AH2830" s="10"/>
      <c r="AI2830" s="10"/>
    </row>
    <row r="2831" spans="28:35" ht="15" hidden="1" customHeight="1">
      <c r="AB2831" s="9"/>
      <c r="AC2831" s="9"/>
      <c r="AD2831" s="9"/>
      <c r="AF2831" s="10"/>
      <c r="AG2831" s="10"/>
      <c r="AH2831" s="10"/>
      <c r="AI2831" s="10"/>
    </row>
    <row r="2832" spans="28:35" ht="15" hidden="1" customHeight="1">
      <c r="AB2832" s="9"/>
      <c r="AC2832" s="9"/>
      <c r="AD2832" s="9"/>
      <c r="AF2832" s="10"/>
      <c r="AG2832" s="10"/>
      <c r="AH2832" s="10"/>
      <c r="AI2832" s="10"/>
    </row>
    <row r="2833" spans="28:35" ht="15" hidden="1" customHeight="1">
      <c r="AB2833" s="9"/>
      <c r="AC2833" s="9"/>
      <c r="AD2833" s="9"/>
      <c r="AF2833" s="10"/>
      <c r="AG2833" s="10"/>
      <c r="AH2833" s="10"/>
      <c r="AI2833" s="10"/>
    </row>
    <row r="2834" spans="28:35" ht="15" hidden="1" customHeight="1">
      <c r="AB2834" s="9"/>
      <c r="AC2834" s="9"/>
      <c r="AD2834" s="9"/>
      <c r="AF2834" s="10"/>
      <c r="AG2834" s="10"/>
      <c r="AH2834" s="10"/>
      <c r="AI2834" s="10"/>
    </row>
    <row r="2835" spans="28:35" ht="15" hidden="1" customHeight="1">
      <c r="AB2835" s="9"/>
      <c r="AC2835" s="9"/>
      <c r="AD2835" s="9"/>
      <c r="AF2835" s="10"/>
      <c r="AG2835" s="10"/>
      <c r="AH2835" s="10"/>
      <c r="AI2835" s="10"/>
    </row>
    <row r="2836" spans="28:35" ht="15" hidden="1" customHeight="1">
      <c r="AB2836" s="9"/>
      <c r="AC2836" s="9"/>
      <c r="AD2836" s="9"/>
      <c r="AF2836" s="10"/>
      <c r="AG2836" s="10"/>
      <c r="AH2836" s="10"/>
      <c r="AI2836" s="10"/>
    </row>
    <row r="2837" spans="28:35" ht="15" hidden="1" customHeight="1">
      <c r="AB2837" s="9"/>
      <c r="AC2837" s="9"/>
      <c r="AD2837" s="9"/>
      <c r="AF2837" s="10"/>
      <c r="AG2837" s="10"/>
      <c r="AH2837" s="10"/>
      <c r="AI2837" s="10"/>
    </row>
    <row r="2838" spans="28:35" ht="15" hidden="1" customHeight="1">
      <c r="AB2838" s="9"/>
      <c r="AC2838" s="9"/>
      <c r="AD2838" s="9"/>
      <c r="AF2838" s="10"/>
      <c r="AG2838" s="10"/>
      <c r="AH2838" s="10"/>
      <c r="AI2838" s="10"/>
    </row>
    <row r="2839" spans="28:35" ht="15" hidden="1" customHeight="1">
      <c r="AB2839" s="9"/>
      <c r="AC2839" s="9"/>
      <c r="AD2839" s="9"/>
      <c r="AF2839" s="10"/>
      <c r="AG2839" s="10"/>
      <c r="AH2839" s="10"/>
      <c r="AI2839" s="10"/>
    </row>
    <row r="2840" spans="28:35" ht="15" hidden="1" customHeight="1">
      <c r="AB2840" s="9"/>
      <c r="AC2840" s="9"/>
      <c r="AD2840" s="9"/>
      <c r="AF2840" s="10"/>
      <c r="AG2840" s="10"/>
      <c r="AH2840" s="10"/>
      <c r="AI2840" s="10"/>
    </row>
    <row r="2841" spans="28:35" ht="15" hidden="1" customHeight="1">
      <c r="AB2841" s="9"/>
      <c r="AC2841" s="9"/>
      <c r="AD2841" s="9"/>
      <c r="AF2841" s="10"/>
      <c r="AG2841" s="10"/>
      <c r="AH2841" s="10"/>
      <c r="AI2841" s="10"/>
    </row>
    <row r="2842" spans="28:35" ht="15" hidden="1" customHeight="1">
      <c r="AB2842" s="9"/>
      <c r="AC2842" s="9"/>
      <c r="AD2842" s="9"/>
      <c r="AF2842" s="10"/>
      <c r="AG2842" s="10"/>
      <c r="AH2842" s="10"/>
      <c r="AI2842" s="10"/>
    </row>
    <row r="2843" spans="28:35" ht="15" hidden="1" customHeight="1">
      <c r="AB2843" s="9"/>
      <c r="AC2843" s="9"/>
      <c r="AD2843" s="9"/>
      <c r="AF2843" s="10"/>
      <c r="AG2843" s="10"/>
      <c r="AH2843" s="10"/>
      <c r="AI2843" s="10"/>
    </row>
    <row r="2844" spans="28:35" ht="15" hidden="1" customHeight="1">
      <c r="AB2844" s="9"/>
      <c r="AC2844" s="9"/>
      <c r="AD2844" s="9"/>
      <c r="AF2844" s="10"/>
      <c r="AG2844" s="10"/>
      <c r="AH2844" s="10"/>
      <c r="AI2844" s="10"/>
    </row>
    <row r="2845" spans="28:35" ht="15" hidden="1" customHeight="1">
      <c r="AB2845" s="9"/>
      <c r="AC2845" s="9"/>
      <c r="AD2845" s="9"/>
      <c r="AF2845" s="10"/>
      <c r="AG2845" s="10"/>
      <c r="AH2845" s="10"/>
      <c r="AI2845" s="10"/>
    </row>
    <row r="2846" spans="28:35" ht="15" hidden="1" customHeight="1">
      <c r="AB2846" s="9"/>
      <c r="AC2846" s="9"/>
      <c r="AD2846" s="9"/>
      <c r="AF2846" s="10"/>
      <c r="AG2846" s="10"/>
      <c r="AH2846" s="10"/>
      <c r="AI2846" s="10"/>
    </row>
    <row r="2847" spans="28:35" ht="15" hidden="1" customHeight="1">
      <c r="AB2847" s="9"/>
      <c r="AC2847" s="9"/>
      <c r="AD2847" s="9"/>
      <c r="AF2847" s="10"/>
      <c r="AG2847" s="10"/>
      <c r="AH2847" s="10"/>
      <c r="AI2847" s="10"/>
    </row>
    <row r="2848" spans="28:35" ht="15" hidden="1" customHeight="1">
      <c r="AB2848" s="9"/>
      <c r="AC2848" s="9"/>
      <c r="AD2848" s="9"/>
      <c r="AF2848" s="10"/>
      <c r="AG2848" s="10"/>
      <c r="AH2848" s="10"/>
      <c r="AI2848" s="10"/>
    </row>
    <row r="2849" spans="28:35" ht="15" hidden="1" customHeight="1">
      <c r="AB2849" s="9"/>
      <c r="AC2849" s="9"/>
      <c r="AD2849" s="9"/>
      <c r="AF2849" s="10"/>
      <c r="AG2849" s="10"/>
      <c r="AH2849" s="10"/>
      <c r="AI2849" s="10"/>
    </row>
    <row r="2850" spans="28:35" ht="15" hidden="1" customHeight="1">
      <c r="AB2850" s="9"/>
      <c r="AC2850" s="9"/>
      <c r="AD2850" s="9"/>
      <c r="AF2850" s="10"/>
      <c r="AG2850" s="10"/>
      <c r="AH2850" s="10"/>
      <c r="AI2850" s="10"/>
    </row>
    <row r="2851" spans="28:35" ht="15" hidden="1" customHeight="1">
      <c r="AB2851" s="9"/>
      <c r="AC2851" s="9"/>
      <c r="AD2851" s="9"/>
      <c r="AF2851" s="10"/>
      <c r="AG2851" s="10"/>
      <c r="AH2851" s="10"/>
      <c r="AI2851" s="10"/>
    </row>
    <row r="2852" spans="28:35" ht="15" hidden="1" customHeight="1">
      <c r="AB2852" s="9"/>
      <c r="AC2852" s="9"/>
      <c r="AD2852" s="9"/>
      <c r="AF2852" s="10"/>
      <c r="AG2852" s="10"/>
      <c r="AH2852" s="10"/>
      <c r="AI2852" s="10"/>
    </row>
    <row r="2853" spans="28:35" ht="15" hidden="1" customHeight="1">
      <c r="AB2853" s="9"/>
      <c r="AC2853" s="9"/>
      <c r="AD2853" s="9"/>
      <c r="AF2853" s="10"/>
      <c r="AG2853" s="10"/>
      <c r="AH2853" s="10"/>
      <c r="AI2853" s="10"/>
    </row>
    <row r="2854" spans="28:35" ht="15" hidden="1" customHeight="1">
      <c r="AB2854" s="9"/>
      <c r="AC2854" s="9"/>
      <c r="AD2854" s="9"/>
      <c r="AF2854" s="10"/>
      <c r="AG2854" s="10"/>
      <c r="AH2854" s="10"/>
      <c r="AI2854" s="10"/>
    </row>
    <row r="2855" spans="28:35" ht="15" hidden="1" customHeight="1">
      <c r="AB2855" s="9"/>
      <c r="AC2855" s="9"/>
      <c r="AD2855" s="9"/>
      <c r="AF2855" s="10"/>
      <c r="AG2855" s="10"/>
      <c r="AH2855" s="10"/>
      <c r="AI2855" s="10"/>
    </row>
    <row r="2856" spans="28:35" ht="15" hidden="1" customHeight="1">
      <c r="AB2856" s="9"/>
      <c r="AC2856" s="9"/>
      <c r="AD2856" s="9"/>
      <c r="AF2856" s="10"/>
      <c r="AG2856" s="10"/>
      <c r="AH2856" s="10"/>
      <c r="AI2856" s="10"/>
    </row>
    <row r="2857" spans="28:35" ht="15" hidden="1" customHeight="1">
      <c r="AB2857" s="9"/>
      <c r="AC2857" s="9"/>
      <c r="AD2857" s="9"/>
      <c r="AF2857" s="10"/>
      <c r="AG2857" s="10"/>
      <c r="AH2857" s="10"/>
      <c r="AI2857" s="10"/>
    </row>
    <row r="2858" spans="28:35" ht="15" hidden="1" customHeight="1">
      <c r="AB2858" s="9"/>
      <c r="AC2858" s="9"/>
      <c r="AD2858" s="9"/>
      <c r="AF2858" s="10"/>
      <c r="AG2858" s="10"/>
      <c r="AH2858" s="10"/>
      <c r="AI2858" s="10"/>
    </row>
    <row r="2859" spans="28:35" ht="15" hidden="1" customHeight="1">
      <c r="AB2859" s="9"/>
      <c r="AC2859" s="9"/>
      <c r="AD2859" s="9"/>
      <c r="AF2859" s="10"/>
      <c r="AG2859" s="10"/>
      <c r="AH2859" s="10"/>
      <c r="AI2859" s="10"/>
    </row>
    <row r="2860" spans="28:35" ht="15" hidden="1" customHeight="1">
      <c r="AB2860" s="9"/>
      <c r="AC2860" s="9"/>
      <c r="AD2860" s="9"/>
      <c r="AF2860" s="10"/>
      <c r="AG2860" s="10"/>
      <c r="AH2860" s="10"/>
      <c r="AI2860" s="10"/>
    </row>
    <row r="2861" spans="28:35" ht="15" hidden="1" customHeight="1">
      <c r="AB2861" s="9"/>
      <c r="AC2861" s="9"/>
      <c r="AD2861" s="9"/>
      <c r="AF2861" s="10"/>
      <c r="AG2861" s="10"/>
      <c r="AH2861" s="10"/>
      <c r="AI2861" s="10"/>
    </row>
    <row r="2862" spans="28:35" ht="15" hidden="1" customHeight="1">
      <c r="AB2862" s="9"/>
      <c r="AC2862" s="9"/>
      <c r="AD2862" s="9"/>
      <c r="AF2862" s="10"/>
      <c r="AG2862" s="10"/>
      <c r="AH2862" s="10"/>
      <c r="AI2862" s="10"/>
    </row>
    <row r="2863" spans="28:35" ht="15" hidden="1" customHeight="1">
      <c r="AB2863" s="9"/>
      <c r="AC2863" s="9"/>
      <c r="AD2863" s="9"/>
      <c r="AF2863" s="10"/>
      <c r="AG2863" s="10"/>
      <c r="AH2863" s="10"/>
      <c r="AI2863" s="10"/>
    </row>
    <row r="2864" spans="28:35" ht="15" hidden="1" customHeight="1">
      <c r="AB2864" s="9"/>
      <c r="AC2864" s="9"/>
      <c r="AD2864" s="9"/>
      <c r="AF2864" s="10"/>
      <c r="AG2864" s="10"/>
      <c r="AH2864" s="10"/>
      <c r="AI2864" s="10"/>
    </row>
    <row r="2865" spans="28:35" ht="15" hidden="1" customHeight="1">
      <c r="AB2865" s="9"/>
      <c r="AC2865" s="9"/>
      <c r="AD2865" s="9"/>
      <c r="AF2865" s="10"/>
      <c r="AG2865" s="10"/>
      <c r="AH2865" s="10"/>
      <c r="AI2865" s="10"/>
    </row>
    <row r="2866" spans="28:35" ht="15" hidden="1" customHeight="1">
      <c r="AB2866" s="9"/>
      <c r="AC2866" s="9"/>
      <c r="AD2866" s="9"/>
      <c r="AF2866" s="10"/>
      <c r="AG2866" s="10"/>
      <c r="AH2866" s="10"/>
      <c r="AI2866" s="10"/>
    </row>
    <row r="2867" spans="28:35" ht="15" hidden="1" customHeight="1">
      <c r="AB2867" s="9"/>
      <c r="AC2867" s="9"/>
      <c r="AD2867" s="9"/>
      <c r="AF2867" s="10"/>
      <c r="AG2867" s="10"/>
      <c r="AH2867" s="10"/>
      <c r="AI2867" s="10"/>
    </row>
    <row r="2868" spans="28:35" ht="15" hidden="1" customHeight="1">
      <c r="AB2868" s="9"/>
      <c r="AC2868" s="9"/>
      <c r="AD2868" s="9"/>
      <c r="AF2868" s="10"/>
      <c r="AG2868" s="10"/>
      <c r="AH2868" s="10"/>
      <c r="AI2868" s="10"/>
    </row>
    <row r="2869" spans="28:35" ht="15" hidden="1" customHeight="1">
      <c r="AB2869" s="9"/>
      <c r="AC2869" s="9"/>
      <c r="AD2869" s="9"/>
      <c r="AF2869" s="10"/>
      <c r="AG2869" s="10"/>
      <c r="AH2869" s="10"/>
      <c r="AI2869" s="10"/>
    </row>
    <row r="2870" spans="28:35" ht="15" hidden="1" customHeight="1">
      <c r="AB2870" s="9"/>
      <c r="AC2870" s="9"/>
      <c r="AD2870" s="9"/>
      <c r="AF2870" s="10"/>
      <c r="AG2870" s="10"/>
      <c r="AH2870" s="10"/>
      <c r="AI2870" s="10"/>
    </row>
    <row r="2871" spans="28:35" ht="15" hidden="1" customHeight="1">
      <c r="AB2871" s="9"/>
      <c r="AC2871" s="9"/>
      <c r="AD2871" s="9"/>
      <c r="AF2871" s="10"/>
      <c r="AG2871" s="10"/>
      <c r="AH2871" s="10"/>
      <c r="AI2871" s="10"/>
    </row>
    <row r="2872" spans="28:35" ht="15" hidden="1" customHeight="1">
      <c r="AB2872" s="9"/>
      <c r="AC2872" s="9"/>
      <c r="AD2872" s="9"/>
      <c r="AF2872" s="10"/>
      <c r="AG2872" s="10"/>
      <c r="AH2872" s="10"/>
      <c r="AI2872" s="10"/>
    </row>
    <row r="2873" spans="28:35" ht="15" hidden="1" customHeight="1">
      <c r="AB2873" s="9"/>
      <c r="AC2873" s="9"/>
      <c r="AD2873" s="9"/>
      <c r="AF2873" s="10"/>
      <c r="AG2873" s="10"/>
      <c r="AH2873" s="10"/>
      <c r="AI2873" s="10"/>
    </row>
    <row r="2874" spans="28:35" ht="15" hidden="1" customHeight="1">
      <c r="AB2874" s="9"/>
      <c r="AC2874" s="9"/>
      <c r="AD2874" s="9"/>
      <c r="AF2874" s="10"/>
      <c r="AG2874" s="10"/>
      <c r="AH2874" s="10"/>
      <c r="AI2874" s="10"/>
    </row>
    <row r="2875" spans="28:35" ht="15" hidden="1" customHeight="1">
      <c r="AB2875" s="9"/>
      <c r="AC2875" s="9"/>
      <c r="AD2875" s="9"/>
      <c r="AF2875" s="10"/>
      <c r="AG2875" s="10"/>
      <c r="AH2875" s="10"/>
      <c r="AI2875" s="10"/>
    </row>
    <row r="2876" spans="28:35" ht="15" hidden="1" customHeight="1">
      <c r="AB2876" s="9"/>
      <c r="AC2876" s="9"/>
      <c r="AD2876" s="9"/>
      <c r="AF2876" s="10"/>
      <c r="AG2876" s="10"/>
      <c r="AH2876" s="10"/>
      <c r="AI2876" s="10"/>
    </row>
    <row r="2877" spans="28:35" ht="15" hidden="1" customHeight="1">
      <c r="AB2877" s="9"/>
      <c r="AC2877" s="9"/>
      <c r="AD2877" s="9"/>
      <c r="AF2877" s="10"/>
      <c r="AG2877" s="10"/>
      <c r="AH2877" s="10"/>
      <c r="AI2877" s="10"/>
    </row>
    <row r="2878" spans="28:35" ht="15" hidden="1" customHeight="1">
      <c r="AB2878" s="9"/>
      <c r="AC2878" s="9"/>
      <c r="AD2878" s="9"/>
      <c r="AF2878" s="10"/>
      <c r="AG2878" s="10"/>
      <c r="AH2878" s="10"/>
      <c r="AI2878" s="10"/>
    </row>
    <row r="2879" spans="28:35" ht="15" hidden="1" customHeight="1">
      <c r="AB2879" s="9"/>
      <c r="AC2879" s="9"/>
      <c r="AD2879" s="9"/>
      <c r="AF2879" s="10"/>
      <c r="AG2879" s="10"/>
      <c r="AH2879" s="10"/>
      <c r="AI2879" s="10"/>
    </row>
    <row r="2880" spans="28:35" ht="15" hidden="1" customHeight="1">
      <c r="AB2880" s="9"/>
      <c r="AC2880" s="9"/>
      <c r="AD2880" s="9"/>
      <c r="AF2880" s="10"/>
      <c r="AG2880" s="10"/>
      <c r="AH2880" s="10"/>
      <c r="AI2880" s="10"/>
    </row>
    <row r="2881" spans="28:35" ht="15" hidden="1" customHeight="1">
      <c r="AB2881" s="9"/>
      <c r="AC2881" s="9"/>
      <c r="AD2881" s="9"/>
      <c r="AF2881" s="10"/>
      <c r="AG2881" s="10"/>
      <c r="AH2881" s="10"/>
      <c r="AI2881" s="10"/>
    </row>
    <row r="2882" spans="28:35" ht="15" hidden="1" customHeight="1">
      <c r="AB2882" s="9"/>
      <c r="AC2882" s="9"/>
      <c r="AD2882" s="9"/>
      <c r="AF2882" s="10"/>
      <c r="AG2882" s="10"/>
      <c r="AH2882" s="10"/>
      <c r="AI2882" s="10"/>
    </row>
    <row r="2883" spans="28:35" ht="15" hidden="1" customHeight="1">
      <c r="AB2883" s="9"/>
      <c r="AC2883" s="9"/>
      <c r="AD2883" s="9"/>
      <c r="AF2883" s="10"/>
      <c r="AG2883" s="10"/>
      <c r="AH2883" s="10"/>
      <c r="AI2883" s="10"/>
    </row>
    <row r="2884" spans="28:35" ht="15" hidden="1" customHeight="1">
      <c r="AB2884" s="9"/>
      <c r="AC2884" s="9"/>
      <c r="AD2884" s="9"/>
      <c r="AF2884" s="10"/>
      <c r="AG2884" s="10"/>
      <c r="AH2884" s="10"/>
      <c r="AI2884" s="10"/>
    </row>
    <row r="2885" spans="28:35" ht="15" hidden="1" customHeight="1">
      <c r="AB2885" s="9"/>
      <c r="AC2885" s="9"/>
      <c r="AD2885" s="9"/>
      <c r="AF2885" s="10"/>
      <c r="AG2885" s="10"/>
      <c r="AH2885" s="10"/>
      <c r="AI2885" s="10"/>
    </row>
    <row r="2886" spans="28:35" ht="15" hidden="1" customHeight="1">
      <c r="AB2886" s="9"/>
      <c r="AC2886" s="9"/>
      <c r="AD2886" s="9"/>
      <c r="AF2886" s="10"/>
      <c r="AG2886" s="10"/>
      <c r="AH2886" s="10"/>
      <c r="AI2886" s="10"/>
    </row>
    <row r="2887" spans="28:35" ht="15" hidden="1" customHeight="1">
      <c r="AB2887" s="9"/>
      <c r="AC2887" s="9"/>
      <c r="AD2887" s="9"/>
      <c r="AF2887" s="10"/>
      <c r="AG2887" s="10"/>
      <c r="AH2887" s="10"/>
      <c r="AI2887" s="10"/>
    </row>
    <row r="2888" spans="28:35" ht="15" hidden="1" customHeight="1">
      <c r="AB2888" s="9"/>
      <c r="AC2888" s="9"/>
      <c r="AD2888" s="9"/>
      <c r="AF2888" s="10"/>
      <c r="AG2888" s="10"/>
      <c r="AH2888" s="10"/>
      <c r="AI2888" s="10"/>
    </row>
    <row r="2889" spans="28:35" ht="15" hidden="1" customHeight="1">
      <c r="AB2889" s="9"/>
      <c r="AC2889" s="9"/>
      <c r="AD2889" s="9"/>
      <c r="AF2889" s="10"/>
      <c r="AG2889" s="10"/>
      <c r="AH2889" s="10"/>
      <c r="AI2889" s="10"/>
    </row>
    <row r="2890" spans="28:35" ht="15" hidden="1" customHeight="1">
      <c r="AB2890" s="9"/>
      <c r="AC2890" s="9"/>
      <c r="AD2890" s="9"/>
      <c r="AF2890" s="10"/>
      <c r="AG2890" s="10"/>
      <c r="AH2890" s="10"/>
      <c r="AI2890" s="10"/>
    </row>
    <row r="2891" spans="28:35" ht="15" hidden="1" customHeight="1">
      <c r="AB2891" s="9"/>
      <c r="AC2891" s="9"/>
      <c r="AD2891" s="9"/>
      <c r="AF2891" s="10"/>
      <c r="AG2891" s="10"/>
      <c r="AH2891" s="10"/>
      <c r="AI2891" s="10"/>
    </row>
    <row r="2892" spans="28:35" ht="15" hidden="1" customHeight="1">
      <c r="AB2892" s="9"/>
      <c r="AC2892" s="9"/>
      <c r="AD2892" s="9"/>
      <c r="AF2892" s="10"/>
      <c r="AG2892" s="10"/>
      <c r="AH2892" s="10"/>
      <c r="AI2892" s="10"/>
    </row>
    <row r="2893" spans="28:35" ht="15" hidden="1" customHeight="1">
      <c r="AB2893" s="9"/>
      <c r="AC2893" s="9"/>
      <c r="AD2893" s="9"/>
      <c r="AF2893" s="10"/>
      <c r="AG2893" s="10"/>
      <c r="AH2893" s="10"/>
      <c r="AI2893" s="10"/>
    </row>
    <row r="2894" spans="28:35" ht="15" hidden="1" customHeight="1">
      <c r="AB2894" s="9"/>
      <c r="AC2894" s="9"/>
      <c r="AD2894" s="9"/>
      <c r="AF2894" s="10"/>
      <c r="AG2894" s="10"/>
      <c r="AH2894" s="10"/>
      <c r="AI2894" s="10"/>
    </row>
    <row r="2895" spans="28:35" ht="15" hidden="1" customHeight="1">
      <c r="AB2895" s="9"/>
      <c r="AC2895" s="9"/>
      <c r="AD2895" s="9"/>
      <c r="AF2895" s="10"/>
      <c r="AG2895" s="10"/>
      <c r="AH2895" s="10"/>
      <c r="AI2895" s="10"/>
    </row>
    <row r="2896" spans="28:35" ht="15" hidden="1" customHeight="1">
      <c r="AB2896" s="9"/>
      <c r="AC2896" s="9"/>
      <c r="AD2896" s="9"/>
      <c r="AF2896" s="10"/>
      <c r="AG2896" s="10"/>
      <c r="AH2896" s="10"/>
      <c r="AI2896" s="10"/>
    </row>
    <row r="2897" spans="28:35" ht="15" hidden="1" customHeight="1">
      <c r="AB2897" s="9"/>
      <c r="AC2897" s="9"/>
      <c r="AD2897" s="9"/>
      <c r="AF2897" s="10"/>
      <c r="AG2897" s="10"/>
      <c r="AH2897" s="10"/>
      <c r="AI2897" s="10"/>
    </row>
    <row r="2898" spans="28:35" ht="15" hidden="1" customHeight="1">
      <c r="AB2898" s="9"/>
      <c r="AC2898" s="9"/>
      <c r="AD2898" s="9"/>
      <c r="AF2898" s="10"/>
      <c r="AG2898" s="10"/>
      <c r="AH2898" s="10"/>
      <c r="AI2898" s="10"/>
    </row>
    <row r="2899" spans="28:35" ht="15" hidden="1" customHeight="1">
      <c r="AB2899" s="9"/>
      <c r="AC2899" s="9"/>
      <c r="AD2899" s="9"/>
      <c r="AF2899" s="10"/>
      <c r="AG2899" s="10"/>
      <c r="AH2899" s="10"/>
      <c r="AI2899" s="10"/>
    </row>
    <row r="2900" spans="28:35" ht="15" hidden="1" customHeight="1">
      <c r="AB2900" s="9"/>
      <c r="AC2900" s="9"/>
      <c r="AD2900" s="9"/>
      <c r="AF2900" s="10"/>
      <c r="AG2900" s="10"/>
      <c r="AH2900" s="10"/>
      <c r="AI2900" s="10"/>
    </row>
    <row r="2901" spans="28:35" ht="15" hidden="1" customHeight="1">
      <c r="AB2901" s="9"/>
      <c r="AC2901" s="9"/>
      <c r="AD2901" s="9"/>
      <c r="AF2901" s="10"/>
      <c r="AG2901" s="10"/>
      <c r="AH2901" s="10"/>
      <c r="AI2901" s="10"/>
    </row>
    <row r="2902" spans="28:35" ht="15" hidden="1" customHeight="1">
      <c r="AB2902" s="9"/>
      <c r="AC2902" s="9"/>
      <c r="AD2902" s="9"/>
      <c r="AF2902" s="10"/>
      <c r="AG2902" s="10"/>
      <c r="AH2902" s="10"/>
      <c r="AI2902" s="10"/>
    </row>
    <row r="2903" spans="28:35" ht="15" hidden="1" customHeight="1">
      <c r="AB2903" s="9"/>
      <c r="AC2903" s="9"/>
      <c r="AD2903" s="9"/>
      <c r="AF2903" s="10"/>
      <c r="AG2903" s="10"/>
      <c r="AH2903" s="10"/>
      <c r="AI2903" s="10"/>
    </row>
    <row r="2904" spans="28:35" ht="15" hidden="1" customHeight="1">
      <c r="AB2904" s="9"/>
      <c r="AC2904" s="9"/>
      <c r="AD2904" s="9"/>
      <c r="AF2904" s="10"/>
      <c r="AG2904" s="10"/>
      <c r="AH2904" s="10"/>
      <c r="AI2904" s="10"/>
    </row>
    <row r="2905" spans="28:35" ht="15" hidden="1" customHeight="1">
      <c r="AB2905" s="9"/>
      <c r="AC2905" s="9"/>
      <c r="AD2905" s="9"/>
      <c r="AF2905" s="10"/>
      <c r="AG2905" s="10"/>
      <c r="AH2905" s="10"/>
      <c r="AI2905" s="10"/>
    </row>
    <row r="2906" spans="28:35" ht="15" hidden="1" customHeight="1">
      <c r="AB2906" s="9"/>
      <c r="AC2906" s="9"/>
      <c r="AD2906" s="9"/>
      <c r="AF2906" s="10"/>
      <c r="AG2906" s="10"/>
      <c r="AH2906" s="10"/>
      <c r="AI2906" s="10"/>
    </row>
    <row r="2907" spans="28:35" ht="15" hidden="1" customHeight="1">
      <c r="AB2907" s="9"/>
      <c r="AC2907" s="9"/>
      <c r="AD2907" s="9"/>
      <c r="AF2907" s="10"/>
      <c r="AG2907" s="10"/>
      <c r="AH2907" s="10"/>
      <c r="AI2907" s="10"/>
    </row>
    <row r="2908" spans="28:35" ht="15" hidden="1" customHeight="1">
      <c r="AB2908" s="9"/>
      <c r="AC2908" s="9"/>
      <c r="AD2908" s="9"/>
      <c r="AF2908" s="10"/>
      <c r="AG2908" s="10"/>
      <c r="AH2908" s="10"/>
      <c r="AI2908" s="10"/>
    </row>
    <row r="2909" spans="28:35" ht="15" hidden="1" customHeight="1">
      <c r="AB2909" s="9"/>
      <c r="AC2909" s="9"/>
      <c r="AD2909" s="9"/>
      <c r="AF2909" s="10"/>
      <c r="AG2909" s="10"/>
      <c r="AH2909" s="10"/>
      <c r="AI2909" s="10"/>
    </row>
    <row r="2910" spans="28:35" ht="15" hidden="1" customHeight="1">
      <c r="AB2910" s="9"/>
      <c r="AC2910" s="9"/>
      <c r="AD2910" s="9"/>
      <c r="AF2910" s="10"/>
      <c r="AG2910" s="10"/>
      <c r="AH2910" s="10"/>
      <c r="AI2910" s="10"/>
    </row>
    <row r="2911" spans="28:35" ht="15" hidden="1" customHeight="1">
      <c r="AB2911" s="9"/>
      <c r="AC2911" s="9"/>
      <c r="AD2911" s="9"/>
      <c r="AF2911" s="10"/>
      <c r="AG2911" s="10"/>
      <c r="AH2911" s="10"/>
      <c r="AI2911" s="10"/>
    </row>
    <row r="2912" spans="28:35" ht="15" hidden="1" customHeight="1">
      <c r="AB2912" s="9"/>
      <c r="AC2912" s="9"/>
      <c r="AD2912" s="9"/>
      <c r="AF2912" s="10"/>
      <c r="AG2912" s="10"/>
      <c r="AH2912" s="10"/>
      <c r="AI2912" s="10"/>
    </row>
    <row r="2913" spans="28:35" ht="15" hidden="1" customHeight="1">
      <c r="AB2913" s="9"/>
      <c r="AC2913" s="9"/>
      <c r="AD2913" s="9"/>
      <c r="AF2913" s="10"/>
      <c r="AG2913" s="10"/>
      <c r="AH2913" s="10"/>
      <c r="AI2913" s="10"/>
    </row>
    <row r="2914" spans="28:35" ht="15" hidden="1" customHeight="1">
      <c r="AB2914" s="9"/>
      <c r="AC2914" s="9"/>
      <c r="AD2914" s="9"/>
      <c r="AF2914" s="10"/>
      <c r="AG2914" s="10"/>
      <c r="AH2914" s="10"/>
      <c r="AI2914" s="10"/>
    </row>
    <row r="2915" spans="28:35" ht="15" hidden="1" customHeight="1">
      <c r="AB2915" s="9"/>
      <c r="AC2915" s="9"/>
      <c r="AD2915" s="9"/>
      <c r="AF2915" s="10"/>
      <c r="AG2915" s="10"/>
      <c r="AH2915" s="10"/>
      <c r="AI2915" s="10"/>
    </row>
    <row r="2916" spans="28:35" ht="15" hidden="1" customHeight="1">
      <c r="AB2916" s="9"/>
      <c r="AC2916" s="9"/>
      <c r="AD2916" s="9"/>
      <c r="AF2916" s="10"/>
      <c r="AG2916" s="10"/>
      <c r="AH2916" s="10"/>
      <c r="AI2916" s="10"/>
    </row>
    <row r="2917" spans="28:35" ht="15" hidden="1" customHeight="1">
      <c r="AB2917" s="9"/>
      <c r="AC2917" s="9"/>
      <c r="AD2917" s="9"/>
      <c r="AF2917" s="10"/>
      <c r="AG2917" s="10"/>
      <c r="AH2917" s="10"/>
      <c r="AI2917" s="10"/>
    </row>
    <row r="2918" spans="28:35" ht="15" hidden="1" customHeight="1">
      <c r="AB2918" s="9"/>
      <c r="AC2918" s="9"/>
      <c r="AD2918" s="9"/>
      <c r="AF2918" s="10"/>
      <c r="AG2918" s="10"/>
      <c r="AH2918" s="10"/>
      <c r="AI2918" s="10"/>
    </row>
    <row r="2919" spans="28:35" ht="15" hidden="1" customHeight="1">
      <c r="AB2919" s="9"/>
      <c r="AC2919" s="9"/>
      <c r="AD2919" s="9"/>
      <c r="AF2919" s="10"/>
      <c r="AG2919" s="10"/>
      <c r="AH2919" s="10"/>
      <c r="AI2919" s="10"/>
    </row>
    <row r="2920" spans="28:35" ht="15" hidden="1" customHeight="1">
      <c r="AB2920" s="9"/>
      <c r="AC2920" s="9"/>
      <c r="AD2920" s="9"/>
      <c r="AF2920" s="10"/>
      <c r="AG2920" s="10"/>
      <c r="AH2920" s="10"/>
      <c r="AI2920" s="10"/>
    </row>
    <row r="2921" spans="28:35" ht="15" hidden="1" customHeight="1">
      <c r="AB2921" s="9"/>
      <c r="AC2921" s="9"/>
      <c r="AD2921" s="9"/>
      <c r="AF2921" s="10"/>
      <c r="AG2921" s="10"/>
      <c r="AH2921" s="10"/>
      <c r="AI2921" s="10"/>
    </row>
    <row r="2922" spans="28:35" ht="15" hidden="1" customHeight="1">
      <c r="AB2922" s="9"/>
      <c r="AC2922" s="9"/>
      <c r="AD2922" s="9"/>
      <c r="AF2922" s="10"/>
      <c r="AG2922" s="10"/>
      <c r="AH2922" s="10"/>
      <c r="AI2922" s="10"/>
    </row>
    <row r="2923" spans="28:35" ht="15" hidden="1" customHeight="1">
      <c r="AB2923" s="9"/>
      <c r="AC2923" s="9"/>
      <c r="AD2923" s="9"/>
      <c r="AF2923" s="10"/>
      <c r="AG2923" s="10"/>
      <c r="AH2923" s="10"/>
      <c r="AI2923" s="10"/>
    </row>
    <row r="2924" spans="28:35" ht="15" hidden="1" customHeight="1">
      <c r="AB2924" s="9"/>
      <c r="AC2924" s="9"/>
      <c r="AD2924" s="9"/>
      <c r="AF2924" s="10"/>
      <c r="AG2924" s="10"/>
      <c r="AH2924" s="10"/>
      <c r="AI2924" s="10"/>
    </row>
    <row r="2925" spans="28:35" ht="15" hidden="1" customHeight="1">
      <c r="AB2925" s="9"/>
      <c r="AC2925" s="9"/>
      <c r="AD2925" s="9"/>
      <c r="AF2925" s="10"/>
      <c r="AG2925" s="10"/>
      <c r="AH2925" s="10"/>
      <c r="AI2925" s="10"/>
    </row>
    <row r="2926" spans="28:35" ht="15" hidden="1" customHeight="1">
      <c r="AB2926" s="9"/>
      <c r="AC2926" s="9"/>
      <c r="AD2926" s="9"/>
      <c r="AF2926" s="10"/>
      <c r="AG2926" s="10"/>
      <c r="AH2926" s="10"/>
      <c r="AI2926" s="10"/>
    </row>
    <row r="2927" spans="28:35" ht="15" hidden="1" customHeight="1">
      <c r="AB2927" s="9"/>
      <c r="AC2927" s="9"/>
      <c r="AD2927" s="9"/>
      <c r="AF2927" s="10"/>
      <c r="AG2927" s="10"/>
      <c r="AH2927" s="10"/>
      <c r="AI2927" s="10"/>
    </row>
    <row r="2928" spans="28:35" ht="15" hidden="1" customHeight="1">
      <c r="AB2928" s="9"/>
      <c r="AC2928" s="9"/>
      <c r="AD2928" s="9"/>
      <c r="AF2928" s="10"/>
      <c r="AG2928" s="10"/>
      <c r="AH2928" s="10"/>
      <c r="AI2928" s="10"/>
    </row>
    <row r="2929" spans="28:35" ht="15" hidden="1" customHeight="1">
      <c r="AB2929" s="9"/>
      <c r="AC2929" s="9"/>
      <c r="AD2929" s="9"/>
      <c r="AF2929" s="10"/>
      <c r="AG2929" s="10"/>
      <c r="AH2929" s="10"/>
      <c r="AI2929" s="10"/>
    </row>
    <row r="2930" spans="28:35" ht="15" hidden="1" customHeight="1">
      <c r="AB2930" s="9"/>
      <c r="AC2930" s="9"/>
      <c r="AD2930" s="9"/>
      <c r="AF2930" s="10"/>
      <c r="AG2930" s="10"/>
      <c r="AH2930" s="10"/>
      <c r="AI2930" s="10"/>
    </row>
    <row r="2931" spans="28:35" ht="15" hidden="1" customHeight="1">
      <c r="AB2931" s="9"/>
      <c r="AC2931" s="9"/>
      <c r="AD2931" s="9"/>
      <c r="AF2931" s="10"/>
      <c r="AG2931" s="10"/>
      <c r="AH2931" s="10"/>
      <c r="AI2931" s="10"/>
    </row>
    <row r="2932" spans="28:35" ht="15" hidden="1" customHeight="1">
      <c r="AB2932" s="9"/>
      <c r="AC2932" s="9"/>
      <c r="AD2932" s="9"/>
      <c r="AF2932" s="10"/>
      <c r="AG2932" s="10"/>
      <c r="AH2932" s="10"/>
      <c r="AI2932" s="10"/>
    </row>
    <row r="2933" spans="28:35" ht="15" hidden="1" customHeight="1">
      <c r="AB2933" s="9"/>
      <c r="AC2933" s="9"/>
      <c r="AD2933" s="9"/>
      <c r="AF2933" s="10"/>
      <c r="AG2933" s="10"/>
      <c r="AH2933" s="10"/>
      <c r="AI2933" s="10"/>
    </row>
    <row r="2934" spans="28:35" ht="15" hidden="1" customHeight="1">
      <c r="AB2934" s="9"/>
      <c r="AC2934" s="9"/>
      <c r="AD2934" s="9"/>
      <c r="AF2934" s="10"/>
      <c r="AG2934" s="10"/>
      <c r="AH2934" s="10"/>
      <c r="AI2934" s="10"/>
    </row>
    <row r="2935" spans="28:35" ht="15" hidden="1" customHeight="1">
      <c r="AB2935" s="9"/>
      <c r="AC2935" s="9"/>
      <c r="AD2935" s="9"/>
      <c r="AF2935" s="10"/>
      <c r="AG2935" s="10"/>
      <c r="AH2935" s="10"/>
      <c r="AI2935" s="10"/>
    </row>
    <row r="2936" spans="28:35" ht="15" hidden="1" customHeight="1">
      <c r="AB2936" s="9"/>
      <c r="AC2936" s="9"/>
      <c r="AD2936" s="9"/>
      <c r="AF2936" s="10"/>
      <c r="AG2936" s="10"/>
      <c r="AH2936" s="10"/>
      <c r="AI2936" s="10"/>
    </row>
    <row r="2937" spans="28:35" ht="15" hidden="1" customHeight="1">
      <c r="AB2937" s="9"/>
      <c r="AC2937" s="9"/>
      <c r="AD2937" s="9"/>
      <c r="AF2937" s="10"/>
      <c r="AG2937" s="10"/>
      <c r="AH2937" s="10"/>
      <c r="AI2937" s="10"/>
    </row>
    <row r="2938" spans="28:35" ht="15" hidden="1" customHeight="1">
      <c r="AB2938" s="9"/>
      <c r="AC2938" s="9"/>
      <c r="AD2938" s="9"/>
      <c r="AF2938" s="10"/>
      <c r="AG2938" s="10"/>
      <c r="AH2938" s="10"/>
      <c r="AI2938" s="10"/>
    </row>
    <row r="2939" spans="28:35" ht="15" hidden="1" customHeight="1">
      <c r="AB2939" s="9"/>
      <c r="AC2939" s="9"/>
      <c r="AD2939" s="9"/>
      <c r="AF2939" s="10"/>
      <c r="AG2939" s="10"/>
      <c r="AH2939" s="10"/>
      <c r="AI2939" s="10"/>
    </row>
    <row r="2940" spans="28:35" ht="15" hidden="1" customHeight="1">
      <c r="AB2940" s="9"/>
      <c r="AC2940" s="9"/>
      <c r="AD2940" s="9"/>
      <c r="AF2940" s="10"/>
      <c r="AG2940" s="10"/>
      <c r="AH2940" s="10"/>
      <c r="AI2940" s="10"/>
    </row>
    <row r="2941" spans="28:35" ht="15" hidden="1" customHeight="1">
      <c r="AB2941" s="9"/>
      <c r="AC2941" s="9"/>
      <c r="AD2941" s="9"/>
      <c r="AF2941" s="10"/>
      <c r="AG2941" s="10"/>
      <c r="AH2941" s="10"/>
      <c r="AI2941" s="10"/>
    </row>
    <row r="2942" spans="28:35" ht="15" hidden="1" customHeight="1">
      <c r="AB2942" s="9"/>
      <c r="AC2942" s="9"/>
      <c r="AD2942" s="9"/>
      <c r="AF2942" s="10"/>
      <c r="AG2942" s="10"/>
      <c r="AH2942" s="10"/>
      <c r="AI2942" s="10"/>
    </row>
    <row r="2943" spans="28:35" ht="15" hidden="1" customHeight="1">
      <c r="AB2943" s="9"/>
      <c r="AC2943" s="9"/>
      <c r="AD2943" s="9"/>
      <c r="AF2943" s="10"/>
      <c r="AG2943" s="10"/>
      <c r="AH2943" s="10"/>
      <c r="AI2943" s="10"/>
    </row>
    <row r="2944" spans="28:35" ht="15" hidden="1" customHeight="1">
      <c r="AB2944" s="9"/>
      <c r="AC2944" s="9"/>
      <c r="AD2944" s="9"/>
      <c r="AF2944" s="10"/>
      <c r="AG2944" s="10"/>
      <c r="AH2944" s="10"/>
      <c r="AI2944" s="10"/>
    </row>
    <row r="2945" spans="28:35" ht="15" hidden="1" customHeight="1">
      <c r="AB2945" s="9"/>
      <c r="AC2945" s="9"/>
      <c r="AD2945" s="9"/>
      <c r="AF2945" s="10"/>
      <c r="AG2945" s="10"/>
      <c r="AH2945" s="10"/>
      <c r="AI2945" s="10"/>
    </row>
    <row r="2946" spans="28:35" ht="15" hidden="1" customHeight="1">
      <c r="AB2946" s="9"/>
      <c r="AC2946" s="9"/>
      <c r="AD2946" s="9"/>
      <c r="AF2946" s="10"/>
      <c r="AG2946" s="10"/>
      <c r="AH2946" s="10"/>
      <c r="AI2946" s="10"/>
    </row>
    <row r="2947" spans="28:35" ht="15" hidden="1" customHeight="1">
      <c r="AB2947" s="9"/>
      <c r="AC2947" s="9"/>
      <c r="AD2947" s="9"/>
      <c r="AF2947" s="10"/>
      <c r="AG2947" s="10"/>
      <c r="AH2947" s="10"/>
      <c r="AI2947" s="10"/>
    </row>
    <row r="2948" spans="28:35" ht="15" hidden="1" customHeight="1">
      <c r="AB2948" s="9"/>
      <c r="AC2948" s="9"/>
      <c r="AD2948" s="9"/>
      <c r="AF2948" s="10"/>
      <c r="AG2948" s="10"/>
      <c r="AH2948" s="10"/>
      <c r="AI2948" s="10"/>
    </row>
    <row r="2949" spans="28:35" ht="15" hidden="1" customHeight="1">
      <c r="AB2949" s="9"/>
      <c r="AC2949" s="9"/>
      <c r="AD2949" s="9"/>
      <c r="AF2949" s="10"/>
      <c r="AG2949" s="10"/>
      <c r="AH2949" s="10"/>
      <c r="AI2949" s="10"/>
    </row>
    <row r="2950" spans="28:35" ht="15" hidden="1" customHeight="1">
      <c r="AB2950" s="9"/>
      <c r="AC2950" s="9"/>
      <c r="AD2950" s="9"/>
      <c r="AF2950" s="10"/>
      <c r="AG2950" s="10"/>
      <c r="AH2950" s="10"/>
      <c r="AI2950" s="10"/>
    </row>
    <row r="2951" spans="28:35" ht="15" hidden="1" customHeight="1">
      <c r="AB2951" s="9"/>
      <c r="AC2951" s="9"/>
      <c r="AD2951" s="9"/>
      <c r="AF2951" s="10"/>
      <c r="AG2951" s="10"/>
      <c r="AH2951" s="10"/>
      <c r="AI2951" s="10"/>
    </row>
    <row r="2952" spans="28:35" ht="15" hidden="1" customHeight="1">
      <c r="AB2952" s="9"/>
      <c r="AC2952" s="9"/>
      <c r="AD2952" s="9"/>
      <c r="AF2952" s="10"/>
      <c r="AG2952" s="10"/>
      <c r="AH2952" s="10"/>
      <c r="AI2952" s="10"/>
    </row>
    <row r="2953" spans="28:35" ht="15" hidden="1" customHeight="1">
      <c r="AB2953" s="9"/>
      <c r="AC2953" s="9"/>
      <c r="AD2953" s="9"/>
      <c r="AF2953" s="10"/>
      <c r="AG2953" s="10"/>
      <c r="AH2953" s="10"/>
      <c r="AI2953" s="10"/>
    </row>
    <row r="2954" spans="28:35" ht="15" hidden="1" customHeight="1">
      <c r="AB2954" s="9"/>
      <c r="AC2954" s="9"/>
      <c r="AD2954" s="9"/>
      <c r="AF2954" s="10"/>
      <c r="AG2954" s="10"/>
      <c r="AH2954" s="10"/>
      <c r="AI2954" s="10"/>
    </row>
    <row r="2955" spans="28:35" ht="15" hidden="1" customHeight="1">
      <c r="AB2955" s="9"/>
      <c r="AC2955" s="9"/>
      <c r="AD2955" s="9"/>
      <c r="AF2955" s="10"/>
      <c r="AG2955" s="10"/>
      <c r="AH2955" s="10"/>
      <c r="AI2955" s="10"/>
    </row>
    <row r="2956" spans="28:35" ht="15" hidden="1" customHeight="1">
      <c r="AB2956" s="9"/>
      <c r="AC2956" s="9"/>
      <c r="AD2956" s="9"/>
      <c r="AF2956" s="10"/>
      <c r="AG2956" s="10"/>
      <c r="AH2956" s="10"/>
      <c r="AI2956" s="10"/>
    </row>
    <row r="2957" spans="28:35" ht="15" hidden="1" customHeight="1">
      <c r="AB2957" s="9"/>
      <c r="AC2957" s="9"/>
      <c r="AD2957" s="9"/>
      <c r="AF2957" s="10"/>
      <c r="AG2957" s="10"/>
      <c r="AH2957" s="10"/>
      <c r="AI2957" s="10"/>
    </row>
    <row r="2958" spans="28:35" ht="15" hidden="1" customHeight="1">
      <c r="AB2958" s="9"/>
      <c r="AC2958" s="9"/>
      <c r="AD2958" s="9"/>
      <c r="AF2958" s="10"/>
      <c r="AG2958" s="10"/>
      <c r="AH2958" s="10"/>
      <c r="AI2958" s="10"/>
    </row>
    <row r="2959" spans="28:35" ht="15" hidden="1" customHeight="1">
      <c r="AB2959" s="9"/>
      <c r="AC2959" s="9"/>
      <c r="AD2959" s="9"/>
      <c r="AF2959" s="10"/>
      <c r="AG2959" s="10"/>
      <c r="AH2959" s="10"/>
      <c r="AI2959" s="10"/>
    </row>
    <row r="2960" spans="28:35" ht="15" hidden="1" customHeight="1">
      <c r="AB2960" s="9"/>
      <c r="AC2960" s="9"/>
      <c r="AD2960" s="9"/>
      <c r="AF2960" s="10"/>
      <c r="AG2960" s="10"/>
      <c r="AH2960" s="10"/>
      <c r="AI2960" s="10"/>
    </row>
    <row r="2961" spans="28:35" ht="15" hidden="1" customHeight="1">
      <c r="AB2961" s="9"/>
      <c r="AC2961" s="9"/>
      <c r="AD2961" s="9"/>
      <c r="AF2961" s="10"/>
      <c r="AG2961" s="10"/>
      <c r="AH2961" s="10"/>
      <c r="AI2961" s="10"/>
    </row>
    <row r="2962" spans="28:35" ht="15" hidden="1" customHeight="1">
      <c r="AB2962" s="9"/>
      <c r="AC2962" s="9"/>
      <c r="AD2962" s="9"/>
      <c r="AF2962" s="10"/>
      <c r="AG2962" s="10"/>
      <c r="AH2962" s="10"/>
      <c r="AI2962" s="10"/>
    </row>
    <row r="2963" spans="28:35" ht="15" hidden="1" customHeight="1">
      <c r="AB2963" s="9"/>
      <c r="AC2963" s="9"/>
      <c r="AD2963" s="9"/>
      <c r="AF2963" s="10"/>
      <c r="AG2963" s="10"/>
      <c r="AH2963" s="10"/>
      <c r="AI2963" s="10"/>
    </row>
    <row r="2964" spans="28:35" ht="15" hidden="1" customHeight="1">
      <c r="AB2964" s="9"/>
      <c r="AC2964" s="9"/>
      <c r="AD2964" s="9"/>
      <c r="AF2964" s="10"/>
      <c r="AG2964" s="10"/>
      <c r="AH2964" s="10"/>
      <c r="AI2964" s="10"/>
    </row>
    <row r="2965" spans="28:35" ht="15" hidden="1" customHeight="1">
      <c r="AB2965" s="9"/>
      <c r="AC2965" s="9"/>
      <c r="AD2965" s="9"/>
      <c r="AF2965" s="10"/>
      <c r="AG2965" s="10"/>
      <c r="AH2965" s="10"/>
      <c r="AI2965" s="10"/>
    </row>
    <row r="2966" spans="28:35" ht="15" hidden="1" customHeight="1">
      <c r="AB2966" s="9"/>
      <c r="AC2966" s="9"/>
      <c r="AD2966" s="9"/>
      <c r="AF2966" s="10"/>
      <c r="AG2966" s="10"/>
      <c r="AH2966" s="10"/>
      <c r="AI2966" s="10"/>
    </row>
    <row r="2967" spans="28:35" ht="15" hidden="1" customHeight="1">
      <c r="AB2967" s="9"/>
      <c r="AC2967" s="9"/>
      <c r="AD2967" s="9"/>
      <c r="AF2967" s="10"/>
      <c r="AG2967" s="10"/>
      <c r="AH2967" s="10"/>
      <c r="AI2967" s="10"/>
    </row>
    <row r="2968" spans="28:35" ht="15" hidden="1" customHeight="1">
      <c r="AB2968" s="9"/>
      <c r="AC2968" s="9"/>
      <c r="AD2968" s="9"/>
      <c r="AF2968" s="10"/>
      <c r="AG2968" s="10"/>
      <c r="AH2968" s="10"/>
      <c r="AI2968" s="10"/>
    </row>
    <row r="2969" spans="28:35" ht="15" hidden="1" customHeight="1">
      <c r="AB2969" s="9"/>
      <c r="AC2969" s="9"/>
      <c r="AD2969" s="9"/>
      <c r="AF2969" s="10"/>
      <c r="AG2969" s="10"/>
      <c r="AH2969" s="10"/>
      <c r="AI2969" s="10"/>
    </row>
    <row r="2970" spans="28:35" ht="15" hidden="1" customHeight="1">
      <c r="AB2970" s="9"/>
      <c r="AC2970" s="9"/>
      <c r="AD2970" s="9"/>
      <c r="AF2970" s="10"/>
      <c r="AG2970" s="10"/>
      <c r="AH2970" s="10"/>
      <c r="AI2970" s="10"/>
    </row>
    <row r="2971" spans="28:35" ht="15" hidden="1" customHeight="1">
      <c r="AB2971" s="9"/>
      <c r="AC2971" s="9"/>
      <c r="AD2971" s="9"/>
      <c r="AF2971" s="10"/>
      <c r="AG2971" s="10"/>
      <c r="AH2971" s="10"/>
      <c r="AI2971" s="10"/>
    </row>
    <row r="2972" spans="28:35" ht="15" hidden="1" customHeight="1">
      <c r="AB2972" s="9"/>
      <c r="AC2972" s="9"/>
      <c r="AD2972" s="9"/>
      <c r="AF2972" s="10"/>
      <c r="AG2972" s="10"/>
      <c r="AH2972" s="10"/>
      <c r="AI2972" s="10"/>
    </row>
    <row r="2973" spans="28:35" ht="15" hidden="1" customHeight="1">
      <c r="AB2973" s="9"/>
      <c r="AC2973" s="9"/>
      <c r="AD2973" s="9"/>
      <c r="AF2973" s="10"/>
      <c r="AG2973" s="10"/>
      <c r="AH2973" s="10"/>
      <c r="AI2973" s="10"/>
    </row>
    <row r="2974" spans="28:35" ht="15" hidden="1" customHeight="1">
      <c r="AB2974" s="9"/>
      <c r="AC2974" s="9"/>
      <c r="AD2974" s="9"/>
      <c r="AF2974" s="10"/>
      <c r="AG2974" s="10"/>
      <c r="AH2974" s="10"/>
      <c r="AI2974" s="10"/>
    </row>
    <row r="2975" spans="28:35" ht="15" hidden="1" customHeight="1">
      <c r="AB2975" s="9"/>
      <c r="AC2975" s="9"/>
      <c r="AD2975" s="9"/>
      <c r="AF2975" s="10"/>
      <c r="AG2975" s="10"/>
      <c r="AH2975" s="10"/>
      <c r="AI2975" s="10"/>
    </row>
    <row r="2976" spans="28:35" ht="15" hidden="1" customHeight="1">
      <c r="AB2976" s="9"/>
      <c r="AC2976" s="9"/>
      <c r="AD2976" s="9"/>
      <c r="AF2976" s="10"/>
      <c r="AG2976" s="10"/>
      <c r="AH2976" s="10"/>
      <c r="AI2976" s="10"/>
    </row>
    <row r="2977" spans="28:35" ht="15" hidden="1" customHeight="1">
      <c r="AB2977" s="9"/>
      <c r="AC2977" s="9"/>
      <c r="AD2977" s="9"/>
      <c r="AF2977" s="10"/>
      <c r="AG2977" s="10"/>
      <c r="AH2977" s="10"/>
      <c r="AI2977" s="10"/>
    </row>
    <row r="2978" spans="28:35" ht="15" hidden="1" customHeight="1">
      <c r="AB2978" s="9"/>
      <c r="AC2978" s="9"/>
      <c r="AD2978" s="9"/>
      <c r="AF2978" s="10"/>
      <c r="AG2978" s="10"/>
      <c r="AH2978" s="10"/>
      <c r="AI2978" s="10"/>
    </row>
    <row r="2979" spans="28:35" ht="15" hidden="1" customHeight="1">
      <c r="AB2979" s="9"/>
      <c r="AC2979" s="9"/>
      <c r="AD2979" s="9"/>
      <c r="AF2979" s="10"/>
      <c r="AG2979" s="10"/>
      <c r="AH2979" s="10"/>
      <c r="AI2979" s="10"/>
    </row>
    <row r="2980" spans="28:35" ht="15" hidden="1" customHeight="1">
      <c r="AB2980" s="9"/>
      <c r="AC2980" s="9"/>
      <c r="AD2980" s="9"/>
      <c r="AF2980" s="10"/>
      <c r="AG2980" s="10"/>
      <c r="AH2980" s="10"/>
      <c r="AI2980" s="10"/>
    </row>
    <row r="2981" spans="28:35" ht="15" hidden="1" customHeight="1">
      <c r="AB2981" s="9"/>
      <c r="AC2981" s="9"/>
      <c r="AD2981" s="9"/>
      <c r="AF2981" s="10"/>
      <c r="AG2981" s="10"/>
      <c r="AH2981" s="10"/>
      <c r="AI2981" s="10"/>
    </row>
    <row r="2982" spans="28:35" ht="15" hidden="1" customHeight="1">
      <c r="AB2982" s="9"/>
      <c r="AC2982" s="9"/>
      <c r="AD2982" s="9"/>
      <c r="AF2982" s="10"/>
      <c r="AG2982" s="10"/>
      <c r="AH2982" s="10"/>
      <c r="AI2982" s="10"/>
    </row>
    <row r="2983" spans="28:35" ht="15" hidden="1" customHeight="1">
      <c r="AB2983" s="9"/>
      <c r="AC2983" s="9"/>
      <c r="AD2983" s="9"/>
      <c r="AF2983" s="10"/>
      <c r="AG2983" s="10"/>
      <c r="AH2983" s="10"/>
      <c r="AI2983" s="10"/>
    </row>
    <row r="2984" spans="28:35" ht="15" hidden="1" customHeight="1">
      <c r="AB2984" s="9"/>
      <c r="AC2984" s="9"/>
      <c r="AD2984" s="9"/>
      <c r="AF2984" s="10"/>
      <c r="AG2984" s="10"/>
      <c r="AH2984" s="10"/>
      <c r="AI2984" s="10"/>
    </row>
    <row r="2985" spans="28:35" ht="15" hidden="1" customHeight="1">
      <c r="AB2985" s="9"/>
      <c r="AC2985" s="9"/>
      <c r="AD2985" s="9"/>
      <c r="AF2985" s="10"/>
      <c r="AG2985" s="10"/>
      <c r="AH2985" s="10"/>
      <c r="AI2985" s="10"/>
    </row>
    <row r="2986" spans="28:35" ht="15" hidden="1" customHeight="1">
      <c r="AB2986" s="9"/>
      <c r="AC2986" s="9"/>
      <c r="AD2986" s="9"/>
      <c r="AF2986" s="10"/>
      <c r="AG2986" s="10"/>
      <c r="AH2986" s="10"/>
      <c r="AI2986" s="10"/>
    </row>
    <row r="2987" spans="28:35" ht="15" hidden="1" customHeight="1">
      <c r="AB2987" s="9"/>
      <c r="AC2987" s="9"/>
      <c r="AD2987" s="9"/>
      <c r="AF2987" s="10"/>
      <c r="AG2987" s="10"/>
      <c r="AH2987" s="10"/>
      <c r="AI2987" s="10"/>
    </row>
    <row r="2988" spans="28:35" ht="15" hidden="1" customHeight="1">
      <c r="AB2988" s="9"/>
      <c r="AC2988" s="9"/>
      <c r="AD2988" s="9"/>
      <c r="AF2988" s="10"/>
      <c r="AG2988" s="10"/>
      <c r="AH2988" s="10"/>
      <c r="AI2988" s="10"/>
    </row>
    <row r="2989" spans="28:35" ht="15" hidden="1" customHeight="1">
      <c r="AB2989" s="9"/>
      <c r="AC2989" s="9"/>
      <c r="AD2989" s="9"/>
      <c r="AF2989" s="10"/>
      <c r="AG2989" s="10"/>
      <c r="AH2989" s="10"/>
      <c r="AI2989" s="10"/>
    </row>
    <row r="2990" spans="28:35" ht="15" hidden="1" customHeight="1">
      <c r="AB2990" s="9"/>
      <c r="AC2990" s="9"/>
      <c r="AD2990" s="9"/>
      <c r="AF2990" s="10"/>
      <c r="AG2990" s="10"/>
      <c r="AH2990" s="10"/>
      <c r="AI2990" s="10"/>
    </row>
    <row r="2991" spans="28:35" ht="15" hidden="1" customHeight="1">
      <c r="AB2991" s="9"/>
      <c r="AC2991" s="9"/>
      <c r="AD2991" s="9"/>
      <c r="AF2991" s="10"/>
      <c r="AG2991" s="10"/>
      <c r="AH2991" s="10"/>
      <c r="AI2991" s="10"/>
    </row>
    <row r="2992" spans="28:35" ht="15" hidden="1" customHeight="1">
      <c r="AB2992" s="9"/>
      <c r="AC2992" s="9"/>
      <c r="AD2992" s="9"/>
      <c r="AF2992" s="10"/>
      <c r="AG2992" s="10"/>
      <c r="AH2992" s="10"/>
      <c r="AI2992" s="10"/>
    </row>
    <row r="2993" spans="28:35" ht="15" hidden="1" customHeight="1">
      <c r="AB2993" s="9"/>
      <c r="AC2993" s="9"/>
      <c r="AD2993" s="9"/>
      <c r="AF2993" s="10"/>
      <c r="AG2993" s="10"/>
      <c r="AH2993" s="10"/>
      <c r="AI2993" s="10"/>
    </row>
    <row r="2994" spans="28:35" ht="15" hidden="1" customHeight="1">
      <c r="AB2994" s="9"/>
      <c r="AC2994" s="9"/>
      <c r="AD2994" s="9"/>
      <c r="AF2994" s="10"/>
      <c r="AG2994" s="10"/>
      <c r="AH2994" s="10"/>
      <c r="AI2994" s="10"/>
    </row>
    <row r="2995" spans="28:35" ht="15" hidden="1" customHeight="1">
      <c r="AB2995" s="9"/>
      <c r="AC2995" s="9"/>
      <c r="AD2995" s="9"/>
      <c r="AF2995" s="10"/>
      <c r="AG2995" s="10"/>
      <c r="AH2995" s="10"/>
      <c r="AI2995" s="10"/>
    </row>
    <row r="2996" spans="28:35" ht="15" hidden="1" customHeight="1">
      <c r="AB2996" s="9"/>
      <c r="AC2996" s="9"/>
      <c r="AD2996" s="9"/>
      <c r="AF2996" s="10"/>
      <c r="AG2996" s="10"/>
      <c r="AH2996" s="10"/>
      <c r="AI2996" s="10"/>
    </row>
    <row r="2997" spans="28:35" ht="15" hidden="1" customHeight="1">
      <c r="AB2997" s="9"/>
      <c r="AC2997" s="9"/>
      <c r="AD2997" s="9"/>
      <c r="AF2997" s="10"/>
      <c r="AG2997" s="10"/>
      <c r="AH2997" s="10"/>
      <c r="AI2997" s="10"/>
    </row>
    <row r="2998" spans="28:35" ht="15" hidden="1" customHeight="1">
      <c r="AB2998" s="9"/>
      <c r="AC2998" s="9"/>
      <c r="AD2998" s="9"/>
      <c r="AF2998" s="10"/>
      <c r="AG2998" s="10"/>
      <c r="AH2998" s="10"/>
      <c r="AI2998" s="10"/>
    </row>
    <row r="2999" spans="28:35" ht="15" hidden="1" customHeight="1">
      <c r="AB2999" s="9"/>
      <c r="AC2999" s="9"/>
      <c r="AD2999" s="9"/>
      <c r="AF2999" s="10"/>
      <c r="AG2999" s="10"/>
      <c r="AH2999" s="10"/>
      <c r="AI2999" s="10"/>
    </row>
    <row r="3000" spans="28:35" ht="15" hidden="1" customHeight="1">
      <c r="AB3000" s="9"/>
      <c r="AC3000" s="9"/>
      <c r="AD3000" s="9"/>
      <c r="AF3000" s="10"/>
      <c r="AG3000" s="10"/>
      <c r="AH3000" s="10"/>
      <c r="AI3000" s="10"/>
    </row>
    <row r="3001" spans="28:35" ht="15" hidden="1" customHeight="1">
      <c r="AB3001" s="9"/>
      <c r="AC3001" s="9"/>
      <c r="AD3001" s="9"/>
      <c r="AF3001" s="10"/>
      <c r="AG3001" s="10"/>
      <c r="AH3001" s="10"/>
      <c r="AI3001" s="10"/>
    </row>
    <row r="3002" spans="28:35" ht="15" hidden="1" customHeight="1">
      <c r="AB3002" s="9"/>
      <c r="AC3002" s="9"/>
      <c r="AD3002" s="9"/>
      <c r="AF3002" s="10"/>
      <c r="AG3002" s="10"/>
      <c r="AH3002" s="10"/>
      <c r="AI3002" s="10"/>
    </row>
    <row r="3003" spans="28:35" ht="15" hidden="1" customHeight="1">
      <c r="AB3003" s="9"/>
      <c r="AC3003" s="9"/>
      <c r="AD3003" s="9"/>
      <c r="AF3003" s="10"/>
      <c r="AG3003" s="10"/>
      <c r="AH3003" s="10"/>
      <c r="AI3003" s="10"/>
    </row>
    <row r="3004" spans="28:35" ht="15" hidden="1" customHeight="1">
      <c r="AB3004" s="9"/>
      <c r="AC3004" s="9"/>
      <c r="AD3004" s="9"/>
      <c r="AF3004" s="10"/>
      <c r="AG3004" s="10"/>
      <c r="AH3004" s="10"/>
      <c r="AI3004" s="10"/>
    </row>
    <row r="3005" spans="28:35" ht="15" hidden="1" customHeight="1">
      <c r="AB3005" s="9"/>
      <c r="AC3005" s="9"/>
      <c r="AD3005" s="9"/>
      <c r="AF3005" s="10"/>
      <c r="AG3005" s="10"/>
      <c r="AH3005" s="10"/>
      <c r="AI3005" s="10"/>
    </row>
    <row r="3006" spans="28:35" ht="15" hidden="1" customHeight="1">
      <c r="AB3006" s="9"/>
      <c r="AC3006" s="9"/>
      <c r="AD3006" s="9"/>
      <c r="AF3006" s="10"/>
      <c r="AG3006" s="10"/>
      <c r="AH3006" s="10"/>
      <c r="AI3006" s="10"/>
    </row>
    <row r="3007" spans="28:35" ht="15" hidden="1" customHeight="1">
      <c r="AB3007" s="9"/>
      <c r="AC3007" s="9"/>
      <c r="AD3007" s="9"/>
      <c r="AF3007" s="10"/>
      <c r="AG3007" s="10"/>
      <c r="AH3007" s="10"/>
      <c r="AI3007" s="10"/>
    </row>
    <row r="3008" spans="28:35" ht="15" hidden="1" customHeight="1">
      <c r="AB3008" s="9"/>
      <c r="AC3008" s="9"/>
      <c r="AD3008" s="9"/>
      <c r="AF3008" s="10"/>
      <c r="AG3008" s="10"/>
      <c r="AH3008" s="10"/>
      <c r="AI3008" s="10"/>
    </row>
    <row r="3009" spans="28:35" ht="15" hidden="1" customHeight="1">
      <c r="AB3009" s="9"/>
      <c r="AC3009" s="9"/>
      <c r="AD3009" s="9"/>
      <c r="AF3009" s="10"/>
      <c r="AG3009" s="10"/>
      <c r="AH3009" s="10"/>
      <c r="AI3009" s="10"/>
    </row>
    <row r="3010" spans="28:35" ht="15" hidden="1" customHeight="1">
      <c r="AB3010" s="9"/>
      <c r="AC3010" s="9"/>
      <c r="AD3010" s="9"/>
      <c r="AF3010" s="10"/>
      <c r="AG3010" s="10"/>
      <c r="AH3010" s="10"/>
      <c r="AI3010" s="10"/>
    </row>
    <row r="3011" spans="28:35" ht="15" hidden="1" customHeight="1">
      <c r="AB3011" s="9"/>
      <c r="AC3011" s="9"/>
      <c r="AD3011" s="9"/>
      <c r="AF3011" s="10"/>
      <c r="AG3011" s="10"/>
      <c r="AH3011" s="10"/>
      <c r="AI3011" s="10"/>
    </row>
    <row r="3012" spans="28:35" ht="15" hidden="1" customHeight="1">
      <c r="AB3012" s="9"/>
      <c r="AC3012" s="9"/>
      <c r="AD3012" s="9"/>
      <c r="AF3012" s="10"/>
      <c r="AG3012" s="10"/>
      <c r="AH3012" s="10"/>
      <c r="AI3012" s="10"/>
    </row>
    <row r="3013" spans="28:35" ht="15" hidden="1" customHeight="1">
      <c r="AB3013" s="9"/>
      <c r="AC3013" s="9"/>
      <c r="AD3013" s="9"/>
      <c r="AF3013" s="10"/>
      <c r="AG3013" s="10"/>
      <c r="AH3013" s="10"/>
      <c r="AI3013" s="10"/>
    </row>
    <row r="3014" spans="28:35" ht="15" hidden="1" customHeight="1">
      <c r="AB3014" s="9"/>
      <c r="AC3014" s="9"/>
      <c r="AD3014" s="9"/>
      <c r="AF3014" s="10"/>
      <c r="AG3014" s="10"/>
      <c r="AH3014" s="10"/>
      <c r="AI3014" s="10"/>
    </row>
    <row r="3015" spans="28:35" ht="15" hidden="1" customHeight="1">
      <c r="AB3015" s="9"/>
      <c r="AC3015" s="9"/>
      <c r="AD3015" s="9"/>
      <c r="AF3015" s="10"/>
      <c r="AG3015" s="10"/>
      <c r="AH3015" s="10"/>
      <c r="AI3015" s="10"/>
    </row>
    <row r="3016" spans="28:35" ht="15" hidden="1" customHeight="1">
      <c r="AB3016" s="9"/>
      <c r="AC3016" s="9"/>
      <c r="AD3016" s="9"/>
      <c r="AF3016" s="10"/>
      <c r="AG3016" s="10"/>
      <c r="AH3016" s="10"/>
      <c r="AI3016" s="10"/>
    </row>
    <row r="3017" spans="28:35" ht="15" hidden="1" customHeight="1">
      <c r="AB3017" s="9"/>
      <c r="AC3017" s="9"/>
      <c r="AD3017" s="9"/>
      <c r="AF3017" s="10"/>
      <c r="AG3017" s="10"/>
      <c r="AH3017" s="10"/>
      <c r="AI3017" s="10"/>
    </row>
    <row r="3018" spans="28:35" ht="15" hidden="1" customHeight="1">
      <c r="AB3018" s="9"/>
      <c r="AC3018" s="9"/>
      <c r="AD3018" s="9"/>
      <c r="AF3018" s="10"/>
      <c r="AG3018" s="10"/>
      <c r="AH3018" s="10"/>
      <c r="AI3018" s="10"/>
    </row>
    <row r="3019" spans="28:35" ht="15" hidden="1" customHeight="1">
      <c r="AB3019" s="9"/>
      <c r="AC3019" s="9"/>
      <c r="AD3019" s="9"/>
      <c r="AF3019" s="10"/>
      <c r="AG3019" s="10"/>
      <c r="AH3019" s="10"/>
      <c r="AI3019" s="10"/>
    </row>
    <row r="3020" spans="28:35" ht="15" hidden="1" customHeight="1">
      <c r="AB3020" s="9"/>
      <c r="AC3020" s="9"/>
      <c r="AD3020" s="9"/>
      <c r="AF3020" s="10"/>
      <c r="AG3020" s="10"/>
      <c r="AH3020" s="10"/>
      <c r="AI3020" s="10"/>
    </row>
    <row r="3021" spans="28:35" ht="15" hidden="1" customHeight="1">
      <c r="AB3021" s="9"/>
      <c r="AC3021" s="9"/>
      <c r="AD3021" s="9"/>
      <c r="AF3021" s="10"/>
      <c r="AG3021" s="10"/>
      <c r="AH3021" s="10"/>
      <c r="AI3021" s="10"/>
    </row>
    <row r="3022" spans="28:35" ht="15" hidden="1" customHeight="1">
      <c r="AB3022" s="9"/>
      <c r="AC3022" s="9"/>
      <c r="AD3022" s="9"/>
      <c r="AF3022" s="10"/>
      <c r="AG3022" s="10"/>
      <c r="AH3022" s="10"/>
      <c r="AI3022" s="10"/>
    </row>
    <row r="3023" spans="28:35" ht="15" hidden="1" customHeight="1">
      <c r="AB3023" s="9"/>
      <c r="AC3023" s="9"/>
      <c r="AD3023" s="9"/>
      <c r="AF3023" s="10"/>
      <c r="AG3023" s="10"/>
      <c r="AH3023" s="10"/>
      <c r="AI3023" s="10"/>
    </row>
    <row r="3024" spans="28:35" ht="15" hidden="1" customHeight="1">
      <c r="AB3024" s="9"/>
      <c r="AC3024" s="9"/>
      <c r="AD3024" s="9"/>
      <c r="AF3024" s="10"/>
      <c r="AG3024" s="10"/>
      <c r="AH3024" s="10"/>
      <c r="AI3024" s="10"/>
    </row>
    <row r="3025" spans="28:35" ht="15" hidden="1" customHeight="1">
      <c r="AB3025" s="9"/>
      <c r="AC3025" s="9"/>
      <c r="AD3025" s="9"/>
      <c r="AF3025" s="10"/>
      <c r="AG3025" s="10"/>
      <c r="AH3025" s="10"/>
      <c r="AI3025" s="10"/>
    </row>
    <row r="3026" spans="28:35" ht="15" hidden="1" customHeight="1">
      <c r="AB3026" s="9"/>
      <c r="AC3026" s="9"/>
      <c r="AD3026" s="9"/>
      <c r="AF3026" s="10"/>
      <c r="AG3026" s="10"/>
      <c r="AH3026" s="10"/>
      <c r="AI3026" s="10"/>
    </row>
    <row r="3027" spans="28:35" ht="15" hidden="1" customHeight="1">
      <c r="AB3027" s="9"/>
      <c r="AC3027" s="9"/>
      <c r="AD3027" s="9"/>
      <c r="AF3027" s="10"/>
      <c r="AG3027" s="10"/>
      <c r="AH3027" s="10"/>
      <c r="AI3027" s="10"/>
    </row>
    <row r="3028" spans="28:35" ht="15" hidden="1" customHeight="1">
      <c r="AB3028" s="9"/>
      <c r="AC3028" s="9"/>
      <c r="AD3028" s="9"/>
      <c r="AF3028" s="10"/>
      <c r="AG3028" s="10"/>
      <c r="AH3028" s="10"/>
      <c r="AI3028" s="10"/>
    </row>
    <row r="3029" spans="28:35" ht="15" hidden="1" customHeight="1">
      <c r="AB3029" s="9"/>
      <c r="AC3029" s="9"/>
      <c r="AD3029" s="9"/>
      <c r="AF3029" s="10"/>
      <c r="AG3029" s="10"/>
      <c r="AH3029" s="10"/>
      <c r="AI3029" s="10"/>
    </row>
    <row r="3030" spans="28:35" ht="15" hidden="1" customHeight="1">
      <c r="AB3030" s="9"/>
      <c r="AC3030" s="9"/>
      <c r="AD3030" s="9"/>
      <c r="AF3030" s="10"/>
      <c r="AG3030" s="10"/>
      <c r="AH3030" s="10"/>
      <c r="AI3030" s="10"/>
    </row>
    <row r="3031" spans="28:35" ht="15" hidden="1" customHeight="1">
      <c r="AB3031" s="9"/>
      <c r="AC3031" s="9"/>
      <c r="AD3031" s="9"/>
      <c r="AF3031" s="10"/>
      <c r="AG3031" s="10"/>
      <c r="AH3031" s="10"/>
      <c r="AI3031" s="10"/>
    </row>
    <row r="3032" spans="28:35" ht="15" hidden="1" customHeight="1">
      <c r="AB3032" s="9"/>
      <c r="AC3032" s="9"/>
      <c r="AD3032" s="9"/>
      <c r="AF3032" s="10"/>
      <c r="AG3032" s="10"/>
      <c r="AH3032" s="10"/>
      <c r="AI3032" s="10"/>
    </row>
    <row r="3033" spans="28:35" ht="15" hidden="1" customHeight="1">
      <c r="AB3033" s="9"/>
      <c r="AC3033" s="9"/>
      <c r="AD3033" s="9"/>
      <c r="AF3033" s="10"/>
      <c r="AG3033" s="10"/>
      <c r="AH3033" s="10"/>
      <c r="AI3033" s="10"/>
    </row>
    <row r="3034" spans="28:35" ht="15" hidden="1" customHeight="1">
      <c r="AB3034" s="9"/>
      <c r="AC3034" s="9"/>
      <c r="AD3034" s="9"/>
      <c r="AF3034" s="10"/>
      <c r="AG3034" s="10"/>
      <c r="AH3034" s="10"/>
      <c r="AI3034" s="10"/>
    </row>
    <row r="3035" spans="28:35" ht="15" hidden="1" customHeight="1">
      <c r="AB3035" s="9"/>
      <c r="AC3035" s="9"/>
      <c r="AD3035" s="9"/>
      <c r="AF3035" s="10"/>
      <c r="AG3035" s="10"/>
      <c r="AH3035" s="10"/>
      <c r="AI3035" s="10"/>
    </row>
    <row r="3036" spans="28:35" ht="15" hidden="1" customHeight="1">
      <c r="AB3036" s="9"/>
      <c r="AC3036" s="9"/>
      <c r="AD3036" s="9"/>
      <c r="AF3036" s="10"/>
      <c r="AG3036" s="10"/>
      <c r="AH3036" s="10"/>
      <c r="AI3036" s="10"/>
    </row>
    <row r="3037" spans="28:35" ht="15" hidden="1" customHeight="1">
      <c r="AB3037" s="9"/>
      <c r="AC3037" s="9"/>
      <c r="AD3037" s="9"/>
      <c r="AF3037" s="10"/>
      <c r="AG3037" s="10"/>
      <c r="AH3037" s="10"/>
      <c r="AI3037" s="10"/>
    </row>
    <row r="3038" spans="28:35" ht="15" hidden="1" customHeight="1">
      <c r="AB3038" s="9"/>
      <c r="AC3038" s="9"/>
      <c r="AD3038" s="9"/>
      <c r="AF3038" s="10"/>
      <c r="AG3038" s="10"/>
      <c r="AH3038" s="10"/>
      <c r="AI3038" s="10"/>
    </row>
    <row r="3039" spans="28:35" ht="15" hidden="1" customHeight="1">
      <c r="AB3039" s="9"/>
      <c r="AC3039" s="9"/>
      <c r="AD3039" s="9"/>
      <c r="AF3039" s="10"/>
      <c r="AG3039" s="10"/>
      <c r="AH3039" s="10"/>
      <c r="AI3039" s="10"/>
    </row>
    <row r="3040" spans="28:35" ht="15" hidden="1" customHeight="1">
      <c r="AB3040" s="9"/>
      <c r="AC3040" s="9"/>
      <c r="AD3040" s="9"/>
      <c r="AF3040" s="10"/>
      <c r="AG3040" s="10"/>
      <c r="AH3040" s="10"/>
      <c r="AI3040" s="10"/>
    </row>
    <row r="3041" spans="28:35" ht="15" hidden="1" customHeight="1">
      <c r="AB3041" s="9"/>
      <c r="AC3041" s="9"/>
      <c r="AD3041" s="9"/>
      <c r="AF3041" s="10"/>
      <c r="AG3041" s="10"/>
      <c r="AH3041" s="10"/>
      <c r="AI3041" s="10"/>
    </row>
    <row r="3042" spans="28:35" ht="15" hidden="1" customHeight="1">
      <c r="AB3042" s="9"/>
      <c r="AC3042" s="9"/>
      <c r="AD3042" s="9"/>
      <c r="AF3042" s="10"/>
      <c r="AG3042" s="10"/>
      <c r="AH3042" s="10"/>
      <c r="AI3042" s="10"/>
    </row>
    <row r="3043" spans="28:35" ht="15" hidden="1" customHeight="1">
      <c r="AB3043" s="9"/>
      <c r="AC3043" s="9"/>
      <c r="AD3043" s="9"/>
      <c r="AF3043" s="10"/>
      <c r="AG3043" s="10"/>
      <c r="AH3043" s="10"/>
      <c r="AI3043" s="10"/>
    </row>
    <row r="3044" spans="28:35" ht="15" hidden="1" customHeight="1">
      <c r="AB3044" s="9"/>
      <c r="AC3044" s="9"/>
      <c r="AD3044" s="9"/>
      <c r="AF3044" s="10"/>
      <c r="AG3044" s="10"/>
      <c r="AH3044" s="10"/>
      <c r="AI3044" s="10"/>
    </row>
    <row r="3045" spans="28:35" ht="15" hidden="1" customHeight="1">
      <c r="AB3045" s="9"/>
      <c r="AC3045" s="9"/>
      <c r="AD3045" s="9"/>
      <c r="AF3045" s="10"/>
      <c r="AG3045" s="10"/>
      <c r="AH3045" s="10"/>
      <c r="AI3045" s="10"/>
    </row>
    <row r="3046" spans="28:35" ht="15" hidden="1" customHeight="1">
      <c r="AB3046" s="9"/>
      <c r="AC3046" s="9"/>
      <c r="AD3046" s="9"/>
      <c r="AF3046" s="10"/>
      <c r="AG3046" s="10"/>
      <c r="AH3046" s="10"/>
      <c r="AI3046" s="10"/>
    </row>
    <row r="3047" spans="28:35" ht="15" hidden="1" customHeight="1">
      <c r="AB3047" s="9"/>
      <c r="AC3047" s="9"/>
      <c r="AD3047" s="9"/>
      <c r="AF3047" s="10"/>
      <c r="AG3047" s="10"/>
      <c r="AH3047" s="10"/>
      <c r="AI3047" s="10"/>
    </row>
    <row r="3048" spans="28:35" ht="15" hidden="1" customHeight="1">
      <c r="AB3048" s="9"/>
      <c r="AC3048" s="9"/>
      <c r="AD3048" s="9"/>
      <c r="AF3048" s="10"/>
      <c r="AG3048" s="10"/>
      <c r="AH3048" s="10"/>
      <c r="AI3048" s="10"/>
    </row>
    <row r="3049" spans="28:35" ht="15" hidden="1" customHeight="1">
      <c r="AB3049" s="9"/>
      <c r="AC3049" s="9"/>
      <c r="AD3049" s="9"/>
      <c r="AF3049" s="10"/>
      <c r="AG3049" s="10"/>
      <c r="AH3049" s="10"/>
      <c r="AI3049" s="10"/>
    </row>
    <row r="3050" spans="28:35" ht="15" hidden="1" customHeight="1">
      <c r="AB3050" s="9"/>
      <c r="AC3050" s="9"/>
      <c r="AD3050" s="9"/>
      <c r="AF3050" s="10"/>
      <c r="AG3050" s="10"/>
      <c r="AH3050" s="10"/>
      <c r="AI3050" s="10"/>
    </row>
    <row r="3051" spans="28:35" ht="15" hidden="1" customHeight="1">
      <c r="AB3051" s="9"/>
      <c r="AC3051" s="9"/>
      <c r="AD3051" s="9"/>
      <c r="AF3051" s="10"/>
      <c r="AG3051" s="10"/>
      <c r="AH3051" s="10"/>
      <c r="AI3051" s="10"/>
    </row>
    <row r="3052" spans="28:35" ht="15" hidden="1" customHeight="1">
      <c r="AB3052" s="9"/>
      <c r="AC3052" s="9"/>
      <c r="AD3052" s="9"/>
      <c r="AF3052" s="10"/>
      <c r="AG3052" s="10"/>
      <c r="AH3052" s="10"/>
      <c r="AI3052" s="10"/>
    </row>
    <row r="3053" spans="28:35" ht="15" hidden="1" customHeight="1">
      <c r="AB3053" s="9"/>
      <c r="AC3053" s="9"/>
      <c r="AD3053" s="9"/>
      <c r="AF3053" s="10"/>
      <c r="AG3053" s="10"/>
      <c r="AH3053" s="10"/>
      <c r="AI3053" s="10"/>
    </row>
    <row r="3054" spans="28:35" ht="15" hidden="1" customHeight="1">
      <c r="AB3054" s="9"/>
      <c r="AC3054" s="9"/>
      <c r="AD3054" s="9"/>
      <c r="AF3054" s="10"/>
      <c r="AG3054" s="10"/>
      <c r="AH3054" s="10"/>
      <c r="AI3054" s="10"/>
    </row>
    <row r="3055" spans="28:35" ht="15" hidden="1" customHeight="1">
      <c r="AB3055" s="9"/>
      <c r="AC3055" s="9"/>
      <c r="AD3055" s="9"/>
      <c r="AF3055" s="10"/>
      <c r="AG3055" s="10"/>
      <c r="AH3055" s="10"/>
      <c r="AI3055" s="10"/>
    </row>
    <row r="3056" spans="28:35" ht="15" hidden="1" customHeight="1">
      <c r="AB3056" s="9"/>
      <c r="AC3056" s="9"/>
      <c r="AD3056" s="9"/>
      <c r="AF3056" s="10"/>
      <c r="AG3056" s="10"/>
      <c r="AH3056" s="10"/>
      <c r="AI3056" s="10"/>
    </row>
    <row r="3057" spans="28:35" ht="15" hidden="1" customHeight="1">
      <c r="AB3057" s="9"/>
      <c r="AC3057" s="9"/>
      <c r="AD3057" s="9"/>
      <c r="AF3057" s="10"/>
      <c r="AG3057" s="10"/>
      <c r="AH3057" s="10"/>
      <c r="AI3057" s="10"/>
    </row>
    <row r="3058" spans="28:35" ht="15" hidden="1" customHeight="1">
      <c r="AB3058" s="9"/>
      <c r="AC3058" s="9"/>
      <c r="AD3058" s="9"/>
      <c r="AF3058" s="10"/>
      <c r="AG3058" s="10"/>
      <c r="AH3058" s="10"/>
      <c r="AI3058" s="10"/>
    </row>
    <row r="3059" spans="28:35" ht="15" hidden="1" customHeight="1">
      <c r="AB3059" s="9"/>
      <c r="AC3059" s="9"/>
      <c r="AD3059" s="9"/>
      <c r="AF3059" s="10"/>
      <c r="AG3059" s="10"/>
      <c r="AH3059" s="10"/>
      <c r="AI3059" s="10"/>
    </row>
    <row r="3060" spans="28:35" ht="15" hidden="1" customHeight="1">
      <c r="AB3060" s="9"/>
      <c r="AC3060" s="9"/>
      <c r="AD3060" s="9"/>
      <c r="AF3060" s="10"/>
      <c r="AG3060" s="10"/>
      <c r="AH3060" s="10"/>
      <c r="AI3060" s="10"/>
    </row>
    <row r="3061" spans="28:35" ht="15" hidden="1" customHeight="1">
      <c r="AB3061" s="9"/>
      <c r="AC3061" s="9"/>
      <c r="AD3061" s="9"/>
      <c r="AF3061" s="10"/>
      <c r="AG3061" s="10"/>
      <c r="AH3061" s="10"/>
      <c r="AI3061" s="10"/>
    </row>
    <row r="3062" spans="28:35" ht="15" hidden="1" customHeight="1">
      <c r="AB3062" s="9"/>
      <c r="AC3062" s="9"/>
      <c r="AD3062" s="9"/>
      <c r="AF3062" s="10"/>
      <c r="AG3062" s="10"/>
      <c r="AH3062" s="10"/>
      <c r="AI3062" s="10"/>
    </row>
    <row r="3063" spans="28:35" ht="15" hidden="1" customHeight="1">
      <c r="AB3063" s="9"/>
      <c r="AC3063" s="9"/>
      <c r="AD3063" s="9"/>
      <c r="AF3063" s="10"/>
      <c r="AG3063" s="10"/>
      <c r="AH3063" s="10"/>
      <c r="AI3063" s="10"/>
    </row>
    <row r="3064" spans="28:35" ht="15" hidden="1" customHeight="1">
      <c r="AB3064" s="9"/>
      <c r="AC3064" s="9"/>
      <c r="AD3064" s="9"/>
      <c r="AF3064" s="10"/>
      <c r="AG3064" s="10"/>
      <c r="AH3064" s="10"/>
      <c r="AI3064" s="10"/>
    </row>
    <row r="3065" spans="28:35" ht="15" hidden="1" customHeight="1">
      <c r="AB3065" s="9"/>
      <c r="AC3065" s="9"/>
      <c r="AD3065" s="9"/>
      <c r="AF3065" s="10"/>
      <c r="AG3065" s="10"/>
      <c r="AH3065" s="10"/>
      <c r="AI3065" s="10"/>
    </row>
    <row r="3066" spans="28:35" ht="15" hidden="1" customHeight="1">
      <c r="AB3066" s="9"/>
      <c r="AC3066" s="9"/>
      <c r="AD3066" s="9"/>
      <c r="AF3066" s="10"/>
      <c r="AG3066" s="10"/>
      <c r="AH3066" s="10"/>
      <c r="AI3066" s="10"/>
    </row>
    <row r="3067" spans="28:35" ht="15" hidden="1" customHeight="1">
      <c r="AB3067" s="9"/>
      <c r="AC3067" s="9"/>
      <c r="AD3067" s="9"/>
      <c r="AF3067" s="10"/>
      <c r="AG3067" s="10"/>
      <c r="AH3067" s="10"/>
      <c r="AI3067" s="10"/>
    </row>
    <row r="3068" spans="28:35" ht="15" hidden="1" customHeight="1">
      <c r="AB3068" s="9"/>
      <c r="AC3068" s="9"/>
      <c r="AD3068" s="9"/>
      <c r="AF3068" s="10"/>
      <c r="AG3068" s="10"/>
      <c r="AH3068" s="10"/>
      <c r="AI3068" s="10"/>
    </row>
    <row r="3069" spans="28:35" ht="15" hidden="1" customHeight="1">
      <c r="AB3069" s="9"/>
      <c r="AC3069" s="9"/>
      <c r="AD3069" s="9"/>
      <c r="AF3069" s="10"/>
      <c r="AG3069" s="10"/>
      <c r="AH3069" s="10"/>
      <c r="AI3069" s="10"/>
    </row>
    <row r="3070" spans="28:35" ht="15" hidden="1" customHeight="1">
      <c r="AB3070" s="9"/>
      <c r="AC3070" s="9"/>
      <c r="AD3070" s="9"/>
      <c r="AF3070" s="10"/>
      <c r="AG3070" s="10"/>
      <c r="AH3070" s="10"/>
      <c r="AI3070" s="10"/>
    </row>
    <row r="3071" spans="28:35" ht="15" hidden="1" customHeight="1">
      <c r="AB3071" s="9"/>
      <c r="AC3071" s="9"/>
      <c r="AD3071" s="9"/>
      <c r="AF3071" s="10"/>
      <c r="AG3071" s="10"/>
      <c r="AH3071" s="10"/>
      <c r="AI3071" s="10"/>
    </row>
    <row r="3072" spans="28:35" ht="15" hidden="1" customHeight="1">
      <c r="AB3072" s="9"/>
      <c r="AC3072" s="9"/>
      <c r="AD3072" s="9"/>
      <c r="AF3072" s="10"/>
      <c r="AG3072" s="10"/>
      <c r="AH3072" s="10"/>
      <c r="AI3072" s="10"/>
    </row>
    <row r="3073" spans="28:35" ht="15" hidden="1" customHeight="1">
      <c r="AB3073" s="9"/>
      <c r="AC3073" s="9"/>
      <c r="AD3073" s="9"/>
      <c r="AF3073" s="10"/>
      <c r="AG3073" s="10"/>
      <c r="AH3073" s="10"/>
      <c r="AI3073" s="10"/>
    </row>
    <row r="3074" spans="28:35" ht="15" hidden="1" customHeight="1">
      <c r="AB3074" s="9"/>
      <c r="AC3074" s="9"/>
      <c r="AD3074" s="9"/>
      <c r="AF3074" s="10"/>
      <c r="AG3074" s="10"/>
      <c r="AH3074" s="10"/>
      <c r="AI3074" s="10"/>
    </row>
    <row r="3075" spans="28:35" ht="15" hidden="1" customHeight="1">
      <c r="AB3075" s="9"/>
      <c r="AC3075" s="9"/>
      <c r="AD3075" s="9"/>
      <c r="AF3075" s="10"/>
      <c r="AG3075" s="10"/>
      <c r="AH3075" s="10"/>
      <c r="AI3075" s="10"/>
    </row>
    <row r="3076" spans="28:35" ht="15" hidden="1" customHeight="1">
      <c r="AB3076" s="9"/>
      <c r="AC3076" s="9"/>
      <c r="AD3076" s="9"/>
      <c r="AF3076" s="10"/>
      <c r="AG3076" s="10"/>
      <c r="AH3076" s="10"/>
      <c r="AI3076" s="10"/>
    </row>
    <row r="3077" spans="28:35" ht="15" hidden="1" customHeight="1">
      <c r="AB3077" s="9"/>
      <c r="AC3077" s="9"/>
      <c r="AD3077" s="9"/>
      <c r="AF3077" s="10"/>
      <c r="AG3077" s="10"/>
      <c r="AH3077" s="10"/>
      <c r="AI3077" s="10"/>
    </row>
    <row r="3078" spans="28:35" ht="15" hidden="1" customHeight="1">
      <c r="AB3078" s="9"/>
      <c r="AC3078" s="9"/>
      <c r="AD3078" s="9"/>
      <c r="AF3078" s="10"/>
      <c r="AG3078" s="10"/>
      <c r="AH3078" s="10"/>
      <c r="AI3078" s="10"/>
    </row>
    <row r="3079" spans="28:35" ht="15" hidden="1" customHeight="1">
      <c r="AB3079" s="9"/>
      <c r="AC3079" s="9"/>
      <c r="AD3079" s="9"/>
      <c r="AF3079" s="10"/>
      <c r="AG3079" s="10"/>
      <c r="AH3079" s="10"/>
      <c r="AI3079" s="10"/>
    </row>
    <row r="3080" spans="28:35" ht="15" hidden="1" customHeight="1">
      <c r="AB3080" s="9"/>
      <c r="AC3080" s="9"/>
      <c r="AD3080" s="9"/>
      <c r="AF3080" s="10"/>
      <c r="AG3080" s="10"/>
      <c r="AH3080" s="10"/>
      <c r="AI3080" s="10"/>
    </row>
    <row r="3081" spans="28:35" ht="15" hidden="1" customHeight="1">
      <c r="AB3081" s="9"/>
      <c r="AC3081" s="9"/>
      <c r="AD3081" s="9"/>
      <c r="AF3081" s="10"/>
      <c r="AG3081" s="10"/>
      <c r="AH3081" s="10"/>
      <c r="AI3081" s="10"/>
    </row>
    <row r="3082" spans="28:35" ht="15" hidden="1" customHeight="1">
      <c r="AB3082" s="9"/>
      <c r="AC3082" s="9"/>
      <c r="AD3082" s="9"/>
      <c r="AF3082" s="10"/>
      <c r="AG3082" s="10"/>
      <c r="AH3082" s="10"/>
      <c r="AI3082" s="10"/>
    </row>
    <row r="3083" spans="28:35" ht="15" hidden="1" customHeight="1">
      <c r="AB3083" s="9"/>
      <c r="AC3083" s="9"/>
      <c r="AD3083" s="9"/>
      <c r="AF3083" s="10"/>
      <c r="AG3083" s="10"/>
      <c r="AH3083" s="10"/>
      <c r="AI3083" s="10"/>
    </row>
    <row r="3084" spans="28:35" ht="15" hidden="1" customHeight="1">
      <c r="AB3084" s="9"/>
      <c r="AC3084" s="9"/>
      <c r="AD3084" s="9"/>
      <c r="AF3084" s="10"/>
      <c r="AG3084" s="10"/>
      <c r="AH3084" s="10"/>
      <c r="AI3084" s="10"/>
    </row>
    <row r="3085" spans="28:35" ht="15" hidden="1" customHeight="1">
      <c r="AB3085" s="9"/>
      <c r="AC3085" s="9"/>
      <c r="AD3085" s="9"/>
      <c r="AF3085" s="10"/>
      <c r="AG3085" s="10"/>
      <c r="AH3085" s="10"/>
      <c r="AI3085" s="10"/>
    </row>
    <row r="3086" spans="28:35" ht="15" hidden="1" customHeight="1">
      <c r="AB3086" s="9"/>
      <c r="AC3086" s="9"/>
      <c r="AD3086" s="9"/>
      <c r="AF3086" s="10"/>
      <c r="AG3086" s="10"/>
      <c r="AH3086" s="10"/>
      <c r="AI3086" s="10"/>
    </row>
    <row r="3087" spans="28:35" ht="15" hidden="1" customHeight="1">
      <c r="AB3087" s="9"/>
      <c r="AC3087" s="9"/>
      <c r="AD3087" s="9"/>
      <c r="AF3087" s="10"/>
      <c r="AG3087" s="10"/>
      <c r="AH3087" s="10"/>
      <c r="AI3087" s="10"/>
    </row>
    <row r="3088" spans="28:35" ht="15" hidden="1" customHeight="1">
      <c r="AB3088" s="9"/>
      <c r="AC3088" s="9"/>
      <c r="AD3088" s="9"/>
      <c r="AF3088" s="10"/>
      <c r="AG3088" s="10"/>
      <c r="AH3088" s="10"/>
      <c r="AI3088" s="10"/>
    </row>
    <row r="3089" spans="28:35" ht="15" hidden="1" customHeight="1">
      <c r="AB3089" s="9"/>
      <c r="AC3089" s="9"/>
      <c r="AD3089" s="9"/>
      <c r="AF3089" s="10"/>
      <c r="AG3089" s="10"/>
      <c r="AH3089" s="10"/>
      <c r="AI3089" s="10"/>
    </row>
    <row r="3090" spans="28:35" ht="15" hidden="1" customHeight="1">
      <c r="AB3090" s="9"/>
      <c r="AC3090" s="9"/>
      <c r="AD3090" s="9"/>
      <c r="AF3090" s="10"/>
      <c r="AG3090" s="10"/>
      <c r="AH3090" s="10"/>
      <c r="AI3090" s="10"/>
    </row>
    <row r="3091" spans="28:35" ht="15" hidden="1" customHeight="1">
      <c r="AB3091" s="9"/>
      <c r="AC3091" s="9"/>
      <c r="AD3091" s="9"/>
      <c r="AF3091" s="10"/>
      <c r="AG3091" s="10"/>
      <c r="AH3091" s="10"/>
      <c r="AI3091" s="10"/>
    </row>
    <row r="3092" spans="28:35" ht="15" hidden="1" customHeight="1">
      <c r="AB3092" s="9"/>
      <c r="AC3092" s="9"/>
      <c r="AD3092" s="9"/>
      <c r="AF3092" s="10"/>
      <c r="AG3092" s="10"/>
      <c r="AH3092" s="10"/>
      <c r="AI3092" s="10"/>
    </row>
    <row r="3093" spans="28:35" ht="15" hidden="1" customHeight="1">
      <c r="AB3093" s="9"/>
      <c r="AC3093" s="9"/>
      <c r="AD3093" s="9"/>
      <c r="AF3093" s="10"/>
      <c r="AG3093" s="10"/>
      <c r="AH3093" s="10"/>
      <c r="AI3093" s="10"/>
    </row>
    <row r="3094" spans="28:35" ht="15" hidden="1" customHeight="1">
      <c r="AB3094" s="9"/>
      <c r="AC3094" s="9"/>
      <c r="AD3094" s="9"/>
      <c r="AF3094" s="10"/>
      <c r="AG3094" s="10"/>
      <c r="AH3094" s="10"/>
      <c r="AI3094" s="10"/>
    </row>
    <row r="3095" spans="28:35" ht="15" hidden="1" customHeight="1">
      <c r="AB3095" s="9"/>
      <c r="AC3095" s="9"/>
      <c r="AD3095" s="9"/>
      <c r="AF3095" s="10"/>
      <c r="AG3095" s="10"/>
      <c r="AH3095" s="10"/>
      <c r="AI3095" s="10"/>
    </row>
    <row r="3096" spans="28:35" ht="15" hidden="1" customHeight="1">
      <c r="AB3096" s="9"/>
      <c r="AC3096" s="9"/>
      <c r="AD3096" s="9"/>
      <c r="AF3096" s="10"/>
      <c r="AG3096" s="10"/>
      <c r="AH3096" s="10"/>
      <c r="AI3096" s="10"/>
    </row>
    <row r="3097" spans="28:35" ht="15" hidden="1" customHeight="1">
      <c r="AB3097" s="9"/>
      <c r="AC3097" s="9"/>
      <c r="AD3097" s="9"/>
      <c r="AF3097" s="10"/>
      <c r="AG3097" s="10"/>
      <c r="AH3097" s="10"/>
      <c r="AI3097" s="10"/>
    </row>
    <row r="3098" spans="28:35" ht="15" hidden="1" customHeight="1">
      <c r="AB3098" s="9"/>
      <c r="AC3098" s="9"/>
      <c r="AD3098" s="9"/>
      <c r="AF3098" s="10"/>
      <c r="AG3098" s="10"/>
      <c r="AH3098" s="10"/>
      <c r="AI3098" s="10"/>
    </row>
    <row r="3099" spans="28:35" ht="15" hidden="1" customHeight="1">
      <c r="AB3099" s="9"/>
      <c r="AC3099" s="9"/>
      <c r="AD3099" s="9"/>
      <c r="AF3099" s="10"/>
      <c r="AG3099" s="10"/>
      <c r="AH3099" s="10"/>
      <c r="AI3099" s="10"/>
    </row>
    <row r="3100" spans="28:35" ht="15" hidden="1" customHeight="1">
      <c r="AB3100" s="9"/>
      <c r="AC3100" s="9"/>
      <c r="AD3100" s="9"/>
      <c r="AF3100" s="10"/>
      <c r="AG3100" s="10"/>
      <c r="AH3100" s="10"/>
      <c r="AI3100" s="10"/>
    </row>
    <row r="3101" spans="28:35" ht="15" hidden="1" customHeight="1">
      <c r="AB3101" s="9"/>
      <c r="AC3101" s="9"/>
      <c r="AD3101" s="9"/>
      <c r="AF3101" s="10"/>
      <c r="AG3101" s="10"/>
      <c r="AH3101" s="10"/>
      <c r="AI3101" s="10"/>
    </row>
    <row r="3102" spans="28:35" ht="15" hidden="1" customHeight="1">
      <c r="AB3102" s="9"/>
      <c r="AC3102" s="9"/>
      <c r="AD3102" s="9"/>
      <c r="AF3102" s="10"/>
      <c r="AG3102" s="10"/>
      <c r="AH3102" s="10"/>
      <c r="AI3102" s="10"/>
    </row>
    <row r="3103" spans="28:35" ht="15" hidden="1" customHeight="1">
      <c r="AB3103" s="9"/>
      <c r="AC3103" s="9"/>
      <c r="AD3103" s="9"/>
      <c r="AF3103" s="10"/>
      <c r="AG3103" s="10"/>
      <c r="AH3103" s="10"/>
      <c r="AI3103" s="10"/>
    </row>
    <row r="3104" spans="28:35" ht="15" hidden="1" customHeight="1">
      <c r="AB3104" s="9"/>
      <c r="AC3104" s="9"/>
      <c r="AD3104" s="9"/>
      <c r="AF3104" s="10"/>
      <c r="AG3104" s="10"/>
      <c r="AH3104" s="10"/>
      <c r="AI3104" s="10"/>
    </row>
    <row r="3105" spans="28:35" ht="15" hidden="1" customHeight="1">
      <c r="AB3105" s="9"/>
      <c r="AC3105" s="9"/>
      <c r="AD3105" s="9"/>
      <c r="AF3105" s="10"/>
      <c r="AG3105" s="10"/>
      <c r="AH3105" s="10"/>
      <c r="AI3105" s="10"/>
    </row>
    <row r="3106" spans="28:35" ht="15" hidden="1" customHeight="1">
      <c r="AB3106" s="9"/>
      <c r="AC3106" s="9"/>
      <c r="AD3106" s="9"/>
      <c r="AF3106" s="10"/>
      <c r="AG3106" s="10"/>
      <c r="AH3106" s="10"/>
      <c r="AI3106" s="10"/>
    </row>
    <row r="3107" spans="28:35" ht="15" hidden="1" customHeight="1">
      <c r="AB3107" s="9"/>
      <c r="AC3107" s="9"/>
      <c r="AD3107" s="9"/>
      <c r="AF3107" s="10"/>
      <c r="AG3107" s="10"/>
      <c r="AH3107" s="10"/>
      <c r="AI3107" s="10"/>
    </row>
    <row r="3108" spans="28:35" ht="15" hidden="1" customHeight="1">
      <c r="AB3108" s="9"/>
      <c r="AC3108" s="9"/>
      <c r="AD3108" s="9"/>
      <c r="AF3108" s="10"/>
      <c r="AG3108" s="10"/>
      <c r="AH3108" s="10"/>
      <c r="AI3108" s="10"/>
    </row>
    <row r="3109" spans="28:35" ht="15" hidden="1" customHeight="1">
      <c r="AB3109" s="9"/>
      <c r="AC3109" s="9"/>
      <c r="AD3109" s="9"/>
      <c r="AF3109" s="10"/>
      <c r="AG3109" s="10"/>
      <c r="AH3109" s="10"/>
      <c r="AI3109" s="10"/>
    </row>
    <row r="3110" spans="28:35" ht="15" hidden="1" customHeight="1">
      <c r="AB3110" s="9"/>
      <c r="AC3110" s="9"/>
      <c r="AD3110" s="9"/>
      <c r="AF3110" s="10"/>
      <c r="AG3110" s="10"/>
      <c r="AH3110" s="10"/>
      <c r="AI3110" s="10"/>
    </row>
    <row r="3111" spans="28:35" ht="15" hidden="1" customHeight="1">
      <c r="AB3111" s="9"/>
      <c r="AC3111" s="9"/>
      <c r="AD3111" s="9"/>
      <c r="AF3111" s="10"/>
      <c r="AG3111" s="10"/>
      <c r="AH3111" s="10"/>
      <c r="AI3111" s="10"/>
    </row>
    <row r="3112" spans="28:35" ht="15" hidden="1" customHeight="1">
      <c r="AB3112" s="9"/>
      <c r="AC3112" s="9"/>
      <c r="AD3112" s="9"/>
      <c r="AF3112" s="10"/>
      <c r="AG3112" s="10"/>
      <c r="AH3112" s="10"/>
      <c r="AI3112" s="10"/>
    </row>
    <row r="3113" spans="28:35" ht="15" hidden="1" customHeight="1">
      <c r="AB3113" s="9"/>
      <c r="AC3113" s="9"/>
      <c r="AD3113" s="9"/>
      <c r="AF3113" s="10"/>
      <c r="AG3113" s="10"/>
      <c r="AH3113" s="10"/>
      <c r="AI3113" s="10"/>
    </row>
    <row r="3114" spans="28:35" ht="15" hidden="1" customHeight="1">
      <c r="AB3114" s="9"/>
      <c r="AC3114" s="9"/>
      <c r="AD3114" s="9"/>
      <c r="AF3114" s="10"/>
      <c r="AG3114" s="10"/>
      <c r="AH3114" s="10"/>
      <c r="AI3114" s="10"/>
    </row>
    <row r="3115" spans="28:35" ht="15" hidden="1" customHeight="1">
      <c r="AB3115" s="9"/>
      <c r="AC3115" s="9"/>
      <c r="AD3115" s="9"/>
      <c r="AF3115" s="10"/>
      <c r="AG3115" s="10"/>
      <c r="AH3115" s="10"/>
      <c r="AI3115" s="10"/>
    </row>
    <row r="3116" spans="28:35" ht="15" hidden="1" customHeight="1">
      <c r="AB3116" s="9"/>
      <c r="AC3116" s="9"/>
      <c r="AD3116" s="9"/>
      <c r="AF3116" s="10"/>
      <c r="AG3116" s="10"/>
      <c r="AH3116" s="10"/>
      <c r="AI3116" s="10"/>
    </row>
    <row r="3117" spans="28:35" ht="15" hidden="1" customHeight="1">
      <c r="AB3117" s="9"/>
      <c r="AC3117" s="9"/>
      <c r="AD3117" s="9"/>
      <c r="AF3117" s="10"/>
      <c r="AG3117" s="10"/>
      <c r="AH3117" s="10"/>
      <c r="AI3117" s="10"/>
    </row>
    <row r="3118" spans="28:35" ht="15" hidden="1" customHeight="1">
      <c r="AB3118" s="9"/>
      <c r="AC3118" s="9"/>
      <c r="AD3118" s="9"/>
      <c r="AF3118" s="10"/>
      <c r="AG3118" s="10"/>
      <c r="AH3118" s="10"/>
      <c r="AI3118" s="10"/>
    </row>
    <row r="3119" spans="28:35" ht="15" hidden="1" customHeight="1">
      <c r="AB3119" s="9"/>
      <c r="AC3119" s="9"/>
      <c r="AD3119" s="9"/>
      <c r="AF3119" s="10"/>
      <c r="AG3119" s="10"/>
      <c r="AH3119" s="10"/>
      <c r="AI3119" s="10"/>
    </row>
    <row r="3120" spans="28:35" ht="15" hidden="1" customHeight="1">
      <c r="AB3120" s="9"/>
      <c r="AC3120" s="9"/>
      <c r="AD3120" s="9"/>
      <c r="AF3120" s="10"/>
      <c r="AG3120" s="10"/>
      <c r="AH3120" s="10"/>
      <c r="AI3120" s="10"/>
    </row>
    <row r="3121" spans="28:35" ht="15" hidden="1" customHeight="1">
      <c r="AB3121" s="9"/>
      <c r="AC3121" s="9"/>
      <c r="AD3121" s="9"/>
      <c r="AF3121" s="10"/>
      <c r="AG3121" s="10"/>
      <c r="AH3121" s="10"/>
      <c r="AI3121" s="10"/>
    </row>
    <row r="3122" spans="28:35" ht="15" hidden="1" customHeight="1">
      <c r="AB3122" s="9"/>
      <c r="AC3122" s="9"/>
      <c r="AD3122" s="9"/>
      <c r="AF3122" s="10"/>
      <c r="AG3122" s="10"/>
      <c r="AH3122" s="10"/>
      <c r="AI3122" s="10"/>
    </row>
    <row r="3123" spans="28:35" ht="15" hidden="1" customHeight="1">
      <c r="AB3123" s="9"/>
      <c r="AC3123" s="9"/>
      <c r="AD3123" s="9"/>
      <c r="AF3123" s="10"/>
      <c r="AG3123" s="10"/>
      <c r="AH3123" s="10"/>
      <c r="AI3123" s="10"/>
    </row>
    <row r="3124" spans="28:35" ht="15" hidden="1" customHeight="1">
      <c r="AB3124" s="9"/>
      <c r="AC3124" s="9"/>
      <c r="AD3124" s="9"/>
      <c r="AF3124" s="10"/>
      <c r="AG3124" s="10"/>
      <c r="AH3124" s="10"/>
      <c r="AI3124" s="10"/>
    </row>
    <row r="3125" spans="28:35" ht="15" hidden="1" customHeight="1">
      <c r="AB3125" s="9"/>
      <c r="AC3125" s="9"/>
      <c r="AD3125" s="9"/>
      <c r="AF3125" s="10"/>
      <c r="AG3125" s="10"/>
      <c r="AH3125" s="10"/>
      <c r="AI3125" s="10"/>
    </row>
    <row r="3126" spans="28:35" ht="15" hidden="1" customHeight="1">
      <c r="AB3126" s="9"/>
      <c r="AC3126" s="9"/>
      <c r="AD3126" s="9"/>
      <c r="AF3126" s="10"/>
      <c r="AG3126" s="10"/>
      <c r="AH3126" s="10"/>
      <c r="AI3126" s="10"/>
    </row>
    <row r="3127" spans="28:35" ht="15" hidden="1" customHeight="1">
      <c r="AB3127" s="9"/>
      <c r="AC3127" s="9"/>
      <c r="AD3127" s="9"/>
      <c r="AF3127" s="10"/>
      <c r="AG3127" s="10"/>
      <c r="AH3127" s="10"/>
      <c r="AI3127" s="10"/>
    </row>
    <row r="3128" spans="28:35" ht="15" hidden="1" customHeight="1">
      <c r="AB3128" s="9"/>
      <c r="AC3128" s="9"/>
      <c r="AD3128" s="9"/>
      <c r="AF3128" s="10"/>
      <c r="AG3128" s="10"/>
      <c r="AH3128" s="10"/>
      <c r="AI3128" s="10"/>
    </row>
    <row r="3129" spans="28:35" ht="15" hidden="1" customHeight="1">
      <c r="AB3129" s="9"/>
      <c r="AC3129" s="9"/>
      <c r="AD3129" s="9"/>
      <c r="AF3129" s="10"/>
      <c r="AG3129" s="10"/>
      <c r="AH3129" s="10"/>
      <c r="AI3129" s="10"/>
    </row>
    <row r="3130" spans="28:35" ht="15" hidden="1" customHeight="1">
      <c r="AB3130" s="9"/>
      <c r="AC3130" s="9"/>
      <c r="AD3130" s="9"/>
      <c r="AF3130" s="10"/>
      <c r="AG3130" s="10"/>
      <c r="AH3130" s="10"/>
      <c r="AI3130" s="10"/>
    </row>
    <row r="3131" spans="28:35" ht="15" hidden="1" customHeight="1">
      <c r="AB3131" s="9"/>
      <c r="AC3131" s="9"/>
      <c r="AD3131" s="9"/>
      <c r="AF3131" s="10"/>
      <c r="AG3131" s="10"/>
      <c r="AH3131" s="10"/>
      <c r="AI3131" s="10"/>
    </row>
    <row r="3132" spans="28:35" ht="15" hidden="1" customHeight="1">
      <c r="AB3132" s="9"/>
      <c r="AC3132" s="9"/>
      <c r="AD3132" s="9"/>
      <c r="AF3132" s="10"/>
      <c r="AG3132" s="10"/>
      <c r="AH3132" s="10"/>
      <c r="AI3132" s="10"/>
    </row>
    <row r="3133" spans="28:35" ht="15" hidden="1" customHeight="1">
      <c r="AB3133" s="9"/>
      <c r="AC3133" s="9"/>
      <c r="AD3133" s="9"/>
      <c r="AF3133" s="10"/>
      <c r="AG3133" s="10"/>
      <c r="AH3133" s="10"/>
      <c r="AI3133" s="10"/>
    </row>
    <row r="3134" spans="28:35" ht="15" hidden="1" customHeight="1">
      <c r="AB3134" s="9"/>
      <c r="AC3134" s="9"/>
      <c r="AD3134" s="9"/>
      <c r="AF3134" s="10"/>
      <c r="AG3134" s="10"/>
      <c r="AH3134" s="10"/>
      <c r="AI3134" s="10"/>
    </row>
    <row r="3135" spans="28:35" ht="15" hidden="1" customHeight="1">
      <c r="AB3135" s="9"/>
      <c r="AC3135" s="9"/>
      <c r="AD3135" s="9"/>
      <c r="AF3135" s="10"/>
      <c r="AG3135" s="10"/>
      <c r="AH3135" s="10"/>
      <c r="AI3135" s="10"/>
    </row>
    <row r="3136" spans="28:35" ht="15" hidden="1" customHeight="1">
      <c r="AB3136" s="9"/>
      <c r="AC3136" s="9"/>
      <c r="AD3136" s="9"/>
      <c r="AF3136" s="10"/>
      <c r="AG3136" s="10"/>
      <c r="AH3136" s="10"/>
      <c r="AI3136" s="10"/>
    </row>
    <row r="3137" spans="28:35" ht="15" hidden="1" customHeight="1">
      <c r="AB3137" s="9"/>
      <c r="AC3137" s="9"/>
      <c r="AD3137" s="9"/>
      <c r="AF3137" s="10"/>
      <c r="AG3137" s="10"/>
      <c r="AH3137" s="10"/>
      <c r="AI3137" s="10"/>
    </row>
    <row r="3138" spans="28:35" ht="15" hidden="1" customHeight="1">
      <c r="AB3138" s="9"/>
      <c r="AC3138" s="9"/>
      <c r="AD3138" s="9"/>
      <c r="AF3138" s="10"/>
      <c r="AG3138" s="10"/>
      <c r="AH3138" s="10"/>
      <c r="AI3138" s="10"/>
    </row>
    <row r="3139" spans="28:35" ht="15" hidden="1" customHeight="1">
      <c r="AB3139" s="9"/>
      <c r="AC3139" s="9"/>
      <c r="AD3139" s="9"/>
      <c r="AF3139" s="10"/>
      <c r="AG3139" s="10"/>
      <c r="AH3139" s="10"/>
      <c r="AI3139" s="10"/>
    </row>
    <row r="3140" spans="28:35" ht="15" hidden="1" customHeight="1">
      <c r="AB3140" s="9"/>
      <c r="AC3140" s="9"/>
      <c r="AD3140" s="9"/>
      <c r="AF3140" s="10"/>
      <c r="AG3140" s="10"/>
      <c r="AH3140" s="10"/>
      <c r="AI3140" s="10"/>
    </row>
    <row r="3141" spans="28:35" ht="15" hidden="1" customHeight="1">
      <c r="AB3141" s="9"/>
      <c r="AC3141" s="9"/>
      <c r="AD3141" s="9"/>
      <c r="AF3141" s="10"/>
      <c r="AG3141" s="10"/>
      <c r="AH3141" s="10"/>
      <c r="AI3141" s="10"/>
    </row>
    <row r="3142" spans="28:35" ht="15" hidden="1" customHeight="1">
      <c r="AB3142" s="9"/>
      <c r="AC3142" s="9"/>
      <c r="AD3142" s="9"/>
      <c r="AF3142" s="10"/>
      <c r="AG3142" s="10"/>
      <c r="AH3142" s="10"/>
      <c r="AI3142" s="10"/>
    </row>
    <row r="3143" spans="28:35" ht="15" hidden="1" customHeight="1">
      <c r="AB3143" s="9"/>
      <c r="AC3143" s="9"/>
      <c r="AD3143" s="9"/>
      <c r="AF3143" s="10"/>
      <c r="AG3143" s="10"/>
      <c r="AH3143" s="10"/>
      <c r="AI3143" s="10"/>
    </row>
    <row r="3144" spans="28:35" ht="15" hidden="1" customHeight="1">
      <c r="AB3144" s="9"/>
      <c r="AC3144" s="9"/>
      <c r="AD3144" s="9"/>
      <c r="AF3144" s="10"/>
      <c r="AG3144" s="10"/>
      <c r="AH3144" s="10"/>
      <c r="AI3144" s="10"/>
    </row>
    <row r="3145" spans="28:35" ht="15" hidden="1" customHeight="1">
      <c r="AB3145" s="9"/>
      <c r="AC3145" s="9"/>
      <c r="AD3145" s="9"/>
      <c r="AF3145" s="10"/>
      <c r="AG3145" s="10"/>
      <c r="AH3145" s="10"/>
      <c r="AI3145" s="10"/>
    </row>
    <row r="3146" spans="28:35" ht="15" hidden="1" customHeight="1">
      <c r="AB3146" s="9"/>
      <c r="AC3146" s="9"/>
      <c r="AD3146" s="9"/>
      <c r="AF3146" s="10"/>
      <c r="AG3146" s="10"/>
      <c r="AH3146" s="10"/>
      <c r="AI3146" s="10"/>
    </row>
    <row r="3147" spans="28:35" ht="15" hidden="1" customHeight="1">
      <c r="AB3147" s="9"/>
      <c r="AC3147" s="9"/>
      <c r="AD3147" s="9"/>
      <c r="AF3147" s="10"/>
      <c r="AG3147" s="10"/>
      <c r="AH3147" s="10"/>
      <c r="AI3147" s="10"/>
    </row>
    <row r="3148" spans="28:35" ht="15" hidden="1" customHeight="1">
      <c r="AB3148" s="9"/>
      <c r="AC3148" s="9"/>
      <c r="AD3148" s="9"/>
      <c r="AF3148" s="10"/>
      <c r="AG3148" s="10"/>
      <c r="AH3148" s="10"/>
      <c r="AI3148" s="10"/>
    </row>
    <row r="3149" spans="28:35" ht="15" hidden="1" customHeight="1">
      <c r="AB3149" s="9"/>
      <c r="AC3149" s="9"/>
      <c r="AD3149" s="9"/>
      <c r="AF3149" s="10"/>
      <c r="AG3149" s="10"/>
      <c r="AH3149" s="10"/>
      <c r="AI3149" s="10"/>
    </row>
    <row r="3150" spans="28:35" ht="15" hidden="1" customHeight="1">
      <c r="AB3150" s="9"/>
      <c r="AC3150" s="9"/>
      <c r="AD3150" s="9"/>
      <c r="AF3150" s="10"/>
      <c r="AG3150" s="10"/>
      <c r="AH3150" s="10"/>
      <c r="AI3150" s="10"/>
    </row>
    <row r="3151" spans="28:35" ht="15" hidden="1" customHeight="1">
      <c r="AB3151" s="9"/>
      <c r="AC3151" s="9"/>
      <c r="AD3151" s="9"/>
      <c r="AF3151" s="10"/>
      <c r="AG3151" s="10"/>
      <c r="AH3151" s="10"/>
      <c r="AI3151" s="10"/>
    </row>
    <row r="3152" spans="28:35" ht="15" hidden="1" customHeight="1">
      <c r="AB3152" s="9"/>
      <c r="AC3152" s="9"/>
      <c r="AD3152" s="9"/>
      <c r="AF3152" s="10"/>
      <c r="AG3152" s="10"/>
      <c r="AH3152" s="10"/>
      <c r="AI3152" s="10"/>
    </row>
    <row r="3153" spans="28:35" ht="15" hidden="1" customHeight="1">
      <c r="AB3153" s="9"/>
      <c r="AC3153" s="9"/>
      <c r="AD3153" s="9"/>
      <c r="AF3153" s="10"/>
      <c r="AG3153" s="10"/>
      <c r="AH3153" s="10"/>
      <c r="AI3153" s="10"/>
    </row>
    <row r="3154" spans="28:35" ht="15" hidden="1" customHeight="1">
      <c r="AB3154" s="9"/>
      <c r="AC3154" s="9"/>
      <c r="AD3154" s="9"/>
      <c r="AF3154" s="10"/>
      <c r="AG3154" s="10"/>
      <c r="AH3154" s="10"/>
      <c r="AI3154" s="10"/>
    </row>
    <row r="3155" spans="28:35" ht="15" hidden="1" customHeight="1">
      <c r="AB3155" s="9"/>
      <c r="AC3155" s="9"/>
      <c r="AD3155" s="9"/>
      <c r="AF3155" s="10"/>
      <c r="AG3155" s="10"/>
      <c r="AH3155" s="10"/>
      <c r="AI3155" s="10"/>
    </row>
    <row r="3156" spans="28:35" ht="15" hidden="1" customHeight="1">
      <c r="AB3156" s="9"/>
      <c r="AC3156" s="9"/>
      <c r="AD3156" s="9"/>
      <c r="AF3156" s="10"/>
      <c r="AG3156" s="10"/>
      <c r="AH3156" s="10"/>
      <c r="AI3156" s="10"/>
    </row>
    <row r="3157" spans="28:35" ht="15" hidden="1" customHeight="1">
      <c r="AB3157" s="9"/>
      <c r="AC3157" s="9"/>
      <c r="AD3157" s="9"/>
      <c r="AF3157" s="10"/>
      <c r="AG3157" s="10"/>
      <c r="AH3157" s="10"/>
      <c r="AI3157" s="10"/>
    </row>
    <row r="3158" spans="28:35" ht="15" hidden="1" customHeight="1">
      <c r="AB3158" s="9"/>
      <c r="AC3158" s="9"/>
      <c r="AD3158" s="9"/>
      <c r="AF3158" s="10"/>
      <c r="AG3158" s="10"/>
      <c r="AH3158" s="10"/>
      <c r="AI3158" s="10"/>
    </row>
    <row r="3159" spans="28:35" ht="15" hidden="1" customHeight="1">
      <c r="AB3159" s="9"/>
      <c r="AC3159" s="9"/>
      <c r="AD3159" s="9"/>
      <c r="AF3159" s="10"/>
      <c r="AG3159" s="10"/>
      <c r="AH3159" s="10"/>
      <c r="AI3159" s="10"/>
    </row>
    <row r="3160" spans="28:35" ht="15" hidden="1" customHeight="1">
      <c r="AB3160" s="9"/>
      <c r="AC3160" s="9"/>
      <c r="AD3160" s="9"/>
      <c r="AF3160" s="10"/>
      <c r="AG3160" s="10"/>
      <c r="AH3160" s="10"/>
      <c r="AI3160" s="10"/>
    </row>
    <row r="3161" spans="28:35" ht="15" hidden="1" customHeight="1">
      <c r="AB3161" s="9"/>
      <c r="AC3161" s="9"/>
      <c r="AD3161" s="9"/>
      <c r="AF3161" s="10"/>
      <c r="AG3161" s="10"/>
      <c r="AH3161" s="10"/>
      <c r="AI3161" s="10"/>
    </row>
    <row r="3162" spans="28:35" ht="15" hidden="1" customHeight="1">
      <c r="AB3162" s="9"/>
      <c r="AC3162" s="9"/>
      <c r="AD3162" s="9"/>
      <c r="AF3162" s="10"/>
      <c r="AG3162" s="10"/>
      <c r="AH3162" s="10"/>
      <c r="AI3162" s="10"/>
    </row>
    <row r="3163" spans="28:35" ht="15" hidden="1" customHeight="1">
      <c r="AB3163" s="9"/>
      <c r="AC3163" s="9"/>
      <c r="AD3163" s="9"/>
      <c r="AF3163" s="10"/>
      <c r="AG3163" s="10"/>
      <c r="AH3163" s="10"/>
      <c r="AI3163" s="10"/>
    </row>
    <row r="3164" spans="28:35" ht="15" hidden="1" customHeight="1">
      <c r="AB3164" s="9"/>
      <c r="AC3164" s="9"/>
      <c r="AD3164" s="9"/>
      <c r="AF3164" s="10"/>
      <c r="AG3164" s="10"/>
      <c r="AH3164" s="10"/>
      <c r="AI3164" s="10"/>
    </row>
    <row r="3165" spans="28:35" ht="15" hidden="1" customHeight="1">
      <c r="AB3165" s="9"/>
      <c r="AC3165" s="9"/>
      <c r="AD3165" s="9"/>
      <c r="AF3165" s="10"/>
      <c r="AG3165" s="10"/>
      <c r="AH3165" s="10"/>
      <c r="AI3165" s="10"/>
    </row>
    <row r="3166" spans="28:35" ht="15" hidden="1" customHeight="1">
      <c r="AB3166" s="9"/>
      <c r="AC3166" s="9"/>
      <c r="AD3166" s="9"/>
      <c r="AF3166" s="10"/>
      <c r="AG3166" s="10"/>
      <c r="AH3166" s="10"/>
      <c r="AI3166" s="10"/>
    </row>
    <row r="3167" spans="28:35" ht="15" hidden="1" customHeight="1">
      <c r="AB3167" s="9"/>
      <c r="AC3167" s="9"/>
      <c r="AD3167" s="9"/>
      <c r="AF3167" s="10"/>
      <c r="AG3167" s="10"/>
      <c r="AH3167" s="10"/>
      <c r="AI3167" s="10"/>
    </row>
    <row r="3168" spans="28:35" ht="15" hidden="1" customHeight="1">
      <c r="AB3168" s="9"/>
      <c r="AC3168" s="9"/>
      <c r="AD3168" s="9"/>
      <c r="AF3168" s="10"/>
      <c r="AG3168" s="10"/>
      <c r="AH3168" s="10"/>
      <c r="AI3168" s="10"/>
    </row>
    <row r="3169" spans="28:35" ht="15" hidden="1" customHeight="1">
      <c r="AB3169" s="9"/>
      <c r="AC3169" s="9"/>
      <c r="AD3169" s="9"/>
      <c r="AF3169" s="10"/>
      <c r="AG3169" s="10"/>
      <c r="AH3169" s="10"/>
      <c r="AI3169" s="10"/>
    </row>
    <row r="3170" spans="28:35" ht="15" hidden="1" customHeight="1">
      <c r="AB3170" s="9"/>
      <c r="AC3170" s="9"/>
      <c r="AD3170" s="9"/>
      <c r="AF3170" s="10"/>
      <c r="AG3170" s="10"/>
      <c r="AH3170" s="10"/>
      <c r="AI3170" s="10"/>
    </row>
    <row r="3171" spans="28:35" ht="15" hidden="1" customHeight="1">
      <c r="AB3171" s="9"/>
      <c r="AC3171" s="9"/>
      <c r="AD3171" s="9"/>
      <c r="AF3171" s="10"/>
      <c r="AG3171" s="10"/>
      <c r="AH3171" s="10"/>
      <c r="AI3171" s="10"/>
    </row>
    <row r="3172" spans="28:35" ht="15" hidden="1" customHeight="1">
      <c r="AB3172" s="9"/>
      <c r="AC3172" s="9"/>
      <c r="AD3172" s="9"/>
      <c r="AF3172" s="10"/>
      <c r="AG3172" s="10"/>
      <c r="AH3172" s="10"/>
      <c r="AI3172" s="10"/>
    </row>
    <row r="3173" spans="28:35" ht="15" hidden="1" customHeight="1">
      <c r="AB3173" s="9"/>
      <c r="AC3173" s="9"/>
      <c r="AD3173" s="9"/>
      <c r="AF3173" s="10"/>
      <c r="AG3173" s="10"/>
      <c r="AH3173" s="10"/>
      <c r="AI3173" s="10"/>
    </row>
    <row r="3174" spans="28:35" ht="15" hidden="1" customHeight="1">
      <c r="AB3174" s="9"/>
      <c r="AC3174" s="9"/>
      <c r="AD3174" s="9"/>
      <c r="AF3174" s="10"/>
      <c r="AG3174" s="10"/>
      <c r="AH3174" s="10"/>
      <c r="AI3174" s="10"/>
    </row>
    <row r="3175" spans="28:35" ht="15" hidden="1" customHeight="1">
      <c r="AB3175" s="9"/>
      <c r="AC3175" s="9"/>
      <c r="AD3175" s="9"/>
      <c r="AF3175" s="10"/>
      <c r="AG3175" s="10"/>
      <c r="AH3175" s="10"/>
      <c r="AI3175" s="10"/>
    </row>
    <row r="3176" spans="28:35" ht="15" hidden="1" customHeight="1">
      <c r="AB3176" s="9"/>
      <c r="AC3176" s="9"/>
      <c r="AD3176" s="9"/>
      <c r="AF3176" s="10"/>
      <c r="AG3176" s="10"/>
      <c r="AH3176" s="10"/>
      <c r="AI3176" s="10"/>
    </row>
    <row r="3177" spans="28:35" ht="15" hidden="1" customHeight="1">
      <c r="AB3177" s="9"/>
      <c r="AC3177" s="9"/>
      <c r="AD3177" s="9"/>
      <c r="AF3177" s="10"/>
      <c r="AG3177" s="10"/>
      <c r="AH3177" s="10"/>
      <c r="AI3177" s="10"/>
    </row>
    <row r="3178" spans="28:35" ht="15" hidden="1" customHeight="1">
      <c r="AB3178" s="9"/>
      <c r="AC3178" s="9"/>
      <c r="AD3178" s="9"/>
      <c r="AF3178" s="10"/>
      <c r="AG3178" s="10"/>
      <c r="AH3178" s="10"/>
      <c r="AI3178" s="10"/>
    </row>
    <row r="3179" spans="28:35" ht="15" hidden="1" customHeight="1">
      <c r="AB3179" s="9"/>
      <c r="AC3179" s="9"/>
      <c r="AD3179" s="9"/>
      <c r="AF3179" s="10"/>
      <c r="AG3179" s="10"/>
      <c r="AH3179" s="10"/>
      <c r="AI3179" s="10"/>
    </row>
    <row r="3180" spans="28:35" ht="15" hidden="1" customHeight="1">
      <c r="AB3180" s="9"/>
      <c r="AC3180" s="9"/>
      <c r="AD3180" s="9"/>
      <c r="AF3180" s="10"/>
      <c r="AG3180" s="10"/>
      <c r="AH3180" s="10"/>
      <c r="AI3180" s="10"/>
    </row>
    <row r="3181" spans="28:35" ht="15" hidden="1" customHeight="1">
      <c r="AB3181" s="9"/>
      <c r="AC3181" s="9"/>
      <c r="AD3181" s="9"/>
      <c r="AF3181" s="10"/>
      <c r="AG3181" s="10"/>
      <c r="AH3181" s="10"/>
      <c r="AI3181" s="10"/>
    </row>
    <row r="3182" spans="28:35" ht="15" hidden="1" customHeight="1">
      <c r="AB3182" s="9"/>
      <c r="AC3182" s="9"/>
      <c r="AD3182" s="9"/>
      <c r="AF3182" s="10"/>
      <c r="AG3182" s="10"/>
      <c r="AH3182" s="10"/>
      <c r="AI3182" s="10"/>
    </row>
    <row r="3183" spans="28:35" ht="15" hidden="1" customHeight="1">
      <c r="AB3183" s="9"/>
      <c r="AC3183" s="9"/>
      <c r="AD3183" s="9"/>
      <c r="AF3183" s="10"/>
      <c r="AG3183" s="10"/>
      <c r="AH3183" s="10"/>
      <c r="AI3183" s="10"/>
    </row>
    <row r="3184" spans="28:35" ht="15" hidden="1" customHeight="1">
      <c r="AB3184" s="9"/>
      <c r="AC3184" s="9"/>
      <c r="AD3184" s="9"/>
      <c r="AF3184" s="10"/>
      <c r="AG3184" s="10"/>
      <c r="AH3184" s="10"/>
      <c r="AI3184" s="10"/>
    </row>
    <row r="3185" spans="28:35" ht="15" hidden="1" customHeight="1">
      <c r="AB3185" s="9"/>
      <c r="AC3185" s="9"/>
      <c r="AD3185" s="9"/>
      <c r="AF3185" s="10"/>
      <c r="AG3185" s="10"/>
      <c r="AH3185" s="10"/>
      <c r="AI3185" s="10"/>
    </row>
    <row r="3186" spans="28:35" ht="15" hidden="1" customHeight="1">
      <c r="AB3186" s="9"/>
      <c r="AC3186" s="9"/>
      <c r="AD3186" s="9"/>
      <c r="AF3186" s="10"/>
      <c r="AG3186" s="10"/>
      <c r="AH3186" s="10"/>
      <c r="AI3186" s="10"/>
    </row>
    <row r="3187" spans="28:35" ht="15" hidden="1" customHeight="1">
      <c r="AB3187" s="9"/>
      <c r="AC3187" s="9"/>
      <c r="AD3187" s="9"/>
      <c r="AF3187" s="10"/>
      <c r="AG3187" s="10"/>
      <c r="AH3187" s="10"/>
      <c r="AI3187" s="10"/>
    </row>
    <row r="3188" spans="28:35" ht="15" hidden="1" customHeight="1">
      <c r="AB3188" s="9"/>
      <c r="AC3188" s="9"/>
      <c r="AD3188" s="9"/>
      <c r="AF3188" s="10"/>
      <c r="AG3188" s="10"/>
      <c r="AH3188" s="10"/>
      <c r="AI3188" s="10"/>
    </row>
    <row r="3189" spans="28:35" ht="15" hidden="1" customHeight="1">
      <c r="AB3189" s="9"/>
      <c r="AC3189" s="9"/>
      <c r="AD3189" s="9"/>
      <c r="AF3189" s="10"/>
      <c r="AG3189" s="10"/>
      <c r="AH3189" s="10"/>
      <c r="AI3189" s="10"/>
    </row>
    <row r="3190" spans="28:35" ht="15" hidden="1" customHeight="1">
      <c r="AB3190" s="9"/>
      <c r="AC3190" s="9"/>
      <c r="AD3190" s="9"/>
      <c r="AF3190" s="10"/>
      <c r="AG3190" s="10"/>
      <c r="AH3190" s="10"/>
      <c r="AI3190" s="10"/>
    </row>
    <row r="3191" spans="28:35" ht="15" hidden="1" customHeight="1">
      <c r="AB3191" s="9"/>
      <c r="AC3191" s="9"/>
      <c r="AD3191" s="9"/>
      <c r="AF3191" s="10"/>
      <c r="AG3191" s="10"/>
      <c r="AH3191" s="10"/>
      <c r="AI3191" s="10"/>
    </row>
    <row r="3192" spans="28:35" ht="15" hidden="1" customHeight="1">
      <c r="AB3192" s="9"/>
      <c r="AC3192" s="9"/>
      <c r="AD3192" s="9"/>
      <c r="AF3192" s="10"/>
      <c r="AG3192" s="10"/>
      <c r="AH3192" s="10"/>
      <c r="AI3192" s="10"/>
    </row>
    <row r="3193" spans="28:35" ht="15" hidden="1" customHeight="1">
      <c r="AB3193" s="9"/>
      <c r="AC3193" s="9"/>
      <c r="AD3193" s="9"/>
      <c r="AF3193" s="10"/>
      <c r="AG3193" s="10"/>
      <c r="AH3193" s="10"/>
      <c r="AI3193" s="10"/>
    </row>
    <row r="3194" spans="28:35" ht="15" hidden="1" customHeight="1">
      <c r="AB3194" s="9"/>
      <c r="AC3194" s="9"/>
      <c r="AD3194" s="9"/>
      <c r="AF3194" s="10"/>
      <c r="AG3194" s="10"/>
      <c r="AH3194" s="10"/>
      <c r="AI3194" s="10"/>
    </row>
    <row r="3195" spans="28:35" ht="15" hidden="1" customHeight="1">
      <c r="AB3195" s="9"/>
      <c r="AC3195" s="9"/>
      <c r="AD3195" s="9"/>
      <c r="AF3195" s="10"/>
      <c r="AG3195" s="10"/>
      <c r="AH3195" s="10"/>
      <c r="AI3195" s="10"/>
    </row>
    <row r="3196" spans="28:35" ht="15" hidden="1" customHeight="1">
      <c r="AB3196" s="9"/>
      <c r="AC3196" s="9"/>
      <c r="AD3196" s="9"/>
      <c r="AF3196" s="10"/>
      <c r="AG3196" s="10"/>
      <c r="AH3196" s="10"/>
      <c r="AI3196" s="10"/>
    </row>
    <row r="3197" spans="28:35" ht="15" hidden="1" customHeight="1">
      <c r="AB3197" s="9"/>
      <c r="AC3197" s="9"/>
      <c r="AD3197" s="9"/>
      <c r="AF3197" s="10"/>
      <c r="AG3197" s="10"/>
      <c r="AH3197" s="10"/>
      <c r="AI3197" s="10"/>
    </row>
    <row r="3198" spans="28:35" ht="15" hidden="1" customHeight="1">
      <c r="AB3198" s="9"/>
      <c r="AC3198" s="9"/>
      <c r="AD3198" s="9"/>
      <c r="AF3198" s="10"/>
      <c r="AG3198" s="10"/>
      <c r="AH3198" s="10"/>
      <c r="AI3198" s="10"/>
    </row>
    <row r="3199" spans="28:35" ht="15" hidden="1" customHeight="1">
      <c r="AB3199" s="9"/>
      <c r="AC3199" s="9"/>
      <c r="AD3199" s="9"/>
      <c r="AF3199" s="10"/>
      <c r="AG3199" s="10"/>
      <c r="AH3199" s="10"/>
      <c r="AI3199" s="10"/>
    </row>
    <row r="3200" spans="28:35" ht="15" hidden="1" customHeight="1">
      <c r="AB3200" s="9"/>
      <c r="AC3200" s="9"/>
      <c r="AD3200" s="9"/>
      <c r="AF3200" s="10"/>
      <c r="AG3200" s="10"/>
      <c r="AH3200" s="10"/>
      <c r="AI3200" s="10"/>
    </row>
    <row r="3201" spans="28:35" ht="15" hidden="1" customHeight="1">
      <c r="AB3201" s="9"/>
      <c r="AC3201" s="9"/>
      <c r="AD3201" s="9"/>
      <c r="AF3201" s="10"/>
      <c r="AG3201" s="10"/>
      <c r="AH3201" s="10"/>
      <c r="AI3201" s="10"/>
    </row>
    <row r="3202" spans="28:35" ht="15" hidden="1" customHeight="1">
      <c r="AB3202" s="9"/>
      <c r="AC3202" s="9"/>
      <c r="AD3202" s="9"/>
      <c r="AF3202" s="10"/>
      <c r="AG3202" s="10"/>
      <c r="AH3202" s="10"/>
      <c r="AI3202" s="10"/>
    </row>
    <row r="3203" spans="28:35" ht="15" hidden="1" customHeight="1">
      <c r="AB3203" s="9"/>
      <c r="AC3203" s="9"/>
      <c r="AD3203" s="9"/>
      <c r="AF3203" s="10"/>
      <c r="AG3203" s="10"/>
      <c r="AH3203" s="10"/>
      <c r="AI3203" s="10"/>
    </row>
    <row r="3204" spans="28:35" ht="15" hidden="1" customHeight="1">
      <c r="AB3204" s="9"/>
      <c r="AC3204" s="9"/>
      <c r="AD3204" s="9"/>
      <c r="AF3204" s="10"/>
      <c r="AG3204" s="10"/>
      <c r="AH3204" s="10"/>
      <c r="AI3204" s="10"/>
    </row>
    <row r="3205" spans="28:35" ht="15" hidden="1" customHeight="1">
      <c r="AB3205" s="9"/>
      <c r="AC3205" s="9"/>
      <c r="AD3205" s="9"/>
      <c r="AF3205" s="10"/>
      <c r="AG3205" s="10"/>
      <c r="AH3205" s="10"/>
      <c r="AI3205" s="10"/>
    </row>
    <row r="3206" spans="28:35" ht="15" hidden="1" customHeight="1">
      <c r="AB3206" s="9"/>
      <c r="AC3206" s="9"/>
      <c r="AD3206" s="9"/>
      <c r="AF3206" s="10"/>
      <c r="AG3206" s="10"/>
      <c r="AH3206" s="10"/>
      <c r="AI3206" s="10"/>
    </row>
    <row r="3207" spans="28:35" ht="15" hidden="1" customHeight="1">
      <c r="AB3207" s="9"/>
      <c r="AC3207" s="9"/>
      <c r="AD3207" s="9"/>
      <c r="AF3207" s="10"/>
      <c r="AG3207" s="10"/>
      <c r="AH3207" s="10"/>
      <c r="AI3207" s="10"/>
    </row>
    <row r="3208" spans="28:35" ht="15" hidden="1" customHeight="1">
      <c r="AB3208" s="9"/>
      <c r="AC3208" s="9"/>
      <c r="AD3208" s="9"/>
      <c r="AF3208" s="10"/>
      <c r="AG3208" s="10"/>
      <c r="AH3208" s="10"/>
      <c r="AI3208" s="10"/>
    </row>
    <row r="3209" spans="28:35" ht="15" hidden="1" customHeight="1">
      <c r="AB3209" s="9"/>
      <c r="AC3209" s="9"/>
      <c r="AD3209" s="9"/>
      <c r="AF3209" s="10"/>
      <c r="AG3209" s="10"/>
      <c r="AH3209" s="10"/>
      <c r="AI3209" s="10"/>
    </row>
    <row r="3210" spans="28:35" ht="15" hidden="1" customHeight="1">
      <c r="AB3210" s="9"/>
      <c r="AC3210" s="9"/>
      <c r="AD3210" s="9"/>
      <c r="AF3210" s="10"/>
      <c r="AG3210" s="10"/>
      <c r="AH3210" s="10"/>
      <c r="AI3210" s="10"/>
    </row>
    <row r="3211" spans="28:35" ht="15" hidden="1" customHeight="1">
      <c r="AB3211" s="9"/>
      <c r="AC3211" s="9"/>
      <c r="AD3211" s="9"/>
      <c r="AF3211" s="10"/>
      <c r="AG3211" s="10"/>
      <c r="AH3211" s="10"/>
      <c r="AI3211" s="10"/>
    </row>
    <row r="3212" spans="28:35" ht="15" hidden="1" customHeight="1">
      <c r="AB3212" s="9"/>
      <c r="AC3212" s="9"/>
      <c r="AD3212" s="9"/>
      <c r="AF3212" s="10"/>
      <c r="AG3212" s="10"/>
      <c r="AH3212" s="10"/>
      <c r="AI3212" s="10"/>
    </row>
    <row r="3213" spans="28:35" ht="15" hidden="1" customHeight="1">
      <c r="AB3213" s="9"/>
      <c r="AC3213" s="9"/>
      <c r="AD3213" s="9"/>
      <c r="AF3213" s="10"/>
      <c r="AG3213" s="10"/>
      <c r="AH3213" s="10"/>
      <c r="AI3213" s="10"/>
    </row>
    <row r="3214" spans="28:35" ht="15" hidden="1" customHeight="1">
      <c r="AB3214" s="9"/>
      <c r="AC3214" s="9"/>
      <c r="AD3214" s="9"/>
      <c r="AF3214" s="10"/>
      <c r="AG3214" s="10"/>
      <c r="AH3214" s="10"/>
      <c r="AI3214" s="10"/>
    </row>
    <row r="3215" spans="28:35" ht="15" hidden="1" customHeight="1">
      <c r="AB3215" s="9"/>
      <c r="AC3215" s="9"/>
      <c r="AD3215" s="9"/>
      <c r="AF3215" s="10"/>
      <c r="AG3215" s="10"/>
      <c r="AH3215" s="10"/>
      <c r="AI3215" s="10"/>
    </row>
    <row r="3216" spans="28:35" ht="15" hidden="1" customHeight="1">
      <c r="AB3216" s="9"/>
      <c r="AC3216" s="9"/>
      <c r="AD3216" s="9"/>
      <c r="AF3216" s="10"/>
      <c r="AG3216" s="10"/>
      <c r="AH3216" s="10"/>
      <c r="AI3216" s="10"/>
    </row>
    <row r="3217" spans="28:35" ht="15" hidden="1" customHeight="1">
      <c r="AB3217" s="9"/>
      <c r="AC3217" s="9"/>
      <c r="AD3217" s="9"/>
      <c r="AF3217" s="10"/>
      <c r="AG3217" s="10"/>
      <c r="AH3217" s="10"/>
      <c r="AI3217" s="10"/>
    </row>
    <row r="3218" spans="28:35" ht="15" hidden="1" customHeight="1">
      <c r="AB3218" s="9"/>
      <c r="AC3218" s="9"/>
      <c r="AD3218" s="9"/>
      <c r="AF3218" s="10"/>
      <c r="AG3218" s="10"/>
      <c r="AH3218" s="10"/>
      <c r="AI3218" s="10"/>
    </row>
    <row r="3219" spans="28:35" ht="15" hidden="1" customHeight="1">
      <c r="AB3219" s="9"/>
      <c r="AC3219" s="9"/>
      <c r="AD3219" s="9"/>
      <c r="AF3219" s="10"/>
      <c r="AG3219" s="10"/>
      <c r="AH3219" s="10"/>
      <c r="AI3219" s="10"/>
    </row>
    <row r="3220" spans="28:35" ht="15" hidden="1" customHeight="1">
      <c r="AB3220" s="9"/>
      <c r="AC3220" s="9"/>
      <c r="AD3220" s="9"/>
      <c r="AF3220" s="10"/>
      <c r="AG3220" s="10"/>
      <c r="AH3220" s="10"/>
      <c r="AI3220" s="10"/>
    </row>
    <row r="3221" spans="28:35" ht="15" hidden="1" customHeight="1">
      <c r="AB3221" s="9"/>
      <c r="AC3221" s="9"/>
      <c r="AD3221" s="9"/>
      <c r="AF3221" s="10"/>
      <c r="AG3221" s="10"/>
      <c r="AH3221" s="10"/>
      <c r="AI3221" s="10"/>
    </row>
    <row r="3222" spans="28:35" ht="15" hidden="1" customHeight="1">
      <c r="AB3222" s="9"/>
      <c r="AC3222" s="9"/>
      <c r="AD3222" s="9"/>
      <c r="AF3222" s="10"/>
      <c r="AG3222" s="10"/>
      <c r="AH3222" s="10"/>
      <c r="AI3222" s="10"/>
    </row>
    <row r="3223" spans="28:35" ht="15" hidden="1" customHeight="1">
      <c r="AB3223" s="9"/>
      <c r="AC3223" s="9"/>
      <c r="AD3223" s="9"/>
      <c r="AF3223" s="10"/>
      <c r="AG3223" s="10"/>
      <c r="AH3223" s="10"/>
      <c r="AI3223" s="10"/>
    </row>
    <row r="3224" spans="28:35" ht="15" hidden="1" customHeight="1">
      <c r="AB3224" s="9"/>
      <c r="AC3224" s="9"/>
      <c r="AD3224" s="9"/>
      <c r="AF3224" s="10"/>
      <c r="AG3224" s="10"/>
      <c r="AH3224" s="10"/>
      <c r="AI3224" s="10"/>
    </row>
    <row r="3225" spans="28:35" ht="15" hidden="1" customHeight="1">
      <c r="AB3225" s="9"/>
      <c r="AC3225" s="9"/>
      <c r="AD3225" s="9"/>
      <c r="AF3225" s="10"/>
      <c r="AG3225" s="10"/>
      <c r="AH3225" s="10"/>
      <c r="AI3225" s="10"/>
    </row>
    <row r="3226" spans="28:35" ht="15" hidden="1" customHeight="1">
      <c r="AB3226" s="9"/>
      <c r="AC3226" s="9"/>
      <c r="AD3226" s="9"/>
      <c r="AF3226" s="10"/>
      <c r="AG3226" s="10"/>
      <c r="AH3226" s="10"/>
      <c r="AI3226" s="10"/>
    </row>
    <row r="3227" spans="28:35" ht="15" hidden="1" customHeight="1">
      <c r="AB3227" s="9"/>
      <c r="AC3227" s="9"/>
      <c r="AD3227" s="9"/>
      <c r="AF3227" s="10"/>
      <c r="AG3227" s="10"/>
      <c r="AH3227" s="10"/>
      <c r="AI3227" s="10"/>
    </row>
    <row r="3228" spans="28:35" ht="15" hidden="1" customHeight="1">
      <c r="AB3228" s="9"/>
      <c r="AC3228" s="9"/>
      <c r="AD3228" s="9"/>
      <c r="AF3228" s="10"/>
      <c r="AG3228" s="10"/>
      <c r="AH3228" s="10"/>
      <c r="AI3228" s="10"/>
    </row>
    <row r="3229" spans="28:35" ht="15" hidden="1" customHeight="1">
      <c r="AB3229" s="9"/>
      <c r="AC3229" s="9"/>
      <c r="AD3229" s="9"/>
      <c r="AF3229" s="10"/>
      <c r="AG3229" s="10"/>
      <c r="AH3229" s="10"/>
      <c r="AI3229" s="10"/>
    </row>
    <row r="3230" spans="28:35" ht="15" hidden="1" customHeight="1">
      <c r="AB3230" s="9"/>
      <c r="AC3230" s="9"/>
      <c r="AD3230" s="9"/>
      <c r="AF3230" s="10"/>
      <c r="AG3230" s="10"/>
      <c r="AH3230" s="10"/>
      <c r="AI3230" s="10"/>
    </row>
    <row r="3231" spans="28:35" ht="15" hidden="1" customHeight="1">
      <c r="AB3231" s="9"/>
      <c r="AC3231" s="9"/>
      <c r="AD3231" s="9"/>
      <c r="AF3231" s="10"/>
      <c r="AG3231" s="10"/>
      <c r="AH3231" s="10"/>
      <c r="AI3231" s="10"/>
    </row>
    <row r="3232" spans="28:35" ht="15" hidden="1" customHeight="1">
      <c r="AB3232" s="9"/>
      <c r="AC3232" s="9"/>
      <c r="AD3232" s="9"/>
      <c r="AF3232" s="10"/>
      <c r="AG3232" s="10"/>
      <c r="AH3232" s="10"/>
      <c r="AI3232" s="10"/>
    </row>
    <row r="3233" spans="28:35" ht="15" hidden="1" customHeight="1">
      <c r="AB3233" s="9"/>
      <c r="AC3233" s="9"/>
      <c r="AD3233" s="9"/>
      <c r="AF3233" s="10"/>
      <c r="AG3233" s="10"/>
      <c r="AH3233" s="10"/>
      <c r="AI3233" s="10"/>
    </row>
    <row r="3234" spans="28:35" ht="15" hidden="1" customHeight="1">
      <c r="AB3234" s="9"/>
      <c r="AC3234" s="9"/>
      <c r="AD3234" s="9"/>
      <c r="AF3234" s="10"/>
      <c r="AG3234" s="10"/>
      <c r="AH3234" s="10"/>
      <c r="AI3234" s="10"/>
    </row>
    <row r="3235" spans="28:35" ht="15" hidden="1" customHeight="1">
      <c r="AB3235" s="9"/>
      <c r="AC3235" s="9"/>
      <c r="AD3235" s="9"/>
      <c r="AF3235" s="10"/>
      <c r="AG3235" s="10"/>
      <c r="AH3235" s="10"/>
      <c r="AI3235" s="10"/>
    </row>
    <row r="3236" spans="28:35" ht="15" hidden="1" customHeight="1">
      <c r="AB3236" s="9"/>
      <c r="AC3236" s="9"/>
      <c r="AD3236" s="9"/>
      <c r="AF3236" s="10"/>
      <c r="AG3236" s="10"/>
      <c r="AH3236" s="10"/>
      <c r="AI3236" s="10"/>
    </row>
    <row r="3237" spans="28:35" ht="15" hidden="1" customHeight="1">
      <c r="AB3237" s="9"/>
      <c r="AC3237" s="9"/>
      <c r="AD3237" s="9"/>
      <c r="AF3237" s="10"/>
      <c r="AG3237" s="10"/>
      <c r="AH3237" s="10"/>
      <c r="AI3237" s="10"/>
    </row>
    <row r="3238" spans="28:35" ht="15" hidden="1" customHeight="1">
      <c r="AB3238" s="9"/>
      <c r="AC3238" s="9"/>
      <c r="AD3238" s="9"/>
      <c r="AF3238" s="10"/>
      <c r="AG3238" s="10"/>
      <c r="AH3238" s="10"/>
      <c r="AI3238" s="10"/>
    </row>
    <row r="3239" spans="28:35" ht="15" hidden="1" customHeight="1">
      <c r="AB3239" s="9"/>
      <c r="AC3239" s="9"/>
      <c r="AD3239" s="9"/>
      <c r="AF3239" s="10"/>
      <c r="AG3239" s="10"/>
      <c r="AH3239" s="10"/>
      <c r="AI3239" s="10"/>
    </row>
    <row r="3240" spans="28:35" ht="15" hidden="1" customHeight="1">
      <c r="AB3240" s="9"/>
      <c r="AC3240" s="9"/>
      <c r="AD3240" s="9"/>
      <c r="AF3240" s="10"/>
      <c r="AG3240" s="10"/>
      <c r="AH3240" s="10"/>
      <c r="AI3240" s="10"/>
    </row>
    <row r="3241" spans="28:35" ht="15" hidden="1" customHeight="1">
      <c r="AB3241" s="9"/>
      <c r="AC3241" s="9"/>
      <c r="AD3241" s="9"/>
      <c r="AF3241" s="10"/>
      <c r="AG3241" s="10"/>
      <c r="AH3241" s="10"/>
      <c r="AI3241" s="10"/>
    </row>
    <row r="3242" spans="28:35" ht="15" hidden="1" customHeight="1">
      <c r="AB3242" s="9"/>
      <c r="AC3242" s="9"/>
      <c r="AD3242" s="9"/>
      <c r="AF3242" s="10"/>
      <c r="AG3242" s="10"/>
      <c r="AH3242" s="10"/>
      <c r="AI3242" s="10"/>
    </row>
    <row r="3243" spans="28:35" ht="15" hidden="1" customHeight="1">
      <c r="AB3243" s="9"/>
      <c r="AC3243" s="9"/>
      <c r="AD3243" s="9"/>
      <c r="AF3243" s="10"/>
      <c r="AG3243" s="10"/>
      <c r="AH3243" s="10"/>
      <c r="AI3243" s="10"/>
    </row>
    <row r="3244" spans="28:35" ht="15" hidden="1" customHeight="1">
      <c r="AB3244" s="9"/>
      <c r="AC3244" s="9"/>
      <c r="AD3244" s="9"/>
      <c r="AF3244" s="10"/>
      <c r="AG3244" s="10"/>
      <c r="AH3244" s="10"/>
      <c r="AI3244" s="10"/>
    </row>
    <row r="3245" spans="28:35" ht="15" hidden="1" customHeight="1">
      <c r="AB3245" s="9"/>
      <c r="AC3245" s="9"/>
      <c r="AD3245" s="9"/>
      <c r="AF3245" s="10"/>
      <c r="AG3245" s="10"/>
      <c r="AH3245" s="10"/>
      <c r="AI3245" s="10"/>
    </row>
    <row r="3246" spans="28:35" ht="15" hidden="1" customHeight="1">
      <c r="AB3246" s="9"/>
      <c r="AC3246" s="9"/>
      <c r="AD3246" s="9"/>
      <c r="AF3246" s="10"/>
      <c r="AG3246" s="10"/>
      <c r="AH3246" s="10"/>
      <c r="AI3246" s="10"/>
    </row>
    <row r="3247" spans="28:35" ht="15" hidden="1" customHeight="1">
      <c r="AB3247" s="9"/>
      <c r="AC3247" s="9"/>
      <c r="AD3247" s="9"/>
      <c r="AF3247" s="10"/>
      <c r="AG3247" s="10"/>
      <c r="AH3247" s="10"/>
      <c r="AI3247" s="10"/>
    </row>
    <row r="3248" spans="28:35" ht="15" hidden="1" customHeight="1">
      <c r="AB3248" s="9"/>
      <c r="AC3248" s="9"/>
      <c r="AD3248" s="9"/>
      <c r="AF3248" s="10"/>
      <c r="AG3248" s="10"/>
      <c r="AH3248" s="10"/>
      <c r="AI3248" s="10"/>
    </row>
    <row r="3249" spans="28:35" ht="15" hidden="1" customHeight="1">
      <c r="AB3249" s="9"/>
      <c r="AC3249" s="9"/>
      <c r="AD3249" s="9"/>
      <c r="AF3249" s="10"/>
      <c r="AG3249" s="10"/>
      <c r="AH3249" s="10"/>
      <c r="AI3249" s="10"/>
    </row>
    <row r="3250" spans="28:35" ht="15" hidden="1" customHeight="1">
      <c r="AB3250" s="9"/>
      <c r="AC3250" s="9"/>
      <c r="AD3250" s="9"/>
      <c r="AF3250" s="10"/>
      <c r="AG3250" s="10"/>
      <c r="AH3250" s="10"/>
      <c r="AI3250" s="10"/>
    </row>
    <row r="3251" spans="28:35" ht="15" hidden="1" customHeight="1">
      <c r="AB3251" s="9"/>
      <c r="AC3251" s="9"/>
      <c r="AD3251" s="9"/>
      <c r="AF3251" s="10"/>
      <c r="AG3251" s="10"/>
      <c r="AH3251" s="10"/>
      <c r="AI3251" s="10"/>
    </row>
    <row r="3252" spans="28:35" ht="15" hidden="1" customHeight="1">
      <c r="AB3252" s="9"/>
      <c r="AC3252" s="9"/>
      <c r="AD3252" s="9"/>
      <c r="AF3252" s="10"/>
      <c r="AG3252" s="10"/>
      <c r="AH3252" s="10"/>
      <c r="AI3252" s="10"/>
    </row>
    <row r="3253" spans="28:35" ht="15" hidden="1" customHeight="1">
      <c r="AB3253" s="9"/>
      <c r="AC3253" s="9"/>
      <c r="AD3253" s="9"/>
      <c r="AF3253" s="10"/>
      <c r="AG3253" s="10"/>
      <c r="AH3253" s="10"/>
      <c r="AI3253" s="10"/>
    </row>
    <row r="3254" spans="28:35" ht="15" hidden="1" customHeight="1">
      <c r="AB3254" s="9"/>
      <c r="AC3254" s="9"/>
      <c r="AD3254" s="9"/>
      <c r="AF3254" s="10"/>
      <c r="AG3254" s="10"/>
      <c r="AH3254" s="10"/>
      <c r="AI3254" s="10"/>
    </row>
    <row r="3255" spans="28:35" ht="15" hidden="1" customHeight="1">
      <c r="AB3255" s="9"/>
      <c r="AC3255" s="9"/>
      <c r="AD3255" s="9"/>
      <c r="AF3255" s="10"/>
      <c r="AG3255" s="10"/>
      <c r="AH3255" s="10"/>
      <c r="AI3255" s="10"/>
    </row>
    <row r="3256" spans="28:35" ht="15" hidden="1" customHeight="1">
      <c r="AB3256" s="9"/>
      <c r="AC3256" s="9"/>
      <c r="AD3256" s="9"/>
      <c r="AF3256" s="10"/>
      <c r="AG3256" s="10"/>
      <c r="AH3256" s="10"/>
      <c r="AI3256" s="10"/>
    </row>
    <row r="3257" spans="28:35" ht="15" hidden="1" customHeight="1">
      <c r="AB3257" s="9"/>
      <c r="AC3257" s="9"/>
      <c r="AD3257" s="9"/>
      <c r="AF3257" s="10"/>
      <c r="AG3257" s="10"/>
      <c r="AH3257" s="10"/>
      <c r="AI3257" s="10"/>
    </row>
    <row r="3258" spans="28:35" ht="15" hidden="1" customHeight="1">
      <c r="AB3258" s="9"/>
      <c r="AC3258" s="9"/>
      <c r="AD3258" s="9"/>
      <c r="AF3258" s="10"/>
      <c r="AG3258" s="10"/>
      <c r="AH3258" s="10"/>
      <c r="AI3258" s="10"/>
    </row>
    <row r="3259" spans="28:35" ht="15" hidden="1" customHeight="1">
      <c r="AB3259" s="9"/>
      <c r="AC3259" s="9"/>
      <c r="AD3259" s="9"/>
      <c r="AF3259" s="10"/>
      <c r="AG3259" s="10"/>
      <c r="AH3259" s="10"/>
      <c r="AI3259" s="10"/>
    </row>
    <row r="3260" spans="28:35" ht="15" hidden="1" customHeight="1">
      <c r="AB3260" s="9"/>
      <c r="AC3260" s="9"/>
      <c r="AD3260" s="9"/>
      <c r="AF3260" s="10"/>
      <c r="AG3260" s="10"/>
      <c r="AH3260" s="10"/>
      <c r="AI3260" s="10"/>
    </row>
    <row r="3261" spans="28:35" ht="15" hidden="1" customHeight="1">
      <c r="AB3261" s="9"/>
      <c r="AC3261" s="9"/>
      <c r="AD3261" s="9"/>
      <c r="AF3261" s="10"/>
      <c r="AG3261" s="10"/>
      <c r="AH3261" s="10"/>
      <c r="AI3261" s="10"/>
    </row>
    <row r="3262" spans="28:35" ht="15" hidden="1" customHeight="1">
      <c r="AB3262" s="9"/>
      <c r="AC3262" s="9"/>
      <c r="AD3262" s="9"/>
      <c r="AF3262" s="10"/>
      <c r="AG3262" s="10"/>
      <c r="AH3262" s="10"/>
      <c r="AI3262" s="10"/>
    </row>
    <row r="3263" spans="28:35" ht="15" hidden="1" customHeight="1">
      <c r="AB3263" s="9"/>
      <c r="AC3263" s="9"/>
      <c r="AD3263" s="9"/>
      <c r="AF3263" s="10"/>
      <c r="AG3263" s="10"/>
      <c r="AH3263" s="10"/>
      <c r="AI3263" s="10"/>
    </row>
    <row r="3264" spans="28:35" ht="15" hidden="1" customHeight="1">
      <c r="AB3264" s="9"/>
      <c r="AC3264" s="9"/>
      <c r="AD3264" s="9"/>
      <c r="AF3264" s="10"/>
      <c r="AG3264" s="10"/>
      <c r="AH3264" s="10"/>
      <c r="AI3264" s="10"/>
    </row>
    <row r="3265" spans="28:35" ht="15" hidden="1" customHeight="1">
      <c r="AB3265" s="9"/>
      <c r="AC3265" s="9"/>
      <c r="AD3265" s="9"/>
      <c r="AF3265" s="10"/>
      <c r="AG3265" s="10"/>
      <c r="AH3265" s="10"/>
      <c r="AI3265" s="10"/>
    </row>
    <row r="3266" spans="28:35" ht="15" hidden="1" customHeight="1">
      <c r="AB3266" s="9"/>
      <c r="AC3266" s="9"/>
      <c r="AD3266" s="9"/>
      <c r="AF3266" s="10"/>
      <c r="AG3266" s="10"/>
      <c r="AH3266" s="10"/>
      <c r="AI3266" s="10"/>
    </row>
    <row r="3267" spans="28:35" ht="15" hidden="1" customHeight="1">
      <c r="AB3267" s="9"/>
      <c r="AC3267" s="9"/>
      <c r="AD3267" s="9"/>
      <c r="AF3267" s="10"/>
      <c r="AG3267" s="10"/>
      <c r="AH3267" s="10"/>
      <c r="AI3267" s="10"/>
    </row>
    <row r="3268" spans="28:35" ht="15" hidden="1" customHeight="1">
      <c r="AB3268" s="9"/>
      <c r="AC3268" s="9"/>
      <c r="AD3268" s="9"/>
      <c r="AF3268" s="10"/>
      <c r="AG3268" s="10"/>
      <c r="AH3268" s="10"/>
      <c r="AI3268" s="10"/>
    </row>
    <row r="3269" spans="28:35" ht="15" hidden="1" customHeight="1">
      <c r="AB3269" s="9"/>
      <c r="AC3269" s="9"/>
      <c r="AD3269" s="9"/>
      <c r="AF3269" s="10"/>
      <c r="AG3269" s="10"/>
      <c r="AH3269" s="10"/>
      <c r="AI3269" s="10"/>
    </row>
    <row r="3270" spans="28:35" ht="15" hidden="1" customHeight="1">
      <c r="AB3270" s="9"/>
      <c r="AC3270" s="9"/>
      <c r="AD3270" s="9"/>
      <c r="AF3270" s="10"/>
      <c r="AG3270" s="10"/>
      <c r="AH3270" s="10"/>
      <c r="AI3270" s="10"/>
    </row>
    <row r="3271" spans="28:35" ht="15" hidden="1" customHeight="1">
      <c r="AB3271" s="9"/>
      <c r="AC3271" s="9"/>
      <c r="AD3271" s="9"/>
      <c r="AF3271" s="10"/>
      <c r="AG3271" s="10"/>
      <c r="AH3271" s="10"/>
      <c r="AI3271" s="10"/>
    </row>
    <row r="3272" spans="28:35" ht="15" hidden="1" customHeight="1">
      <c r="AB3272" s="9"/>
      <c r="AC3272" s="9"/>
      <c r="AD3272" s="9"/>
      <c r="AF3272" s="10"/>
      <c r="AG3272" s="10"/>
      <c r="AH3272" s="10"/>
      <c r="AI3272" s="10"/>
    </row>
    <row r="3273" spans="28:35" ht="15" hidden="1" customHeight="1">
      <c r="AB3273" s="9"/>
      <c r="AC3273" s="9"/>
      <c r="AD3273" s="9"/>
      <c r="AF3273" s="10"/>
      <c r="AG3273" s="10"/>
      <c r="AH3273" s="10"/>
      <c r="AI3273" s="10"/>
    </row>
    <row r="3274" spans="28:35" ht="15" hidden="1" customHeight="1">
      <c r="AB3274" s="9"/>
      <c r="AC3274" s="9"/>
      <c r="AD3274" s="9"/>
      <c r="AF3274" s="10"/>
      <c r="AG3274" s="10"/>
      <c r="AH3274" s="10"/>
      <c r="AI3274" s="10"/>
    </row>
    <row r="3275" spans="28:35" ht="15" hidden="1" customHeight="1">
      <c r="AB3275" s="9"/>
      <c r="AC3275" s="9"/>
      <c r="AD3275" s="9"/>
      <c r="AF3275" s="10"/>
      <c r="AG3275" s="10"/>
      <c r="AH3275" s="10"/>
      <c r="AI3275" s="10"/>
    </row>
    <row r="3276" spans="28:35" ht="15" hidden="1" customHeight="1">
      <c r="AB3276" s="9"/>
      <c r="AC3276" s="9"/>
      <c r="AD3276" s="9"/>
      <c r="AF3276" s="10"/>
      <c r="AG3276" s="10"/>
      <c r="AH3276" s="10"/>
      <c r="AI3276" s="10"/>
    </row>
    <row r="3277" spans="28:35" ht="15" hidden="1" customHeight="1">
      <c r="AB3277" s="9"/>
      <c r="AC3277" s="9"/>
      <c r="AD3277" s="9"/>
      <c r="AF3277" s="10"/>
      <c r="AG3277" s="10"/>
      <c r="AH3277" s="10"/>
      <c r="AI3277" s="10"/>
    </row>
    <row r="3278" spans="28:35" ht="15" hidden="1" customHeight="1">
      <c r="AB3278" s="9"/>
      <c r="AC3278" s="9"/>
      <c r="AD3278" s="9"/>
      <c r="AF3278" s="10"/>
      <c r="AG3278" s="10"/>
      <c r="AH3278" s="10"/>
      <c r="AI3278" s="10"/>
    </row>
    <row r="3279" spans="28:35" ht="15" hidden="1" customHeight="1">
      <c r="AB3279" s="9"/>
      <c r="AC3279" s="9"/>
      <c r="AD3279" s="9"/>
      <c r="AF3279" s="10"/>
      <c r="AG3279" s="10"/>
      <c r="AH3279" s="10"/>
      <c r="AI3279" s="10"/>
    </row>
    <row r="3280" spans="28:35" ht="15" hidden="1" customHeight="1">
      <c r="AB3280" s="9"/>
      <c r="AC3280" s="9"/>
      <c r="AD3280" s="9"/>
      <c r="AF3280" s="10"/>
      <c r="AG3280" s="10"/>
      <c r="AH3280" s="10"/>
      <c r="AI3280" s="10"/>
    </row>
    <row r="3281" spans="28:35" ht="15" hidden="1" customHeight="1">
      <c r="AB3281" s="9"/>
      <c r="AC3281" s="9"/>
      <c r="AD3281" s="9"/>
      <c r="AF3281" s="10"/>
      <c r="AG3281" s="10"/>
      <c r="AH3281" s="10"/>
      <c r="AI3281" s="10"/>
    </row>
    <row r="3282" spans="28:35" ht="15" hidden="1" customHeight="1">
      <c r="AB3282" s="9"/>
      <c r="AC3282" s="9"/>
      <c r="AD3282" s="9"/>
      <c r="AF3282" s="10"/>
      <c r="AG3282" s="10"/>
      <c r="AH3282" s="10"/>
      <c r="AI3282" s="10"/>
    </row>
    <row r="3283" spans="28:35" ht="15" hidden="1" customHeight="1">
      <c r="AB3283" s="9"/>
      <c r="AC3283" s="9"/>
      <c r="AD3283" s="9"/>
      <c r="AF3283" s="10"/>
      <c r="AG3283" s="10"/>
      <c r="AH3283" s="10"/>
      <c r="AI3283" s="10"/>
    </row>
    <row r="3284" spans="28:35" ht="15" hidden="1" customHeight="1">
      <c r="AB3284" s="9"/>
      <c r="AC3284" s="9"/>
      <c r="AD3284" s="9"/>
      <c r="AF3284" s="10"/>
      <c r="AG3284" s="10"/>
      <c r="AH3284" s="10"/>
      <c r="AI3284" s="10"/>
    </row>
    <row r="3285" spans="28:35" ht="15" hidden="1" customHeight="1">
      <c r="AB3285" s="9"/>
      <c r="AC3285" s="9"/>
      <c r="AD3285" s="9"/>
      <c r="AF3285" s="10"/>
      <c r="AG3285" s="10"/>
      <c r="AH3285" s="10"/>
      <c r="AI3285" s="10"/>
    </row>
    <row r="3286" spans="28:35" ht="15" hidden="1" customHeight="1">
      <c r="AB3286" s="9"/>
      <c r="AC3286" s="9"/>
      <c r="AD3286" s="9"/>
      <c r="AF3286" s="10"/>
      <c r="AG3286" s="10"/>
      <c r="AH3286" s="10"/>
      <c r="AI3286" s="10"/>
    </row>
    <row r="3287" spans="28:35" ht="15" hidden="1" customHeight="1">
      <c r="AB3287" s="9"/>
      <c r="AC3287" s="9"/>
      <c r="AD3287" s="9"/>
      <c r="AF3287" s="10"/>
      <c r="AG3287" s="10"/>
      <c r="AH3287" s="10"/>
      <c r="AI3287" s="10"/>
    </row>
    <row r="3288" spans="28:35" ht="15" hidden="1" customHeight="1">
      <c r="AB3288" s="9"/>
      <c r="AC3288" s="9"/>
      <c r="AD3288" s="9"/>
      <c r="AF3288" s="10"/>
      <c r="AG3288" s="10"/>
      <c r="AH3288" s="10"/>
      <c r="AI3288" s="10"/>
    </row>
    <row r="3289" spans="28:35" ht="15" hidden="1" customHeight="1">
      <c r="AB3289" s="9"/>
      <c r="AC3289" s="9"/>
      <c r="AD3289" s="9"/>
      <c r="AF3289" s="10"/>
      <c r="AG3289" s="10"/>
      <c r="AH3289" s="10"/>
      <c r="AI3289" s="10"/>
    </row>
    <row r="3290" spans="28:35" ht="15" hidden="1" customHeight="1">
      <c r="AB3290" s="9"/>
      <c r="AC3290" s="9"/>
      <c r="AD3290" s="9"/>
      <c r="AF3290" s="10"/>
      <c r="AG3290" s="10"/>
      <c r="AH3290" s="10"/>
      <c r="AI3290" s="10"/>
    </row>
    <row r="3291" spans="28:35" ht="15" hidden="1" customHeight="1">
      <c r="AB3291" s="9"/>
      <c r="AC3291" s="9"/>
      <c r="AD3291" s="9"/>
      <c r="AF3291" s="10"/>
      <c r="AG3291" s="10"/>
      <c r="AH3291" s="10"/>
      <c r="AI3291" s="10"/>
    </row>
    <row r="3292" spans="28:35" ht="15" hidden="1" customHeight="1">
      <c r="AB3292" s="9"/>
      <c r="AC3292" s="9"/>
      <c r="AD3292" s="9"/>
      <c r="AF3292" s="10"/>
      <c r="AG3292" s="10"/>
      <c r="AH3292" s="10"/>
      <c r="AI3292" s="10"/>
    </row>
    <row r="3293" spans="28:35" ht="15" hidden="1" customHeight="1">
      <c r="AB3293" s="9"/>
      <c r="AC3293" s="9"/>
      <c r="AD3293" s="9"/>
      <c r="AF3293" s="10"/>
      <c r="AG3293" s="10"/>
      <c r="AH3293" s="10"/>
      <c r="AI3293" s="10"/>
    </row>
    <row r="3294" spans="28:35" ht="15" hidden="1" customHeight="1">
      <c r="AB3294" s="9"/>
      <c r="AC3294" s="9"/>
      <c r="AD3294" s="9"/>
      <c r="AF3294" s="10"/>
      <c r="AG3294" s="10"/>
      <c r="AH3294" s="10"/>
      <c r="AI3294" s="10"/>
    </row>
    <row r="3295" spans="28:35" ht="15" hidden="1" customHeight="1">
      <c r="AB3295" s="9"/>
      <c r="AC3295" s="9"/>
      <c r="AD3295" s="9"/>
      <c r="AF3295" s="10"/>
      <c r="AG3295" s="10"/>
      <c r="AH3295" s="10"/>
      <c r="AI3295" s="10"/>
    </row>
    <row r="3296" spans="28:35" ht="15" hidden="1" customHeight="1">
      <c r="AB3296" s="9"/>
      <c r="AC3296" s="9"/>
      <c r="AD3296" s="9"/>
      <c r="AF3296" s="10"/>
      <c r="AG3296" s="10"/>
      <c r="AH3296" s="10"/>
      <c r="AI3296" s="10"/>
    </row>
    <row r="3297" spans="28:35" ht="15" hidden="1" customHeight="1">
      <c r="AB3297" s="9"/>
      <c r="AC3297" s="9"/>
      <c r="AD3297" s="9"/>
      <c r="AF3297" s="10"/>
      <c r="AG3297" s="10"/>
      <c r="AH3297" s="10"/>
      <c r="AI3297" s="10"/>
    </row>
    <row r="3298" spans="28:35" ht="15" hidden="1" customHeight="1">
      <c r="AB3298" s="9"/>
      <c r="AC3298" s="9"/>
      <c r="AD3298" s="9"/>
      <c r="AF3298" s="10"/>
      <c r="AG3298" s="10"/>
      <c r="AH3298" s="10"/>
      <c r="AI3298" s="10"/>
    </row>
    <row r="3299" spans="28:35" ht="15" hidden="1" customHeight="1">
      <c r="AB3299" s="9"/>
      <c r="AC3299" s="9"/>
      <c r="AD3299" s="9"/>
      <c r="AF3299" s="10"/>
      <c r="AG3299" s="10"/>
      <c r="AH3299" s="10"/>
      <c r="AI3299" s="10"/>
    </row>
    <row r="3300" spans="28:35" ht="15" hidden="1" customHeight="1">
      <c r="AB3300" s="9"/>
      <c r="AC3300" s="9"/>
      <c r="AD3300" s="9"/>
      <c r="AF3300" s="10"/>
      <c r="AG3300" s="10"/>
      <c r="AH3300" s="10"/>
      <c r="AI3300" s="10"/>
    </row>
    <row r="3301" spans="28:35" ht="15" hidden="1" customHeight="1">
      <c r="AB3301" s="9"/>
      <c r="AC3301" s="9"/>
      <c r="AD3301" s="9"/>
      <c r="AF3301" s="10"/>
      <c r="AG3301" s="10"/>
      <c r="AH3301" s="10"/>
      <c r="AI3301" s="10"/>
    </row>
    <row r="3302" spans="28:35" ht="15" hidden="1" customHeight="1">
      <c r="AB3302" s="9"/>
      <c r="AC3302" s="9"/>
      <c r="AD3302" s="9"/>
      <c r="AF3302" s="10"/>
      <c r="AG3302" s="10"/>
      <c r="AH3302" s="10"/>
      <c r="AI3302" s="10"/>
    </row>
    <row r="3303" spans="28:35" ht="15" hidden="1" customHeight="1">
      <c r="AB3303" s="9"/>
      <c r="AC3303" s="9"/>
      <c r="AD3303" s="9"/>
      <c r="AF3303" s="10"/>
      <c r="AG3303" s="10"/>
      <c r="AH3303" s="10"/>
      <c r="AI3303" s="10"/>
    </row>
    <row r="3304" spans="28:35" ht="15" hidden="1" customHeight="1">
      <c r="AB3304" s="9"/>
      <c r="AC3304" s="9"/>
      <c r="AD3304" s="9"/>
      <c r="AF3304" s="10"/>
      <c r="AG3304" s="10"/>
      <c r="AH3304" s="10"/>
      <c r="AI3304" s="10"/>
    </row>
    <row r="3305" spans="28:35" ht="15" hidden="1" customHeight="1">
      <c r="AB3305" s="9"/>
      <c r="AC3305" s="9"/>
      <c r="AD3305" s="9"/>
      <c r="AF3305" s="10"/>
      <c r="AG3305" s="10"/>
      <c r="AH3305" s="10"/>
      <c r="AI3305" s="10"/>
    </row>
    <row r="3306" spans="28:35" ht="15" hidden="1" customHeight="1">
      <c r="AB3306" s="9"/>
      <c r="AC3306" s="9"/>
      <c r="AD3306" s="9"/>
      <c r="AF3306" s="10"/>
      <c r="AG3306" s="10"/>
      <c r="AH3306" s="10"/>
      <c r="AI3306" s="10"/>
    </row>
    <row r="3307" spans="28:35" ht="15" hidden="1" customHeight="1">
      <c r="AB3307" s="9"/>
      <c r="AC3307" s="9"/>
      <c r="AD3307" s="9"/>
      <c r="AF3307" s="10"/>
      <c r="AG3307" s="10"/>
      <c r="AH3307" s="10"/>
      <c r="AI3307" s="10"/>
    </row>
    <row r="3308" spans="28:35" ht="15" hidden="1" customHeight="1">
      <c r="AB3308" s="9"/>
      <c r="AC3308" s="9"/>
      <c r="AD3308" s="9"/>
      <c r="AF3308" s="10"/>
      <c r="AG3308" s="10"/>
      <c r="AH3308" s="10"/>
      <c r="AI3308" s="10"/>
    </row>
    <row r="3309" spans="28:35" ht="15" hidden="1" customHeight="1">
      <c r="AB3309" s="9"/>
      <c r="AC3309" s="9"/>
      <c r="AD3309" s="9"/>
      <c r="AF3309" s="10"/>
      <c r="AG3309" s="10"/>
      <c r="AH3309" s="10"/>
      <c r="AI3309" s="10"/>
    </row>
    <row r="3310" spans="28:35" ht="15" hidden="1" customHeight="1">
      <c r="AB3310" s="9"/>
      <c r="AC3310" s="9"/>
      <c r="AD3310" s="9"/>
      <c r="AF3310" s="10"/>
      <c r="AG3310" s="10"/>
      <c r="AH3310" s="10"/>
      <c r="AI3310" s="10"/>
    </row>
    <row r="3311" spans="28:35" ht="15" hidden="1" customHeight="1">
      <c r="AB3311" s="9"/>
      <c r="AC3311" s="9"/>
      <c r="AD3311" s="9"/>
      <c r="AF3311" s="10"/>
      <c r="AG3311" s="10"/>
      <c r="AH3311" s="10"/>
      <c r="AI3311" s="10"/>
    </row>
    <row r="3312" spans="28:35" ht="15" hidden="1" customHeight="1">
      <c r="AB3312" s="9"/>
      <c r="AC3312" s="9"/>
      <c r="AD3312" s="9"/>
      <c r="AF3312" s="10"/>
      <c r="AG3312" s="10"/>
      <c r="AH3312" s="10"/>
      <c r="AI3312" s="10"/>
    </row>
    <row r="3313" spans="28:35" ht="15" hidden="1" customHeight="1">
      <c r="AB3313" s="9"/>
      <c r="AC3313" s="9"/>
      <c r="AD3313" s="9"/>
      <c r="AF3313" s="10"/>
      <c r="AG3313" s="10"/>
      <c r="AH3313" s="10"/>
      <c r="AI3313" s="10"/>
    </row>
    <row r="3314" spans="28:35" ht="15" hidden="1" customHeight="1">
      <c r="AB3314" s="9"/>
      <c r="AC3314" s="9"/>
      <c r="AD3314" s="9"/>
      <c r="AF3314" s="10"/>
      <c r="AG3314" s="10"/>
      <c r="AH3314" s="10"/>
      <c r="AI3314" s="10"/>
    </row>
    <row r="3315" spans="28:35" ht="15" hidden="1" customHeight="1">
      <c r="AB3315" s="9"/>
      <c r="AC3315" s="9"/>
      <c r="AD3315" s="9"/>
      <c r="AF3315" s="10"/>
      <c r="AG3315" s="10"/>
      <c r="AH3315" s="10"/>
      <c r="AI3315" s="10"/>
    </row>
    <row r="3316" spans="28:35" ht="15" hidden="1" customHeight="1">
      <c r="AB3316" s="9"/>
      <c r="AC3316" s="9"/>
      <c r="AD3316" s="9"/>
      <c r="AF3316" s="10"/>
      <c r="AG3316" s="10"/>
      <c r="AH3316" s="10"/>
      <c r="AI3316" s="10"/>
    </row>
    <row r="3317" spans="28:35" ht="15" hidden="1" customHeight="1">
      <c r="AB3317" s="9"/>
      <c r="AC3317" s="9"/>
      <c r="AD3317" s="9"/>
      <c r="AF3317" s="10"/>
      <c r="AG3317" s="10"/>
      <c r="AH3317" s="10"/>
      <c r="AI3317" s="10"/>
    </row>
    <row r="3318" spans="28:35" ht="15" hidden="1" customHeight="1">
      <c r="AB3318" s="9"/>
      <c r="AC3318" s="9"/>
      <c r="AD3318" s="9"/>
      <c r="AF3318" s="10"/>
      <c r="AG3318" s="10"/>
      <c r="AH3318" s="10"/>
      <c r="AI3318" s="10"/>
    </row>
    <row r="3319" spans="28:35" ht="15" hidden="1" customHeight="1">
      <c r="AB3319" s="9"/>
      <c r="AC3319" s="9"/>
      <c r="AD3319" s="9"/>
      <c r="AF3319" s="10"/>
      <c r="AG3319" s="10"/>
      <c r="AH3319" s="10"/>
      <c r="AI3319" s="10"/>
    </row>
    <row r="3320" spans="28:35" ht="15" hidden="1" customHeight="1">
      <c r="AB3320" s="9"/>
      <c r="AC3320" s="9"/>
      <c r="AD3320" s="9"/>
      <c r="AF3320" s="10"/>
      <c r="AG3320" s="10"/>
      <c r="AH3320" s="10"/>
      <c r="AI3320" s="10"/>
    </row>
    <row r="3321" spans="28:35" ht="15" hidden="1" customHeight="1">
      <c r="AB3321" s="9"/>
      <c r="AC3321" s="9"/>
      <c r="AD3321" s="9"/>
      <c r="AF3321" s="10"/>
      <c r="AG3321" s="10"/>
      <c r="AH3321" s="10"/>
      <c r="AI3321" s="10"/>
    </row>
    <row r="3322" spans="28:35" ht="15" hidden="1" customHeight="1">
      <c r="AB3322" s="9"/>
      <c r="AC3322" s="9"/>
      <c r="AD3322" s="9"/>
      <c r="AF3322" s="10"/>
      <c r="AG3322" s="10"/>
      <c r="AH3322" s="10"/>
      <c r="AI3322" s="10"/>
    </row>
    <row r="3323" spans="28:35" ht="15" hidden="1" customHeight="1">
      <c r="AB3323" s="9"/>
      <c r="AC3323" s="9"/>
      <c r="AD3323" s="9"/>
      <c r="AF3323" s="10"/>
      <c r="AG3323" s="10"/>
      <c r="AH3323" s="10"/>
      <c r="AI3323" s="10"/>
    </row>
    <row r="3324" spans="28:35" ht="15" hidden="1" customHeight="1">
      <c r="AB3324" s="9"/>
      <c r="AC3324" s="9"/>
      <c r="AD3324" s="9"/>
      <c r="AF3324" s="10"/>
      <c r="AG3324" s="10"/>
      <c r="AH3324" s="10"/>
      <c r="AI3324" s="10"/>
    </row>
    <row r="3325" spans="28:35" ht="15" hidden="1" customHeight="1">
      <c r="AB3325" s="9"/>
      <c r="AC3325" s="9"/>
      <c r="AD3325" s="9"/>
      <c r="AF3325" s="10"/>
      <c r="AG3325" s="10"/>
      <c r="AH3325" s="10"/>
      <c r="AI3325" s="10"/>
    </row>
    <row r="3326" spans="28:35" ht="15" hidden="1" customHeight="1">
      <c r="AB3326" s="9"/>
      <c r="AC3326" s="9"/>
      <c r="AD3326" s="9"/>
      <c r="AF3326" s="10"/>
      <c r="AG3326" s="10"/>
      <c r="AH3326" s="10"/>
      <c r="AI3326" s="10"/>
    </row>
    <row r="3327" spans="28:35" ht="15" hidden="1" customHeight="1">
      <c r="AB3327" s="9"/>
      <c r="AC3327" s="9"/>
      <c r="AD3327" s="9"/>
      <c r="AF3327" s="10"/>
      <c r="AG3327" s="10"/>
      <c r="AH3327" s="10"/>
      <c r="AI3327" s="10"/>
    </row>
    <row r="3328" spans="28:35" ht="15" hidden="1" customHeight="1">
      <c r="AB3328" s="9"/>
      <c r="AC3328" s="9"/>
      <c r="AD3328" s="9"/>
      <c r="AF3328" s="10"/>
      <c r="AG3328" s="10"/>
      <c r="AH3328" s="10"/>
      <c r="AI3328" s="10"/>
    </row>
    <row r="3329" spans="28:35" ht="15" hidden="1" customHeight="1">
      <c r="AB3329" s="9"/>
      <c r="AC3329" s="9"/>
      <c r="AD3329" s="9"/>
      <c r="AF3329" s="10"/>
      <c r="AG3329" s="10"/>
      <c r="AH3329" s="10"/>
      <c r="AI3329" s="10"/>
    </row>
    <row r="3330" spans="28:35" ht="15" hidden="1" customHeight="1">
      <c r="AB3330" s="9"/>
      <c r="AC3330" s="9"/>
      <c r="AD3330" s="9"/>
      <c r="AF3330" s="10"/>
      <c r="AG3330" s="10"/>
      <c r="AH3330" s="10"/>
      <c r="AI3330" s="10"/>
    </row>
    <row r="3331" spans="28:35" ht="15" hidden="1" customHeight="1">
      <c r="AB3331" s="9"/>
      <c r="AC3331" s="9"/>
      <c r="AD3331" s="9"/>
      <c r="AF3331" s="10"/>
      <c r="AG3331" s="10"/>
      <c r="AH3331" s="10"/>
      <c r="AI3331" s="10"/>
    </row>
    <row r="3332" spans="28:35" ht="15" hidden="1" customHeight="1">
      <c r="AB3332" s="9"/>
      <c r="AC3332" s="9"/>
      <c r="AD3332" s="9"/>
      <c r="AF3332" s="10"/>
      <c r="AG3332" s="10"/>
      <c r="AH3332" s="10"/>
      <c r="AI3332" s="10"/>
    </row>
    <row r="3333" spans="28:35" ht="15" hidden="1" customHeight="1">
      <c r="AB3333" s="9"/>
      <c r="AC3333" s="9"/>
      <c r="AD3333" s="9"/>
      <c r="AF3333" s="10"/>
      <c r="AG3333" s="10"/>
      <c r="AH3333" s="10"/>
      <c r="AI3333" s="10"/>
    </row>
    <row r="3334" spans="28:35" ht="15" hidden="1" customHeight="1">
      <c r="AB3334" s="9"/>
      <c r="AC3334" s="9"/>
      <c r="AD3334" s="9"/>
      <c r="AF3334" s="10"/>
      <c r="AG3334" s="10"/>
      <c r="AH3334" s="10"/>
      <c r="AI3334" s="10"/>
    </row>
    <row r="3335" spans="28:35" ht="15" hidden="1" customHeight="1">
      <c r="AB3335" s="9"/>
      <c r="AC3335" s="9"/>
      <c r="AD3335" s="9"/>
      <c r="AF3335" s="10"/>
      <c r="AG3335" s="10"/>
      <c r="AH3335" s="10"/>
      <c r="AI3335" s="10"/>
    </row>
    <row r="3336" spans="28:35" ht="15" hidden="1" customHeight="1">
      <c r="AB3336" s="9"/>
      <c r="AC3336" s="9"/>
      <c r="AD3336" s="9"/>
      <c r="AF3336" s="10"/>
      <c r="AG3336" s="10"/>
      <c r="AH3336" s="10"/>
      <c r="AI3336" s="10"/>
    </row>
    <row r="3337" spans="28:35" ht="15" hidden="1" customHeight="1">
      <c r="AB3337" s="9"/>
      <c r="AC3337" s="9"/>
      <c r="AD3337" s="9"/>
      <c r="AF3337" s="10"/>
      <c r="AG3337" s="10"/>
      <c r="AH3337" s="10"/>
      <c r="AI3337" s="10"/>
    </row>
    <row r="3338" spans="28:35" ht="15" hidden="1" customHeight="1">
      <c r="AB3338" s="9"/>
      <c r="AC3338" s="9"/>
      <c r="AD3338" s="9"/>
      <c r="AF3338" s="10"/>
      <c r="AG3338" s="10"/>
      <c r="AH3338" s="10"/>
      <c r="AI3338" s="10"/>
    </row>
    <row r="3339" spans="28:35" ht="15" hidden="1" customHeight="1">
      <c r="AB3339" s="9"/>
      <c r="AC3339" s="9"/>
      <c r="AD3339" s="9"/>
      <c r="AF3339" s="10"/>
      <c r="AG3339" s="10"/>
      <c r="AH3339" s="10"/>
      <c r="AI3339" s="10"/>
    </row>
    <row r="3340" spans="28:35" ht="15" hidden="1" customHeight="1">
      <c r="AB3340" s="9"/>
      <c r="AC3340" s="9"/>
      <c r="AD3340" s="9"/>
      <c r="AF3340" s="10"/>
      <c r="AG3340" s="10"/>
      <c r="AH3340" s="10"/>
      <c r="AI3340" s="10"/>
    </row>
    <row r="3341" spans="28:35" ht="15" hidden="1" customHeight="1">
      <c r="AB3341" s="9"/>
      <c r="AC3341" s="9"/>
      <c r="AD3341" s="9"/>
      <c r="AF3341" s="10"/>
      <c r="AG3341" s="10"/>
      <c r="AH3341" s="10"/>
      <c r="AI3341" s="10"/>
    </row>
    <row r="3342" spans="28:35" ht="15" hidden="1" customHeight="1">
      <c r="AB3342" s="9"/>
      <c r="AC3342" s="9"/>
      <c r="AD3342" s="9"/>
      <c r="AF3342" s="10"/>
      <c r="AG3342" s="10"/>
      <c r="AH3342" s="10"/>
      <c r="AI3342" s="10"/>
    </row>
    <row r="3343" spans="28:35" ht="15" hidden="1" customHeight="1">
      <c r="AB3343" s="9"/>
      <c r="AC3343" s="9"/>
      <c r="AD3343" s="9"/>
      <c r="AF3343" s="10"/>
      <c r="AG3343" s="10"/>
      <c r="AH3343" s="10"/>
      <c r="AI3343" s="10"/>
    </row>
    <row r="3344" spans="28:35" ht="15" hidden="1" customHeight="1">
      <c r="AB3344" s="9"/>
      <c r="AC3344" s="9"/>
      <c r="AD3344" s="9"/>
      <c r="AF3344" s="10"/>
      <c r="AG3344" s="10"/>
      <c r="AH3344" s="10"/>
      <c r="AI3344" s="10"/>
    </row>
    <row r="3345" spans="28:35" ht="15" hidden="1" customHeight="1">
      <c r="AB3345" s="9"/>
      <c r="AC3345" s="9"/>
      <c r="AD3345" s="9"/>
      <c r="AF3345" s="10"/>
      <c r="AG3345" s="10"/>
      <c r="AH3345" s="10"/>
      <c r="AI3345" s="10"/>
    </row>
    <row r="3346" spans="28:35" ht="15" hidden="1" customHeight="1">
      <c r="AB3346" s="9"/>
      <c r="AC3346" s="9"/>
      <c r="AD3346" s="9"/>
      <c r="AF3346" s="10"/>
      <c r="AG3346" s="10"/>
      <c r="AH3346" s="10"/>
      <c r="AI3346" s="10"/>
    </row>
    <row r="3347" spans="28:35" ht="15" hidden="1" customHeight="1">
      <c r="AB3347" s="9"/>
      <c r="AC3347" s="9"/>
      <c r="AD3347" s="9"/>
      <c r="AF3347" s="10"/>
      <c r="AG3347" s="10"/>
      <c r="AH3347" s="10"/>
      <c r="AI3347" s="10"/>
    </row>
    <row r="3348" spans="28:35" ht="15" hidden="1" customHeight="1">
      <c r="AB3348" s="9"/>
      <c r="AC3348" s="9"/>
      <c r="AD3348" s="9"/>
      <c r="AF3348" s="10"/>
      <c r="AG3348" s="10"/>
      <c r="AH3348" s="10"/>
      <c r="AI3348" s="10"/>
    </row>
    <row r="3349" spans="28:35" ht="15" hidden="1" customHeight="1">
      <c r="AB3349" s="9"/>
      <c r="AC3349" s="9"/>
      <c r="AD3349" s="9"/>
      <c r="AF3349" s="10"/>
      <c r="AG3349" s="10"/>
      <c r="AH3349" s="10"/>
      <c r="AI3349" s="10"/>
    </row>
    <row r="3350" spans="28:35" ht="15" hidden="1" customHeight="1">
      <c r="AB3350" s="9"/>
      <c r="AC3350" s="9"/>
      <c r="AD3350" s="9"/>
      <c r="AF3350" s="10"/>
      <c r="AG3350" s="10"/>
      <c r="AH3350" s="10"/>
      <c r="AI3350" s="10"/>
    </row>
    <row r="3351" spans="28:35" ht="15" hidden="1" customHeight="1">
      <c r="AB3351" s="9"/>
      <c r="AC3351" s="9"/>
      <c r="AD3351" s="9"/>
      <c r="AF3351" s="10"/>
      <c r="AG3351" s="10"/>
      <c r="AH3351" s="10"/>
      <c r="AI3351" s="10"/>
    </row>
    <row r="3352" spans="28:35" ht="15" hidden="1" customHeight="1">
      <c r="AB3352" s="9"/>
      <c r="AC3352" s="9"/>
      <c r="AD3352" s="9"/>
      <c r="AF3352" s="10"/>
      <c r="AG3352" s="10"/>
      <c r="AH3352" s="10"/>
      <c r="AI3352" s="10"/>
    </row>
    <row r="3353" spans="28:35" ht="15" hidden="1" customHeight="1">
      <c r="AB3353" s="9"/>
      <c r="AC3353" s="9"/>
      <c r="AD3353" s="9"/>
      <c r="AF3353" s="10"/>
      <c r="AG3353" s="10"/>
      <c r="AH3353" s="10"/>
      <c r="AI3353" s="10"/>
    </row>
    <row r="3354" spans="28:35" ht="15" hidden="1" customHeight="1">
      <c r="AB3354" s="9"/>
      <c r="AC3354" s="9"/>
      <c r="AD3354" s="9"/>
      <c r="AF3354" s="10"/>
      <c r="AG3354" s="10"/>
      <c r="AH3354" s="10"/>
      <c r="AI3354" s="10"/>
    </row>
    <row r="3355" spans="28:35" ht="15" hidden="1" customHeight="1">
      <c r="AB3355" s="9"/>
      <c r="AC3355" s="9"/>
      <c r="AD3355" s="9"/>
      <c r="AF3355" s="10"/>
      <c r="AG3355" s="10"/>
      <c r="AH3355" s="10"/>
      <c r="AI3355" s="10"/>
    </row>
    <row r="3356" spans="28:35" ht="15" hidden="1" customHeight="1">
      <c r="AB3356" s="9"/>
      <c r="AC3356" s="9"/>
      <c r="AD3356" s="9"/>
      <c r="AF3356" s="10"/>
      <c r="AG3356" s="10"/>
      <c r="AH3356" s="10"/>
      <c r="AI3356" s="10"/>
    </row>
    <row r="3357" spans="28:35" ht="15" hidden="1" customHeight="1">
      <c r="AB3357" s="9"/>
      <c r="AC3357" s="9"/>
      <c r="AD3357" s="9"/>
      <c r="AF3357" s="10"/>
      <c r="AG3357" s="10"/>
      <c r="AH3357" s="10"/>
      <c r="AI3357" s="10"/>
    </row>
    <row r="3358" spans="28:35" ht="15" hidden="1" customHeight="1">
      <c r="AB3358" s="9"/>
      <c r="AC3358" s="9"/>
      <c r="AD3358" s="9"/>
      <c r="AF3358" s="10"/>
      <c r="AG3358" s="10"/>
      <c r="AH3358" s="10"/>
      <c r="AI3358" s="10"/>
    </row>
    <row r="3359" spans="28:35" ht="15" hidden="1" customHeight="1">
      <c r="AB3359" s="9"/>
      <c r="AC3359" s="9"/>
      <c r="AD3359" s="9"/>
      <c r="AF3359" s="10"/>
      <c r="AG3359" s="10"/>
      <c r="AH3359" s="10"/>
      <c r="AI3359" s="10"/>
    </row>
    <row r="3360" spans="28:35" ht="15" hidden="1" customHeight="1">
      <c r="AB3360" s="9"/>
      <c r="AC3360" s="9"/>
      <c r="AD3360" s="9"/>
      <c r="AF3360" s="10"/>
      <c r="AG3360" s="10"/>
      <c r="AH3360" s="10"/>
      <c r="AI3360" s="10"/>
    </row>
    <row r="3361" spans="28:35" ht="15" hidden="1" customHeight="1">
      <c r="AB3361" s="9"/>
      <c r="AC3361" s="9"/>
      <c r="AD3361" s="9"/>
      <c r="AF3361" s="10"/>
      <c r="AG3361" s="10"/>
      <c r="AH3361" s="10"/>
      <c r="AI3361" s="10"/>
    </row>
    <row r="3362" spans="28:35" ht="15" hidden="1" customHeight="1">
      <c r="AB3362" s="9"/>
      <c r="AC3362" s="9"/>
      <c r="AD3362" s="9"/>
      <c r="AF3362" s="10"/>
      <c r="AG3362" s="10"/>
      <c r="AH3362" s="10"/>
      <c r="AI3362" s="10"/>
    </row>
    <row r="3363" spans="28:35" ht="15" hidden="1" customHeight="1">
      <c r="AB3363" s="9"/>
      <c r="AC3363" s="9"/>
      <c r="AD3363" s="9"/>
      <c r="AF3363" s="10"/>
      <c r="AG3363" s="10"/>
      <c r="AH3363" s="10"/>
      <c r="AI3363" s="10"/>
    </row>
    <row r="3364" spans="28:35" ht="15" hidden="1" customHeight="1">
      <c r="AB3364" s="9"/>
      <c r="AC3364" s="9"/>
      <c r="AD3364" s="9"/>
      <c r="AF3364" s="10"/>
      <c r="AG3364" s="10"/>
      <c r="AH3364" s="10"/>
      <c r="AI3364" s="10"/>
    </row>
    <row r="3365" spans="28:35" ht="15" hidden="1" customHeight="1">
      <c r="AB3365" s="9"/>
      <c r="AC3365" s="9"/>
      <c r="AD3365" s="9"/>
      <c r="AF3365" s="10"/>
      <c r="AG3365" s="10"/>
      <c r="AH3365" s="10"/>
      <c r="AI3365" s="10"/>
    </row>
    <row r="3366" spans="28:35" ht="15" hidden="1" customHeight="1">
      <c r="AB3366" s="9"/>
      <c r="AC3366" s="9"/>
      <c r="AD3366" s="9"/>
      <c r="AF3366" s="10"/>
      <c r="AG3366" s="10"/>
      <c r="AH3366" s="10"/>
      <c r="AI3366" s="10"/>
    </row>
    <row r="3367" spans="28:35" ht="15" hidden="1" customHeight="1">
      <c r="AB3367" s="9"/>
      <c r="AC3367" s="9"/>
      <c r="AD3367" s="9"/>
      <c r="AF3367" s="10"/>
      <c r="AG3367" s="10"/>
      <c r="AH3367" s="10"/>
      <c r="AI3367" s="10"/>
    </row>
    <row r="3368" spans="28:35" ht="15" hidden="1" customHeight="1">
      <c r="AB3368" s="9"/>
      <c r="AC3368" s="9"/>
      <c r="AD3368" s="9"/>
      <c r="AF3368" s="10"/>
      <c r="AG3368" s="10"/>
      <c r="AH3368" s="10"/>
      <c r="AI3368" s="10"/>
    </row>
    <row r="3369" spans="28:35" ht="15" hidden="1" customHeight="1">
      <c r="AB3369" s="9"/>
      <c r="AC3369" s="9"/>
      <c r="AD3369" s="9"/>
      <c r="AF3369" s="10"/>
      <c r="AG3369" s="10"/>
      <c r="AH3369" s="10"/>
      <c r="AI3369" s="10"/>
    </row>
    <row r="3370" spans="28:35" ht="15" hidden="1" customHeight="1">
      <c r="AB3370" s="9"/>
      <c r="AC3370" s="9"/>
      <c r="AD3370" s="9"/>
      <c r="AF3370" s="10"/>
      <c r="AG3370" s="10"/>
      <c r="AH3370" s="10"/>
      <c r="AI3370" s="10"/>
    </row>
    <row r="3371" spans="28:35" ht="15" hidden="1" customHeight="1">
      <c r="AB3371" s="9"/>
      <c r="AC3371" s="9"/>
      <c r="AD3371" s="9"/>
      <c r="AF3371" s="10"/>
      <c r="AG3371" s="10"/>
      <c r="AH3371" s="10"/>
      <c r="AI3371" s="10"/>
    </row>
    <row r="3372" spans="28:35" ht="15" hidden="1" customHeight="1">
      <c r="AB3372" s="9"/>
      <c r="AC3372" s="9"/>
      <c r="AD3372" s="9"/>
      <c r="AF3372" s="10"/>
      <c r="AG3372" s="10"/>
      <c r="AH3372" s="10"/>
      <c r="AI3372" s="10"/>
    </row>
    <row r="3373" spans="28:35" ht="15" hidden="1" customHeight="1">
      <c r="AB3373" s="9"/>
      <c r="AC3373" s="9"/>
      <c r="AD3373" s="9"/>
      <c r="AF3373" s="10"/>
      <c r="AG3373" s="10"/>
      <c r="AH3373" s="10"/>
      <c r="AI3373" s="10"/>
    </row>
    <row r="3374" spans="28:35" ht="15" hidden="1" customHeight="1">
      <c r="AB3374" s="9"/>
      <c r="AC3374" s="9"/>
      <c r="AD3374" s="9"/>
      <c r="AF3374" s="10"/>
      <c r="AG3374" s="10"/>
      <c r="AH3374" s="10"/>
      <c r="AI3374" s="10"/>
    </row>
    <row r="3375" spans="28:35" ht="15" hidden="1" customHeight="1">
      <c r="AB3375" s="9"/>
      <c r="AC3375" s="9"/>
      <c r="AD3375" s="9"/>
      <c r="AF3375" s="10"/>
      <c r="AG3375" s="10"/>
      <c r="AH3375" s="10"/>
      <c r="AI3375" s="10"/>
    </row>
    <row r="3376" spans="28:35" ht="15" hidden="1" customHeight="1">
      <c r="AB3376" s="9"/>
      <c r="AC3376" s="9"/>
      <c r="AD3376" s="9"/>
      <c r="AF3376" s="10"/>
      <c r="AG3376" s="10"/>
      <c r="AH3376" s="10"/>
      <c r="AI3376" s="10"/>
    </row>
    <row r="3377" spans="28:35" ht="15" hidden="1" customHeight="1">
      <c r="AB3377" s="9"/>
      <c r="AC3377" s="9"/>
      <c r="AD3377" s="9"/>
      <c r="AF3377" s="10"/>
      <c r="AG3377" s="10"/>
      <c r="AH3377" s="10"/>
      <c r="AI3377" s="10"/>
    </row>
    <row r="3378" spans="28:35" ht="15" hidden="1" customHeight="1">
      <c r="AB3378" s="9"/>
      <c r="AC3378" s="9"/>
      <c r="AD3378" s="9"/>
      <c r="AF3378" s="10"/>
      <c r="AG3378" s="10"/>
      <c r="AH3378" s="10"/>
      <c r="AI3378" s="10"/>
    </row>
    <row r="3379" spans="28:35" ht="15" hidden="1" customHeight="1">
      <c r="AB3379" s="9"/>
      <c r="AC3379" s="9"/>
      <c r="AD3379" s="9"/>
      <c r="AF3379" s="10"/>
      <c r="AG3379" s="10"/>
      <c r="AH3379" s="10"/>
      <c r="AI3379" s="10"/>
    </row>
    <row r="3380" spans="28:35" ht="15" hidden="1" customHeight="1">
      <c r="AB3380" s="9"/>
      <c r="AC3380" s="9"/>
      <c r="AD3380" s="9"/>
      <c r="AF3380" s="10"/>
      <c r="AG3380" s="10"/>
      <c r="AH3380" s="10"/>
      <c r="AI3380" s="10"/>
    </row>
    <row r="3381" spans="28:35" ht="15" hidden="1" customHeight="1">
      <c r="AB3381" s="9"/>
      <c r="AC3381" s="9"/>
      <c r="AD3381" s="9"/>
      <c r="AF3381" s="10"/>
      <c r="AG3381" s="10"/>
      <c r="AH3381" s="10"/>
      <c r="AI3381" s="10"/>
    </row>
    <row r="3382" spans="28:35" ht="15" hidden="1" customHeight="1">
      <c r="AB3382" s="9"/>
      <c r="AC3382" s="9"/>
      <c r="AD3382" s="9"/>
      <c r="AF3382" s="10"/>
      <c r="AG3382" s="10"/>
      <c r="AH3382" s="10"/>
      <c r="AI3382" s="10"/>
    </row>
    <row r="3383" spans="28:35" ht="15" hidden="1" customHeight="1">
      <c r="AB3383" s="9"/>
      <c r="AC3383" s="9"/>
      <c r="AD3383" s="9"/>
      <c r="AF3383" s="10"/>
      <c r="AG3383" s="10"/>
      <c r="AH3383" s="10"/>
      <c r="AI3383" s="10"/>
    </row>
    <row r="3384" spans="28:35" ht="15" hidden="1" customHeight="1">
      <c r="AB3384" s="9"/>
      <c r="AC3384" s="9"/>
      <c r="AD3384" s="9"/>
      <c r="AF3384" s="10"/>
      <c r="AG3384" s="10"/>
      <c r="AH3384" s="10"/>
      <c r="AI3384" s="10"/>
    </row>
    <row r="3385" spans="28:35" ht="15" hidden="1" customHeight="1">
      <c r="AB3385" s="9"/>
      <c r="AC3385" s="9"/>
      <c r="AD3385" s="9"/>
      <c r="AF3385" s="10"/>
      <c r="AG3385" s="10"/>
      <c r="AH3385" s="10"/>
      <c r="AI3385" s="10"/>
    </row>
    <row r="3386" spans="28:35" ht="15" hidden="1" customHeight="1">
      <c r="AB3386" s="9"/>
      <c r="AC3386" s="9"/>
      <c r="AD3386" s="9"/>
      <c r="AF3386" s="10"/>
      <c r="AG3386" s="10"/>
      <c r="AH3386" s="10"/>
      <c r="AI3386" s="10"/>
    </row>
    <row r="3387" spans="28:35" ht="15" hidden="1" customHeight="1">
      <c r="AB3387" s="9"/>
      <c r="AC3387" s="9"/>
      <c r="AD3387" s="9"/>
      <c r="AF3387" s="10"/>
      <c r="AG3387" s="10"/>
      <c r="AH3387" s="10"/>
      <c r="AI3387" s="10"/>
    </row>
    <row r="3388" spans="28:35" ht="15" hidden="1" customHeight="1">
      <c r="AB3388" s="9"/>
      <c r="AC3388" s="9"/>
      <c r="AD3388" s="9"/>
      <c r="AF3388" s="10"/>
      <c r="AG3388" s="10"/>
      <c r="AH3388" s="10"/>
      <c r="AI3388" s="10"/>
    </row>
    <row r="3389" spans="28:35" ht="15" hidden="1" customHeight="1">
      <c r="AB3389" s="9"/>
      <c r="AC3389" s="9"/>
      <c r="AD3389" s="9"/>
      <c r="AF3389" s="10"/>
      <c r="AG3389" s="10"/>
      <c r="AH3389" s="10"/>
      <c r="AI3389" s="10"/>
    </row>
    <row r="3390" spans="28:35" ht="15" hidden="1" customHeight="1">
      <c r="AB3390" s="9"/>
      <c r="AC3390" s="9"/>
      <c r="AD3390" s="9"/>
      <c r="AF3390" s="10"/>
      <c r="AG3390" s="10"/>
      <c r="AH3390" s="10"/>
      <c r="AI3390" s="10"/>
    </row>
    <row r="3391" spans="28:35" ht="15" hidden="1" customHeight="1">
      <c r="AB3391" s="9"/>
      <c r="AC3391" s="9"/>
      <c r="AD3391" s="9"/>
      <c r="AF3391" s="10"/>
      <c r="AG3391" s="10"/>
      <c r="AH3391" s="10"/>
      <c r="AI3391" s="10"/>
    </row>
    <row r="3392" spans="28:35" ht="15" hidden="1" customHeight="1">
      <c r="AB3392" s="9"/>
      <c r="AC3392" s="9"/>
      <c r="AD3392" s="9"/>
      <c r="AF3392" s="10"/>
      <c r="AG3392" s="10"/>
      <c r="AH3392" s="10"/>
      <c r="AI3392" s="10"/>
    </row>
    <row r="3393" spans="28:35" ht="15" hidden="1" customHeight="1">
      <c r="AB3393" s="9"/>
      <c r="AC3393" s="9"/>
      <c r="AD3393" s="9"/>
      <c r="AF3393" s="10"/>
      <c r="AG3393" s="10"/>
      <c r="AH3393" s="10"/>
      <c r="AI3393" s="10"/>
    </row>
    <row r="3394" spans="28:35" ht="15" hidden="1" customHeight="1">
      <c r="AB3394" s="9"/>
      <c r="AC3394" s="9"/>
      <c r="AD3394" s="9"/>
      <c r="AF3394" s="10"/>
      <c r="AG3394" s="10"/>
      <c r="AH3394" s="10"/>
      <c r="AI3394" s="10"/>
    </row>
    <row r="3395" spans="28:35" ht="15" hidden="1" customHeight="1">
      <c r="AB3395" s="9"/>
      <c r="AC3395" s="9"/>
      <c r="AD3395" s="9"/>
      <c r="AF3395" s="10"/>
      <c r="AG3395" s="10"/>
      <c r="AH3395" s="10"/>
      <c r="AI3395" s="10"/>
    </row>
    <row r="3396" spans="28:35" ht="15" hidden="1" customHeight="1">
      <c r="AB3396" s="9"/>
      <c r="AC3396" s="9"/>
      <c r="AD3396" s="9"/>
      <c r="AF3396" s="10"/>
      <c r="AG3396" s="10"/>
      <c r="AH3396" s="10"/>
      <c r="AI3396" s="10"/>
    </row>
    <row r="3397" spans="28:35" ht="15" hidden="1" customHeight="1">
      <c r="AB3397" s="9"/>
      <c r="AC3397" s="9"/>
      <c r="AD3397" s="9"/>
      <c r="AF3397" s="10"/>
      <c r="AG3397" s="10"/>
      <c r="AH3397" s="10"/>
      <c r="AI3397" s="10"/>
    </row>
    <row r="3398" spans="28:35" ht="15" hidden="1" customHeight="1">
      <c r="AB3398" s="9"/>
      <c r="AC3398" s="9"/>
      <c r="AD3398" s="9"/>
      <c r="AF3398" s="10"/>
      <c r="AG3398" s="10"/>
      <c r="AH3398" s="10"/>
      <c r="AI3398" s="10"/>
    </row>
    <row r="3399" spans="28:35" ht="15" hidden="1" customHeight="1">
      <c r="AB3399" s="9"/>
      <c r="AC3399" s="9"/>
      <c r="AD3399" s="9"/>
      <c r="AF3399" s="10"/>
      <c r="AG3399" s="10"/>
      <c r="AH3399" s="10"/>
      <c r="AI3399" s="10"/>
    </row>
    <row r="3400" spans="28:35" ht="15" hidden="1" customHeight="1">
      <c r="AB3400" s="9"/>
      <c r="AC3400" s="9"/>
      <c r="AD3400" s="9"/>
      <c r="AF3400" s="10"/>
      <c r="AG3400" s="10"/>
      <c r="AH3400" s="10"/>
      <c r="AI3400" s="10"/>
    </row>
    <row r="3401" spans="28:35" ht="15" hidden="1" customHeight="1">
      <c r="AB3401" s="9"/>
      <c r="AC3401" s="9"/>
      <c r="AD3401" s="9"/>
      <c r="AF3401" s="10"/>
      <c r="AG3401" s="10"/>
      <c r="AH3401" s="10"/>
      <c r="AI3401" s="10"/>
    </row>
    <row r="3402" spans="28:35" ht="15" hidden="1" customHeight="1">
      <c r="AB3402" s="9"/>
      <c r="AC3402" s="9"/>
      <c r="AD3402" s="9"/>
      <c r="AF3402" s="10"/>
      <c r="AG3402" s="10"/>
      <c r="AH3402" s="10"/>
      <c r="AI3402" s="10"/>
    </row>
    <row r="3403" spans="28:35" ht="15" hidden="1" customHeight="1">
      <c r="AB3403" s="9"/>
      <c r="AC3403" s="9"/>
      <c r="AD3403" s="9"/>
      <c r="AF3403" s="10"/>
      <c r="AG3403" s="10"/>
      <c r="AH3403" s="10"/>
      <c r="AI3403" s="10"/>
    </row>
    <row r="3404" spans="28:35" ht="15" hidden="1" customHeight="1">
      <c r="AB3404" s="9"/>
      <c r="AC3404" s="9"/>
      <c r="AD3404" s="9"/>
      <c r="AF3404" s="10"/>
      <c r="AG3404" s="10"/>
      <c r="AH3404" s="10"/>
      <c r="AI3404" s="10"/>
    </row>
    <row r="3405" spans="28:35" ht="15" hidden="1" customHeight="1">
      <c r="AB3405" s="9"/>
      <c r="AC3405" s="9"/>
      <c r="AD3405" s="9"/>
      <c r="AF3405" s="10"/>
      <c r="AG3405" s="10"/>
      <c r="AH3405" s="10"/>
      <c r="AI3405" s="10"/>
    </row>
    <row r="3406" spans="28:35" ht="15" hidden="1" customHeight="1">
      <c r="AB3406" s="9"/>
      <c r="AC3406" s="9"/>
      <c r="AD3406" s="9"/>
      <c r="AF3406" s="10"/>
      <c r="AG3406" s="10"/>
      <c r="AH3406" s="10"/>
      <c r="AI3406" s="10"/>
    </row>
    <row r="3407" spans="28:35" ht="15" hidden="1" customHeight="1">
      <c r="AB3407" s="9"/>
      <c r="AC3407" s="9"/>
      <c r="AD3407" s="9"/>
      <c r="AF3407" s="10"/>
      <c r="AG3407" s="10"/>
      <c r="AH3407" s="10"/>
      <c r="AI3407" s="10"/>
    </row>
    <row r="3408" spans="28:35" ht="15" hidden="1" customHeight="1">
      <c r="AB3408" s="9"/>
      <c r="AC3408" s="9"/>
      <c r="AD3408" s="9"/>
      <c r="AF3408" s="10"/>
      <c r="AG3408" s="10"/>
      <c r="AH3408" s="10"/>
      <c r="AI3408" s="10"/>
    </row>
    <row r="3409" spans="28:35" ht="15" hidden="1" customHeight="1">
      <c r="AB3409" s="9"/>
      <c r="AC3409" s="9"/>
      <c r="AD3409" s="9"/>
      <c r="AF3409" s="10"/>
      <c r="AG3409" s="10"/>
      <c r="AH3409" s="10"/>
      <c r="AI3409" s="10"/>
    </row>
    <row r="3410" spans="28:35" ht="15" hidden="1" customHeight="1">
      <c r="AB3410" s="9"/>
      <c r="AC3410" s="9"/>
      <c r="AD3410" s="9"/>
      <c r="AF3410" s="10"/>
      <c r="AG3410" s="10"/>
      <c r="AH3410" s="10"/>
      <c r="AI3410" s="10"/>
    </row>
    <row r="3411" spans="28:35" ht="15" hidden="1" customHeight="1">
      <c r="AB3411" s="9"/>
      <c r="AC3411" s="9"/>
      <c r="AD3411" s="9"/>
      <c r="AF3411" s="10"/>
      <c r="AG3411" s="10"/>
      <c r="AH3411" s="10"/>
      <c r="AI3411" s="10"/>
    </row>
    <row r="3412" spans="28:35" ht="15" hidden="1" customHeight="1">
      <c r="AB3412" s="9"/>
      <c r="AC3412" s="9"/>
      <c r="AD3412" s="9"/>
      <c r="AF3412" s="10"/>
      <c r="AG3412" s="10"/>
      <c r="AH3412" s="10"/>
      <c r="AI3412" s="10"/>
    </row>
    <row r="3413" spans="28:35" ht="15" hidden="1" customHeight="1">
      <c r="AB3413" s="9"/>
      <c r="AC3413" s="9"/>
      <c r="AD3413" s="9"/>
      <c r="AF3413" s="10"/>
      <c r="AG3413" s="10"/>
      <c r="AH3413" s="10"/>
      <c r="AI3413" s="10"/>
    </row>
    <row r="3414" spans="28:35" ht="15" hidden="1" customHeight="1">
      <c r="AB3414" s="9"/>
      <c r="AC3414" s="9"/>
      <c r="AD3414" s="9"/>
      <c r="AF3414" s="10"/>
      <c r="AG3414" s="10"/>
      <c r="AH3414" s="10"/>
      <c r="AI3414" s="10"/>
    </row>
    <row r="3415" spans="28:35" ht="15" hidden="1" customHeight="1">
      <c r="AB3415" s="9"/>
      <c r="AC3415" s="9"/>
      <c r="AD3415" s="9"/>
      <c r="AF3415" s="10"/>
      <c r="AG3415" s="10"/>
      <c r="AH3415" s="10"/>
      <c r="AI3415" s="10"/>
    </row>
    <row r="3416" spans="28:35" ht="15" hidden="1" customHeight="1">
      <c r="AB3416" s="9"/>
      <c r="AC3416" s="9"/>
      <c r="AD3416" s="9"/>
      <c r="AF3416" s="10"/>
      <c r="AG3416" s="10"/>
      <c r="AH3416" s="10"/>
      <c r="AI3416" s="10"/>
    </row>
    <row r="3417" spans="28:35" ht="15" hidden="1" customHeight="1">
      <c r="AB3417" s="9"/>
      <c r="AC3417" s="9"/>
      <c r="AD3417" s="9"/>
      <c r="AF3417" s="10"/>
      <c r="AG3417" s="10"/>
      <c r="AH3417" s="10"/>
      <c r="AI3417" s="10"/>
    </row>
    <row r="3418" spans="28:35" ht="15" hidden="1" customHeight="1">
      <c r="AB3418" s="9"/>
      <c r="AC3418" s="9"/>
      <c r="AD3418" s="9"/>
      <c r="AF3418" s="10"/>
      <c r="AG3418" s="10"/>
      <c r="AH3418" s="10"/>
      <c r="AI3418" s="10"/>
    </row>
    <row r="3419" spans="28:35" ht="15" hidden="1" customHeight="1">
      <c r="AB3419" s="9"/>
      <c r="AC3419" s="9"/>
      <c r="AD3419" s="9"/>
      <c r="AF3419" s="10"/>
      <c r="AG3419" s="10"/>
      <c r="AH3419" s="10"/>
      <c r="AI3419" s="10"/>
    </row>
    <row r="3420" spans="28:35" ht="15" hidden="1" customHeight="1">
      <c r="AB3420" s="9"/>
      <c r="AC3420" s="9"/>
      <c r="AD3420" s="9"/>
      <c r="AF3420" s="10"/>
      <c r="AG3420" s="10"/>
      <c r="AH3420" s="10"/>
      <c r="AI3420" s="10"/>
    </row>
    <row r="3421" spans="28:35" ht="15" hidden="1" customHeight="1">
      <c r="AB3421" s="9"/>
      <c r="AC3421" s="9"/>
      <c r="AD3421" s="9"/>
      <c r="AF3421" s="10"/>
      <c r="AG3421" s="10"/>
      <c r="AH3421" s="10"/>
      <c r="AI3421" s="10"/>
    </row>
    <row r="3422" spans="28:35" ht="15" hidden="1" customHeight="1">
      <c r="AB3422" s="9"/>
      <c r="AC3422" s="9"/>
      <c r="AD3422" s="9"/>
      <c r="AF3422" s="10"/>
      <c r="AG3422" s="10"/>
      <c r="AH3422" s="10"/>
      <c r="AI3422" s="10"/>
    </row>
    <row r="3423" spans="28:35" ht="15" hidden="1" customHeight="1">
      <c r="AB3423" s="9"/>
      <c r="AC3423" s="9"/>
      <c r="AD3423" s="9"/>
      <c r="AF3423" s="10"/>
      <c r="AG3423" s="10"/>
      <c r="AH3423" s="10"/>
      <c r="AI3423" s="10"/>
    </row>
    <row r="3424" spans="28:35" ht="15" hidden="1" customHeight="1">
      <c r="AB3424" s="9"/>
      <c r="AC3424" s="9"/>
      <c r="AD3424" s="9"/>
      <c r="AF3424" s="10"/>
      <c r="AG3424" s="10"/>
      <c r="AH3424" s="10"/>
      <c r="AI3424" s="10"/>
    </row>
    <row r="3425" spans="28:35" ht="15" hidden="1" customHeight="1">
      <c r="AB3425" s="9"/>
      <c r="AC3425" s="9"/>
      <c r="AD3425" s="9"/>
      <c r="AF3425" s="10"/>
      <c r="AG3425" s="10"/>
      <c r="AH3425" s="10"/>
      <c r="AI3425" s="10"/>
    </row>
    <row r="3426" spans="28:35" ht="15" hidden="1" customHeight="1">
      <c r="AB3426" s="9"/>
      <c r="AC3426" s="9"/>
      <c r="AD3426" s="9"/>
      <c r="AF3426" s="10"/>
      <c r="AG3426" s="10"/>
      <c r="AH3426" s="10"/>
      <c r="AI3426" s="10"/>
    </row>
    <row r="3427" spans="28:35" ht="15" hidden="1" customHeight="1">
      <c r="AB3427" s="9"/>
      <c r="AC3427" s="9"/>
      <c r="AD3427" s="9"/>
      <c r="AF3427" s="10"/>
      <c r="AG3427" s="10"/>
      <c r="AH3427" s="10"/>
      <c r="AI3427" s="10"/>
    </row>
    <row r="3428" spans="28:35" ht="15" hidden="1" customHeight="1">
      <c r="AB3428" s="9"/>
      <c r="AC3428" s="9"/>
      <c r="AD3428" s="9"/>
      <c r="AF3428" s="10"/>
      <c r="AG3428" s="10"/>
      <c r="AH3428" s="10"/>
      <c r="AI3428" s="10"/>
    </row>
    <row r="3429" spans="28:35" ht="15" hidden="1" customHeight="1">
      <c r="AB3429" s="9"/>
      <c r="AC3429" s="9"/>
      <c r="AD3429" s="9"/>
      <c r="AF3429" s="10"/>
      <c r="AG3429" s="10"/>
      <c r="AH3429" s="10"/>
      <c r="AI3429" s="10"/>
    </row>
    <row r="3430" spans="28:35" ht="15" hidden="1" customHeight="1">
      <c r="AB3430" s="9"/>
      <c r="AC3430" s="9"/>
      <c r="AD3430" s="9"/>
      <c r="AF3430" s="10"/>
      <c r="AG3430" s="10"/>
      <c r="AH3430" s="10"/>
      <c r="AI3430" s="10"/>
    </row>
    <row r="3431" spans="28:35" ht="15" hidden="1" customHeight="1">
      <c r="AB3431" s="9"/>
      <c r="AC3431" s="9"/>
      <c r="AD3431" s="9"/>
      <c r="AF3431" s="10"/>
      <c r="AG3431" s="10"/>
      <c r="AH3431" s="10"/>
      <c r="AI3431" s="10"/>
    </row>
    <row r="3432" spans="28:35" ht="15" hidden="1" customHeight="1">
      <c r="AB3432" s="9"/>
      <c r="AC3432" s="9"/>
      <c r="AD3432" s="9"/>
      <c r="AF3432" s="10"/>
      <c r="AG3432" s="10"/>
      <c r="AH3432" s="10"/>
      <c r="AI3432" s="10"/>
    </row>
    <row r="3433" spans="28:35" ht="15" hidden="1" customHeight="1">
      <c r="AB3433" s="9"/>
      <c r="AC3433" s="9"/>
      <c r="AD3433" s="9"/>
      <c r="AF3433" s="10"/>
      <c r="AG3433" s="10"/>
      <c r="AH3433" s="10"/>
      <c r="AI3433" s="10"/>
    </row>
    <row r="3434" spans="28:35" ht="15" hidden="1" customHeight="1">
      <c r="AB3434" s="9"/>
      <c r="AC3434" s="9"/>
      <c r="AD3434" s="9"/>
      <c r="AF3434" s="10"/>
      <c r="AG3434" s="10"/>
      <c r="AH3434" s="10"/>
      <c r="AI3434" s="10"/>
    </row>
    <row r="3435" spans="28:35" ht="15" hidden="1" customHeight="1">
      <c r="AB3435" s="9"/>
      <c r="AC3435" s="9"/>
      <c r="AD3435" s="9"/>
      <c r="AF3435" s="10"/>
      <c r="AG3435" s="10"/>
      <c r="AH3435" s="10"/>
      <c r="AI3435" s="10"/>
    </row>
    <row r="3436" spans="28:35" ht="15" hidden="1" customHeight="1">
      <c r="AB3436" s="9"/>
      <c r="AC3436" s="9"/>
      <c r="AD3436" s="9"/>
      <c r="AF3436" s="10"/>
      <c r="AG3436" s="10"/>
      <c r="AH3436" s="10"/>
      <c r="AI3436" s="10"/>
    </row>
    <row r="3437" spans="28:35" ht="15" hidden="1" customHeight="1">
      <c r="AB3437" s="9"/>
      <c r="AC3437" s="9"/>
      <c r="AD3437" s="9"/>
      <c r="AF3437" s="10"/>
      <c r="AG3437" s="10"/>
      <c r="AH3437" s="10"/>
      <c r="AI3437" s="10"/>
    </row>
    <row r="3438" spans="28:35" ht="15" hidden="1" customHeight="1">
      <c r="AB3438" s="9"/>
      <c r="AC3438" s="9"/>
      <c r="AD3438" s="9"/>
      <c r="AF3438" s="10"/>
      <c r="AG3438" s="10"/>
      <c r="AH3438" s="10"/>
      <c r="AI3438" s="10"/>
    </row>
    <row r="3439" spans="28:35" ht="15" hidden="1" customHeight="1">
      <c r="AB3439" s="9"/>
      <c r="AC3439" s="9"/>
      <c r="AD3439" s="9"/>
      <c r="AF3439" s="10"/>
      <c r="AG3439" s="10"/>
      <c r="AH3439" s="10"/>
      <c r="AI3439" s="10"/>
    </row>
    <row r="3440" spans="28:35" ht="15" hidden="1" customHeight="1">
      <c r="AB3440" s="9"/>
      <c r="AC3440" s="9"/>
      <c r="AD3440" s="9"/>
      <c r="AF3440" s="10"/>
      <c r="AG3440" s="10"/>
      <c r="AH3440" s="10"/>
      <c r="AI3440" s="10"/>
    </row>
    <row r="3441" spans="28:35" ht="15" hidden="1" customHeight="1">
      <c r="AB3441" s="9"/>
      <c r="AC3441" s="9"/>
      <c r="AD3441" s="9"/>
      <c r="AF3441" s="10"/>
      <c r="AG3441" s="10"/>
      <c r="AH3441" s="10"/>
      <c r="AI3441" s="10"/>
    </row>
    <row r="3442" spans="28:35" ht="15" hidden="1" customHeight="1">
      <c r="AB3442" s="9"/>
      <c r="AC3442" s="9"/>
      <c r="AD3442" s="9"/>
      <c r="AF3442" s="10"/>
      <c r="AG3442" s="10"/>
      <c r="AH3442" s="10"/>
      <c r="AI3442" s="10"/>
    </row>
    <row r="3443" spans="28:35" ht="15" hidden="1" customHeight="1">
      <c r="AB3443" s="9"/>
      <c r="AC3443" s="9"/>
      <c r="AD3443" s="9"/>
      <c r="AF3443" s="10"/>
      <c r="AG3443" s="10"/>
      <c r="AH3443" s="10"/>
      <c r="AI3443" s="10"/>
    </row>
    <row r="3444" spans="28:35" ht="15" hidden="1" customHeight="1">
      <c r="AB3444" s="9"/>
      <c r="AC3444" s="9"/>
      <c r="AD3444" s="9"/>
      <c r="AF3444" s="10"/>
      <c r="AG3444" s="10"/>
      <c r="AH3444" s="10"/>
      <c r="AI3444" s="10"/>
    </row>
    <row r="3445" spans="28:35" ht="15" hidden="1" customHeight="1">
      <c r="AB3445" s="9"/>
      <c r="AC3445" s="9"/>
      <c r="AD3445" s="9"/>
      <c r="AF3445" s="10"/>
      <c r="AG3445" s="10"/>
      <c r="AH3445" s="10"/>
      <c r="AI3445" s="10"/>
    </row>
    <row r="3446" spans="28:35" ht="15" hidden="1" customHeight="1">
      <c r="AB3446" s="9"/>
      <c r="AC3446" s="9"/>
      <c r="AD3446" s="9"/>
      <c r="AF3446" s="10"/>
      <c r="AG3446" s="10"/>
      <c r="AH3446" s="10"/>
      <c r="AI3446" s="10"/>
    </row>
    <row r="3447" spans="28:35" ht="15" hidden="1" customHeight="1">
      <c r="AB3447" s="9"/>
      <c r="AC3447" s="9"/>
      <c r="AD3447" s="9"/>
      <c r="AF3447" s="10"/>
      <c r="AG3447" s="10"/>
      <c r="AH3447" s="10"/>
      <c r="AI3447" s="10"/>
    </row>
    <row r="3448" spans="28:35" ht="15" hidden="1" customHeight="1">
      <c r="AB3448" s="9"/>
      <c r="AC3448" s="9"/>
      <c r="AD3448" s="9"/>
      <c r="AF3448" s="10"/>
      <c r="AG3448" s="10"/>
      <c r="AH3448" s="10"/>
      <c r="AI3448" s="10"/>
    </row>
    <row r="3449" spans="28:35" ht="15" hidden="1" customHeight="1">
      <c r="AB3449" s="9"/>
      <c r="AC3449" s="9"/>
      <c r="AD3449" s="9"/>
      <c r="AF3449" s="10"/>
      <c r="AG3449" s="10"/>
      <c r="AH3449" s="10"/>
      <c r="AI3449" s="10"/>
    </row>
    <row r="3450" spans="28:35" ht="15" hidden="1" customHeight="1">
      <c r="AB3450" s="9"/>
      <c r="AC3450" s="9"/>
      <c r="AD3450" s="9"/>
      <c r="AF3450" s="10"/>
      <c r="AG3450" s="10"/>
      <c r="AH3450" s="10"/>
      <c r="AI3450" s="10"/>
    </row>
    <row r="3451" spans="28:35" ht="15" hidden="1" customHeight="1">
      <c r="AB3451" s="9"/>
      <c r="AC3451" s="9"/>
      <c r="AD3451" s="9"/>
      <c r="AF3451" s="10"/>
      <c r="AG3451" s="10"/>
      <c r="AH3451" s="10"/>
      <c r="AI3451" s="10"/>
    </row>
    <row r="3452" spans="28:35" ht="15" hidden="1" customHeight="1">
      <c r="AB3452" s="9"/>
      <c r="AC3452" s="9"/>
      <c r="AD3452" s="9"/>
      <c r="AF3452" s="10"/>
      <c r="AG3452" s="10"/>
      <c r="AH3452" s="10"/>
      <c r="AI3452" s="10"/>
    </row>
    <row r="3453" spans="28:35" ht="15" hidden="1" customHeight="1">
      <c r="AB3453" s="9"/>
      <c r="AC3453" s="9"/>
      <c r="AD3453" s="9"/>
      <c r="AF3453" s="10"/>
      <c r="AG3453" s="10"/>
      <c r="AH3453" s="10"/>
      <c r="AI3453" s="10"/>
    </row>
    <row r="3454" spans="28:35" ht="15" hidden="1" customHeight="1">
      <c r="AB3454" s="9"/>
      <c r="AC3454" s="9"/>
      <c r="AD3454" s="9"/>
      <c r="AF3454" s="10"/>
      <c r="AG3454" s="10"/>
      <c r="AH3454" s="10"/>
      <c r="AI3454" s="10"/>
    </row>
    <row r="3455" spans="28:35" ht="15" hidden="1" customHeight="1">
      <c r="AB3455" s="9"/>
      <c r="AC3455" s="9"/>
      <c r="AD3455" s="9"/>
      <c r="AF3455" s="10"/>
      <c r="AG3455" s="10"/>
      <c r="AH3455" s="10"/>
      <c r="AI3455" s="10"/>
    </row>
    <row r="3456" spans="28:35" ht="15" hidden="1" customHeight="1">
      <c r="AB3456" s="9"/>
      <c r="AC3456" s="9"/>
      <c r="AD3456" s="9"/>
      <c r="AF3456" s="10"/>
      <c r="AG3456" s="10"/>
      <c r="AH3456" s="10"/>
      <c r="AI3456" s="10"/>
    </row>
    <row r="3457" spans="28:35" ht="15" hidden="1" customHeight="1">
      <c r="AB3457" s="9"/>
      <c r="AC3457" s="9"/>
      <c r="AD3457" s="9"/>
      <c r="AF3457" s="10"/>
      <c r="AG3457" s="10"/>
      <c r="AH3457" s="10"/>
      <c r="AI3457" s="10"/>
    </row>
    <row r="3458" spans="28:35" ht="15" hidden="1" customHeight="1">
      <c r="AB3458" s="9"/>
      <c r="AC3458" s="9"/>
      <c r="AD3458" s="9"/>
      <c r="AF3458" s="10"/>
      <c r="AG3458" s="10"/>
      <c r="AH3458" s="10"/>
      <c r="AI3458" s="10"/>
    </row>
    <row r="3459" spans="28:35" ht="15" hidden="1" customHeight="1">
      <c r="AB3459" s="9"/>
      <c r="AC3459" s="9"/>
      <c r="AD3459" s="9"/>
      <c r="AF3459" s="10"/>
      <c r="AG3459" s="10"/>
      <c r="AH3459" s="10"/>
      <c r="AI3459" s="10"/>
    </row>
    <row r="3460" spans="28:35" ht="15" hidden="1" customHeight="1">
      <c r="AB3460" s="9"/>
      <c r="AC3460" s="9"/>
      <c r="AD3460" s="9"/>
      <c r="AF3460" s="10"/>
      <c r="AG3460" s="10"/>
      <c r="AH3460" s="10"/>
      <c r="AI3460" s="10"/>
    </row>
    <row r="3461" spans="28:35" ht="15" hidden="1" customHeight="1">
      <c r="AB3461" s="9"/>
      <c r="AC3461" s="9"/>
      <c r="AD3461" s="9"/>
      <c r="AF3461" s="10"/>
      <c r="AG3461" s="10"/>
      <c r="AH3461" s="10"/>
      <c r="AI3461" s="10"/>
    </row>
    <row r="3462" spans="28:35" ht="15" hidden="1" customHeight="1">
      <c r="AB3462" s="9"/>
      <c r="AC3462" s="9"/>
      <c r="AD3462" s="9"/>
      <c r="AF3462" s="10"/>
      <c r="AG3462" s="10"/>
      <c r="AH3462" s="10"/>
      <c r="AI3462" s="10"/>
    </row>
    <row r="3463" spans="28:35" ht="15" hidden="1" customHeight="1">
      <c r="AB3463" s="9"/>
      <c r="AC3463" s="9"/>
      <c r="AD3463" s="9"/>
      <c r="AF3463" s="10"/>
      <c r="AG3463" s="10"/>
      <c r="AH3463" s="10"/>
      <c r="AI3463" s="10"/>
    </row>
    <row r="3464" spans="28:35" ht="15" hidden="1" customHeight="1">
      <c r="AB3464" s="9"/>
      <c r="AC3464" s="9"/>
      <c r="AD3464" s="9"/>
      <c r="AF3464" s="10"/>
      <c r="AG3464" s="10"/>
      <c r="AH3464" s="10"/>
      <c r="AI3464" s="10"/>
    </row>
    <row r="3465" spans="28:35" ht="15" hidden="1" customHeight="1">
      <c r="AB3465" s="9"/>
      <c r="AC3465" s="9"/>
      <c r="AD3465" s="9"/>
      <c r="AF3465" s="10"/>
      <c r="AG3465" s="10"/>
      <c r="AH3465" s="10"/>
      <c r="AI3465" s="10"/>
    </row>
    <row r="3466" spans="28:35" ht="15" hidden="1" customHeight="1">
      <c r="AB3466" s="9"/>
      <c r="AC3466" s="9"/>
      <c r="AD3466" s="9"/>
      <c r="AF3466" s="10"/>
      <c r="AG3466" s="10"/>
      <c r="AH3466" s="10"/>
      <c r="AI3466" s="10"/>
    </row>
    <row r="3467" spans="28:35" ht="15" hidden="1" customHeight="1">
      <c r="AB3467" s="9"/>
      <c r="AC3467" s="9"/>
      <c r="AD3467" s="9"/>
      <c r="AF3467" s="10"/>
      <c r="AG3467" s="10"/>
      <c r="AH3467" s="10"/>
      <c r="AI3467" s="10"/>
    </row>
    <row r="3468" spans="28:35" ht="15" hidden="1" customHeight="1">
      <c r="AB3468" s="9"/>
      <c r="AC3468" s="9"/>
      <c r="AD3468" s="9"/>
      <c r="AF3468" s="10"/>
      <c r="AG3468" s="10"/>
      <c r="AH3468" s="10"/>
      <c r="AI3468" s="10"/>
    </row>
    <row r="3469" spans="28:35" ht="15" hidden="1" customHeight="1">
      <c r="AB3469" s="9"/>
      <c r="AC3469" s="9"/>
      <c r="AD3469" s="9"/>
      <c r="AF3469" s="10"/>
      <c r="AG3469" s="10"/>
      <c r="AH3469" s="10"/>
      <c r="AI3469" s="10"/>
    </row>
    <row r="3470" spans="28:35" ht="15" hidden="1" customHeight="1">
      <c r="AB3470" s="9"/>
      <c r="AC3470" s="9"/>
      <c r="AD3470" s="9"/>
      <c r="AF3470" s="10"/>
      <c r="AG3470" s="10"/>
      <c r="AH3470" s="10"/>
      <c r="AI3470" s="10"/>
    </row>
    <row r="3471" spans="28:35" ht="15" hidden="1" customHeight="1">
      <c r="AB3471" s="9"/>
      <c r="AC3471" s="9"/>
      <c r="AD3471" s="9"/>
      <c r="AF3471" s="10"/>
      <c r="AG3471" s="10"/>
      <c r="AH3471" s="10"/>
      <c r="AI3471" s="10"/>
    </row>
    <row r="3472" spans="28:35" ht="15" hidden="1" customHeight="1">
      <c r="AB3472" s="9"/>
      <c r="AC3472" s="9"/>
      <c r="AD3472" s="9"/>
      <c r="AF3472" s="10"/>
      <c r="AG3472" s="10"/>
      <c r="AH3472" s="10"/>
      <c r="AI3472" s="10"/>
    </row>
    <row r="3473" spans="28:35" ht="15" hidden="1" customHeight="1">
      <c r="AB3473" s="9"/>
      <c r="AC3473" s="9"/>
      <c r="AD3473" s="9"/>
      <c r="AF3473" s="10"/>
      <c r="AG3473" s="10"/>
      <c r="AH3473" s="10"/>
      <c r="AI3473" s="10"/>
    </row>
    <row r="3474" spans="28:35" ht="15" hidden="1" customHeight="1">
      <c r="AB3474" s="9"/>
      <c r="AC3474" s="9"/>
      <c r="AD3474" s="9"/>
      <c r="AF3474" s="10"/>
      <c r="AG3474" s="10"/>
      <c r="AH3474" s="10"/>
      <c r="AI3474" s="10"/>
    </row>
    <row r="3475" spans="28:35" ht="15" hidden="1" customHeight="1">
      <c r="AB3475" s="9"/>
      <c r="AC3475" s="9"/>
      <c r="AD3475" s="9"/>
      <c r="AF3475" s="10"/>
      <c r="AG3475" s="10"/>
      <c r="AH3475" s="10"/>
      <c r="AI3475" s="10"/>
    </row>
    <row r="3476" spans="28:35" ht="15" hidden="1" customHeight="1">
      <c r="AB3476" s="9"/>
      <c r="AC3476" s="9"/>
      <c r="AD3476" s="9"/>
      <c r="AF3476" s="10"/>
      <c r="AG3476" s="10"/>
      <c r="AH3476" s="10"/>
      <c r="AI3476" s="10"/>
    </row>
    <row r="3477" spans="28:35" ht="15" hidden="1" customHeight="1">
      <c r="AB3477" s="9"/>
      <c r="AC3477" s="9"/>
      <c r="AD3477" s="9"/>
      <c r="AF3477" s="10"/>
      <c r="AG3477" s="10"/>
      <c r="AH3477" s="10"/>
      <c r="AI3477" s="10"/>
    </row>
    <row r="3478" spans="28:35" ht="15" hidden="1" customHeight="1">
      <c r="AB3478" s="9"/>
      <c r="AC3478" s="9"/>
      <c r="AD3478" s="9"/>
      <c r="AF3478" s="10"/>
      <c r="AG3478" s="10"/>
      <c r="AH3478" s="10"/>
      <c r="AI3478" s="10"/>
    </row>
    <row r="3479" spans="28:35" ht="15" hidden="1" customHeight="1">
      <c r="AB3479" s="9"/>
      <c r="AC3479" s="9"/>
      <c r="AD3479" s="9"/>
      <c r="AF3479" s="10"/>
      <c r="AG3479" s="10"/>
      <c r="AH3479" s="10"/>
      <c r="AI3479" s="10"/>
    </row>
    <row r="3480" spans="28:35" ht="15" hidden="1" customHeight="1">
      <c r="AB3480" s="9"/>
      <c r="AC3480" s="9"/>
      <c r="AD3480" s="9"/>
      <c r="AF3480" s="10"/>
      <c r="AG3480" s="10"/>
      <c r="AH3480" s="10"/>
      <c r="AI3480" s="10"/>
    </row>
    <row r="3481" spans="28:35" ht="15" hidden="1" customHeight="1">
      <c r="AB3481" s="9"/>
      <c r="AC3481" s="9"/>
      <c r="AD3481" s="9"/>
      <c r="AF3481" s="10"/>
      <c r="AG3481" s="10"/>
      <c r="AH3481" s="10"/>
      <c r="AI3481" s="10"/>
    </row>
    <row r="3482" spans="28:35" ht="15" hidden="1" customHeight="1">
      <c r="AB3482" s="9"/>
      <c r="AC3482" s="9"/>
      <c r="AD3482" s="9"/>
      <c r="AF3482" s="10"/>
      <c r="AG3482" s="10"/>
      <c r="AH3482" s="10"/>
      <c r="AI3482" s="10"/>
    </row>
    <row r="3483" spans="28:35" ht="15" hidden="1" customHeight="1">
      <c r="AB3483" s="9"/>
      <c r="AC3483" s="9"/>
      <c r="AD3483" s="9"/>
      <c r="AF3483" s="10"/>
      <c r="AG3483" s="10"/>
      <c r="AH3483" s="10"/>
      <c r="AI3483" s="10"/>
    </row>
    <row r="3484" spans="28:35" ht="15" hidden="1" customHeight="1">
      <c r="AB3484" s="9"/>
      <c r="AC3484" s="9"/>
      <c r="AD3484" s="9"/>
      <c r="AF3484" s="10"/>
      <c r="AG3484" s="10"/>
      <c r="AH3484" s="10"/>
      <c r="AI3484" s="10"/>
    </row>
    <row r="3485" spans="28:35" ht="15" hidden="1" customHeight="1">
      <c r="AB3485" s="9"/>
      <c r="AC3485" s="9"/>
      <c r="AD3485" s="9"/>
      <c r="AF3485" s="10"/>
      <c r="AG3485" s="10"/>
      <c r="AH3485" s="10"/>
      <c r="AI3485" s="10"/>
    </row>
    <row r="3486" spans="28:35" ht="15" hidden="1" customHeight="1">
      <c r="AB3486" s="9"/>
      <c r="AC3486" s="9"/>
      <c r="AD3486" s="9"/>
      <c r="AF3486" s="10"/>
      <c r="AG3486" s="10"/>
      <c r="AH3486" s="10"/>
      <c r="AI3486" s="10"/>
    </row>
    <row r="3487" spans="28:35" ht="15" hidden="1" customHeight="1">
      <c r="AB3487" s="9"/>
      <c r="AC3487" s="9"/>
      <c r="AD3487" s="9"/>
      <c r="AF3487" s="10"/>
      <c r="AG3487" s="10"/>
      <c r="AH3487" s="10"/>
      <c r="AI3487" s="10"/>
    </row>
    <row r="3488" spans="28:35" ht="15" hidden="1" customHeight="1">
      <c r="AB3488" s="9"/>
      <c r="AC3488" s="9"/>
      <c r="AD3488" s="9"/>
      <c r="AF3488" s="10"/>
      <c r="AG3488" s="10"/>
      <c r="AH3488" s="10"/>
      <c r="AI3488" s="10"/>
    </row>
    <row r="3489" spans="28:35" ht="15" hidden="1" customHeight="1">
      <c r="AB3489" s="9"/>
      <c r="AC3489" s="9"/>
      <c r="AD3489" s="9"/>
      <c r="AF3489" s="10"/>
      <c r="AG3489" s="10"/>
      <c r="AH3489" s="10"/>
      <c r="AI3489" s="10"/>
    </row>
    <row r="3490" spans="28:35" ht="15" hidden="1" customHeight="1">
      <c r="AB3490" s="9"/>
      <c r="AC3490" s="9"/>
      <c r="AD3490" s="9"/>
      <c r="AF3490" s="10"/>
      <c r="AG3490" s="10"/>
      <c r="AH3490" s="10"/>
      <c r="AI3490" s="10"/>
    </row>
    <row r="3491" spans="28:35" ht="15" hidden="1" customHeight="1">
      <c r="AB3491" s="9"/>
      <c r="AC3491" s="9"/>
      <c r="AD3491" s="9"/>
      <c r="AF3491" s="10"/>
      <c r="AG3491" s="10"/>
      <c r="AH3491" s="10"/>
      <c r="AI3491" s="10"/>
    </row>
    <row r="3492" spans="28:35" ht="15" hidden="1" customHeight="1">
      <c r="AB3492" s="9"/>
      <c r="AC3492" s="9"/>
      <c r="AD3492" s="9"/>
      <c r="AF3492" s="10"/>
      <c r="AG3492" s="10"/>
      <c r="AH3492" s="10"/>
      <c r="AI3492" s="10"/>
    </row>
    <row r="3493" spans="28:35" ht="15" hidden="1" customHeight="1">
      <c r="AB3493" s="9"/>
      <c r="AC3493" s="9"/>
      <c r="AD3493" s="9"/>
      <c r="AF3493" s="10"/>
      <c r="AG3493" s="10"/>
      <c r="AH3493" s="10"/>
      <c r="AI3493" s="10"/>
    </row>
    <row r="3494" spans="28:35" ht="15" hidden="1" customHeight="1">
      <c r="AB3494" s="9"/>
      <c r="AC3494" s="9"/>
      <c r="AD3494" s="9"/>
      <c r="AF3494" s="10"/>
      <c r="AG3494" s="10"/>
      <c r="AH3494" s="10"/>
      <c r="AI3494" s="10"/>
    </row>
    <row r="3495" spans="28:35" ht="15" hidden="1" customHeight="1">
      <c r="AB3495" s="9"/>
      <c r="AC3495" s="9"/>
      <c r="AD3495" s="9"/>
      <c r="AF3495" s="10"/>
      <c r="AG3495" s="10"/>
      <c r="AH3495" s="10"/>
      <c r="AI3495" s="10"/>
    </row>
    <row r="3496" spans="28:35" ht="15" hidden="1" customHeight="1">
      <c r="AB3496" s="9"/>
      <c r="AC3496" s="9"/>
      <c r="AD3496" s="9"/>
      <c r="AF3496" s="10"/>
      <c r="AG3496" s="10"/>
      <c r="AH3496" s="10"/>
      <c r="AI3496" s="10"/>
    </row>
    <row r="3497" spans="28:35" ht="15" hidden="1" customHeight="1">
      <c r="AB3497" s="9"/>
      <c r="AC3497" s="9"/>
      <c r="AD3497" s="9"/>
      <c r="AF3497" s="10"/>
      <c r="AG3497" s="10"/>
      <c r="AH3497" s="10"/>
      <c r="AI3497" s="10"/>
    </row>
    <row r="3498" spans="28:35" ht="15" hidden="1" customHeight="1">
      <c r="AB3498" s="9"/>
      <c r="AC3498" s="9"/>
      <c r="AD3498" s="9"/>
      <c r="AF3498" s="10"/>
      <c r="AG3498" s="10"/>
      <c r="AH3498" s="10"/>
      <c r="AI3498" s="10"/>
    </row>
    <row r="3499" spans="28:35" ht="15" hidden="1" customHeight="1">
      <c r="AB3499" s="9"/>
      <c r="AC3499" s="9"/>
      <c r="AD3499" s="9"/>
      <c r="AF3499" s="10"/>
      <c r="AG3499" s="10"/>
      <c r="AH3499" s="10"/>
      <c r="AI3499" s="10"/>
    </row>
    <row r="3500" spans="28:35" ht="15" hidden="1" customHeight="1">
      <c r="AB3500" s="9"/>
      <c r="AC3500" s="9"/>
      <c r="AD3500" s="9"/>
      <c r="AF3500" s="10"/>
      <c r="AG3500" s="10"/>
      <c r="AH3500" s="10"/>
      <c r="AI3500" s="10"/>
    </row>
    <row r="3501" spans="28:35" ht="15" hidden="1" customHeight="1">
      <c r="AB3501" s="9"/>
      <c r="AC3501" s="9"/>
      <c r="AD3501" s="9"/>
      <c r="AF3501" s="10"/>
      <c r="AG3501" s="10"/>
      <c r="AH3501" s="10"/>
      <c r="AI3501" s="10"/>
    </row>
    <row r="3502" spans="28:35" ht="15" hidden="1" customHeight="1">
      <c r="AB3502" s="9"/>
      <c r="AC3502" s="9"/>
      <c r="AD3502" s="9"/>
      <c r="AF3502" s="10"/>
      <c r="AG3502" s="10"/>
      <c r="AH3502" s="10"/>
      <c r="AI3502" s="10"/>
    </row>
    <row r="3503" spans="28:35" ht="15" hidden="1" customHeight="1">
      <c r="AB3503" s="9"/>
      <c r="AC3503" s="9"/>
      <c r="AD3503" s="9"/>
      <c r="AF3503" s="10"/>
      <c r="AG3503" s="10"/>
      <c r="AH3503" s="10"/>
      <c r="AI3503" s="10"/>
    </row>
    <row r="3504" spans="28:35" ht="15" hidden="1" customHeight="1">
      <c r="AB3504" s="9"/>
      <c r="AC3504" s="9"/>
      <c r="AD3504" s="9"/>
      <c r="AF3504" s="10"/>
      <c r="AG3504" s="10"/>
      <c r="AH3504" s="10"/>
      <c r="AI3504" s="10"/>
    </row>
    <row r="3505" spans="28:35" ht="15" hidden="1" customHeight="1">
      <c r="AB3505" s="9"/>
      <c r="AC3505" s="9"/>
      <c r="AD3505" s="9"/>
      <c r="AF3505" s="10"/>
      <c r="AG3505" s="10"/>
      <c r="AH3505" s="10"/>
      <c r="AI3505" s="10"/>
    </row>
    <row r="3506" spans="28:35" ht="15" hidden="1" customHeight="1">
      <c r="AB3506" s="9"/>
      <c r="AC3506" s="9"/>
      <c r="AD3506" s="9"/>
      <c r="AF3506" s="10"/>
      <c r="AG3506" s="10"/>
      <c r="AH3506" s="10"/>
      <c r="AI3506" s="10"/>
    </row>
    <row r="3507" spans="28:35" ht="15" hidden="1" customHeight="1">
      <c r="AB3507" s="9"/>
      <c r="AC3507" s="9"/>
      <c r="AD3507" s="9"/>
      <c r="AF3507" s="10"/>
      <c r="AG3507" s="10"/>
      <c r="AH3507" s="10"/>
      <c r="AI3507" s="10"/>
    </row>
    <row r="3508" spans="28:35" ht="15" hidden="1" customHeight="1">
      <c r="AB3508" s="9"/>
      <c r="AC3508" s="9"/>
      <c r="AD3508" s="9"/>
      <c r="AF3508" s="10"/>
      <c r="AG3508" s="10"/>
      <c r="AH3508" s="10"/>
      <c r="AI3508" s="10"/>
    </row>
    <row r="3509" spans="28:35" ht="15" hidden="1" customHeight="1">
      <c r="AB3509" s="9"/>
      <c r="AC3509" s="9"/>
      <c r="AD3509" s="9"/>
      <c r="AF3509" s="10"/>
      <c r="AG3509" s="10"/>
      <c r="AH3509" s="10"/>
      <c r="AI3509" s="10"/>
    </row>
    <row r="3510" spans="28:35" ht="15" hidden="1" customHeight="1">
      <c r="AB3510" s="9"/>
      <c r="AC3510" s="9"/>
      <c r="AD3510" s="9"/>
      <c r="AF3510" s="10"/>
      <c r="AG3510" s="10"/>
      <c r="AH3510" s="10"/>
      <c r="AI3510" s="10"/>
    </row>
    <row r="3511" spans="28:35" ht="15" hidden="1" customHeight="1">
      <c r="AB3511" s="9"/>
      <c r="AC3511" s="9"/>
      <c r="AD3511" s="9"/>
      <c r="AF3511" s="10"/>
      <c r="AG3511" s="10"/>
      <c r="AH3511" s="10"/>
      <c r="AI3511" s="10"/>
    </row>
    <row r="3512" spans="28:35" ht="15" hidden="1" customHeight="1">
      <c r="AB3512" s="9"/>
      <c r="AC3512" s="9"/>
      <c r="AD3512" s="9"/>
      <c r="AF3512" s="10"/>
      <c r="AG3512" s="10"/>
      <c r="AH3512" s="10"/>
      <c r="AI3512" s="10"/>
    </row>
    <row r="3513" spans="28:35" ht="15" hidden="1" customHeight="1">
      <c r="AB3513" s="9"/>
      <c r="AC3513" s="9"/>
      <c r="AD3513" s="9"/>
      <c r="AF3513" s="10"/>
      <c r="AG3513" s="10"/>
      <c r="AH3513" s="10"/>
      <c r="AI3513" s="10"/>
    </row>
    <row r="3514" spans="28:35" ht="15" hidden="1" customHeight="1">
      <c r="AB3514" s="9"/>
      <c r="AC3514" s="9"/>
      <c r="AD3514" s="9"/>
      <c r="AF3514" s="10"/>
      <c r="AG3514" s="10"/>
      <c r="AH3514" s="10"/>
      <c r="AI3514" s="10"/>
    </row>
    <row r="3515" spans="28:35" ht="15" hidden="1" customHeight="1">
      <c r="AB3515" s="9"/>
      <c r="AC3515" s="9"/>
      <c r="AD3515" s="9"/>
      <c r="AF3515" s="10"/>
      <c r="AG3515" s="10"/>
      <c r="AH3515" s="10"/>
      <c r="AI3515" s="10"/>
    </row>
    <row r="3516" spans="28:35" ht="15" hidden="1" customHeight="1">
      <c r="AB3516" s="9"/>
      <c r="AC3516" s="9"/>
      <c r="AD3516" s="9"/>
      <c r="AF3516" s="10"/>
      <c r="AG3516" s="10"/>
      <c r="AH3516" s="10"/>
      <c r="AI3516" s="10"/>
    </row>
    <row r="3517" spans="28:35" ht="15" hidden="1" customHeight="1">
      <c r="AB3517" s="9"/>
      <c r="AC3517" s="9"/>
      <c r="AD3517" s="9"/>
      <c r="AF3517" s="10"/>
      <c r="AG3517" s="10"/>
      <c r="AH3517" s="10"/>
      <c r="AI3517" s="10"/>
    </row>
    <row r="3518" spans="28:35" ht="15" hidden="1" customHeight="1">
      <c r="AB3518" s="9"/>
      <c r="AC3518" s="9"/>
      <c r="AD3518" s="9"/>
      <c r="AF3518" s="10"/>
      <c r="AG3518" s="10"/>
      <c r="AH3518" s="10"/>
      <c r="AI3518" s="10"/>
    </row>
    <row r="3519" spans="28:35" ht="15" hidden="1" customHeight="1">
      <c r="AB3519" s="9"/>
      <c r="AC3519" s="9"/>
      <c r="AD3519" s="9"/>
      <c r="AF3519" s="10"/>
      <c r="AG3519" s="10"/>
      <c r="AH3519" s="10"/>
      <c r="AI3519" s="10"/>
    </row>
    <row r="3520" spans="28:35" ht="15" hidden="1" customHeight="1">
      <c r="AB3520" s="9"/>
      <c r="AC3520" s="9"/>
      <c r="AD3520" s="9"/>
      <c r="AF3520" s="10"/>
      <c r="AG3520" s="10"/>
      <c r="AH3520" s="10"/>
      <c r="AI3520" s="10"/>
    </row>
    <row r="3521" spans="28:35" ht="15" hidden="1" customHeight="1">
      <c r="AB3521" s="9"/>
      <c r="AC3521" s="9"/>
      <c r="AD3521" s="9"/>
      <c r="AF3521" s="10"/>
      <c r="AG3521" s="10"/>
      <c r="AH3521" s="10"/>
      <c r="AI3521" s="10"/>
    </row>
    <row r="3522" spans="28:35" ht="15" hidden="1" customHeight="1">
      <c r="AB3522" s="9"/>
      <c r="AC3522" s="9"/>
      <c r="AD3522" s="9"/>
      <c r="AF3522" s="10"/>
      <c r="AG3522" s="10"/>
      <c r="AH3522" s="10"/>
      <c r="AI3522" s="10"/>
    </row>
    <row r="3523" spans="28:35" ht="15" hidden="1" customHeight="1">
      <c r="AB3523" s="9"/>
      <c r="AC3523" s="9"/>
      <c r="AD3523" s="9"/>
      <c r="AF3523" s="10"/>
      <c r="AG3523" s="10"/>
      <c r="AH3523" s="10"/>
      <c r="AI3523" s="10"/>
    </row>
    <row r="3524" spans="28:35" ht="15" hidden="1" customHeight="1">
      <c r="AB3524" s="9"/>
      <c r="AC3524" s="9"/>
      <c r="AD3524" s="9"/>
      <c r="AF3524" s="10"/>
      <c r="AG3524" s="10"/>
      <c r="AH3524" s="10"/>
      <c r="AI3524" s="10"/>
    </row>
    <row r="3525" spans="28:35" ht="15" hidden="1" customHeight="1">
      <c r="AB3525" s="9"/>
      <c r="AC3525" s="9"/>
      <c r="AD3525" s="9"/>
      <c r="AF3525" s="10"/>
      <c r="AG3525" s="10"/>
      <c r="AH3525" s="10"/>
      <c r="AI3525" s="10"/>
    </row>
    <row r="3526" spans="28:35" ht="15" hidden="1" customHeight="1">
      <c r="AB3526" s="9"/>
      <c r="AC3526" s="9"/>
      <c r="AD3526" s="9"/>
      <c r="AF3526" s="10"/>
      <c r="AG3526" s="10"/>
      <c r="AH3526" s="10"/>
      <c r="AI3526" s="10"/>
    </row>
    <row r="3527" spans="28:35" ht="15" hidden="1" customHeight="1">
      <c r="AB3527" s="9"/>
      <c r="AC3527" s="9"/>
      <c r="AD3527" s="9"/>
      <c r="AF3527" s="10"/>
      <c r="AG3527" s="10"/>
      <c r="AH3527" s="10"/>
      <c r="AI3527" s="10"/>
    </row>
    <row r="3528" spans="28:35" ht="15" hidden="1" customHeight="1">
      <c r="AB3528" s="9"/>
      <c r="AC3528" s="9"/>
      <c r="AD3528" s="9"/>
      <c r="AF3528" s="10"/>
      <c r="AG3528" s="10"/>
      <c r="AH3528" s="10"/>
      <c r="AI3528" s="10"/>
    </row>
    <row r="3529" spans="28:35" ht="15" hidden="1" customHeight="1">
      <c r="AB3529" s="9"/>
      <c r="AC3529" s="9"/>
      <c r="AD3529" s="9"/>
      <c r="AF3529" s="10"/>
      <c r="AG3529" s="10"/>
      <c r="AH3529" s="10"/>
      <c r="AI3529" s="10"/>
    </row>
    <row r="3530" spans="28:35" ht="15" hidden="1" customHeight="1">
      <c r="AB3530" s="9"/>
      <c r="AC3530" s="9"/>
      <c r="AD3530" s="9"/>
      <c r="AF3530" s="10"/>
      <c r="AG3530" s="10"/>
      <c r="AH3530" s="10"/>
      <c r="AI3530" s="10"/>
    </row>
    <row r="3531" spans="28:35" ht="15" hidden="1" customHeight="1">
      <c r="AB3531" s="9"/>
      <c r="AC3531" s="9"/>
      <c r="AD3531" s="9"/>
      <c r="AF3531" s="10"/>
      <c r="AG3531" s="10"/>
      <c r="AH3531" s="10"/>
      <c r="AI3531" s="10"/>
    </row>
    <row r="3532" spans="28:35" ht="15" hidden="1" customHeight="1">
      <c r="AB3532" s="9"/>
      <c r="AC3532" s="9"/>
      <c r="AD3532" s="9"/>
      <c r="AF3532" s="10"/>
      <c r="AG3532" s="10"/>
      <c r="AH3532" s="10"/>
      <c r="AI3532" s="10"/>
    </row>
    <row r="3533" spans="28:35" ht="15" hidden="1" customHeight="1">
      <c r="AB3533" s="9"/>
      <c r="AC3533" s="9"/>
      <c r="AD3533" s="9"/>
      <c r="AF3533" s="10"/>
      <c r="AG3533" s="10"/>
      <c r="AH3533" s="10"/>
      <c r="AI3533" s="10"/>
    </row>
    <row r="3534" spans="28:35" ht="15" hidden="1" customHeight="1">
      <c r="AB3534" s="9"/>
      <c r="AC3534" s="9"/>
      <c r="AD3534" s="9"/>
      <c r="AF3534" s="10"/>
      <c r="AG3534" s="10"/>
      <c r="AH3534" s="10"/>
      <c r="AI3534" s="10"/>
    </row>
    <row r="3535" spans="28:35" ht="15" hidden="1" customHeight="1">
      <c r="AB3535" s="9"/>
      <c r="AC3535" s="9"/>
      <c r="AD3535" s="9"/>
      <c r="AF3535" s="10"/>
      <c r="AG3535" s="10"/>
      <c r="AH3535" s="10"/>
      <c r="AI3535" s="10"/>
    </row>
    <row r="3536" spans="28:35" ht="15" hidden="1" customHeight="1">
      <c r="AB3536" s="9"/>
      <c r="AC3536" s="9"/>
      <c r="AD3536" s="9"/>
      <c r="AF3536" s="10"/>
      <c r="AG3536" s="10"/>
      <c r="AH3536" s="10"/>
      <c r="AI3536" s="10"/>
    </row>
    <row r="3537" spans="28:35" ht="15" hidden="1" customHeight="1">
      <c r="AB3537" s="9"/>
      <c r="AC3537" s="9"/>
      <c r="AD3537" s="9"/>
      <c r="AF3537" s="10"/>
      <c r="AG3537" s="10"/>
      <c r="AH3537" s="10"/>
      <c r="AI3537" s="10"/>
    </row>
    <row r="3538" spans="28:35" ht="15" hidden="1" customHeight="1">
      <c r="AB3538" s="9"/>
      <c r="AC3538" s="9"/>
      <c r="AD3538" s="9"/>
      <c r="AF3538" s="10"/>
      <c r="AG3538" s="10"/>
      <c r="AH3538" s="10"/>
      <c r="AI3538" s="10"/>
    </row>
    <row r="3539" spans="28:35" ht="15" hidden="1" customHeight="1">
      <c r="AB3539" s="9"/>
      <c r="AC3539" s="9"/>
      <c r="AD3539" s="9"/>
      <c r="AF3539" s="10"/>
      <c r="AG3539" s="10"/>
      <c r="AH3539" s="10"/>
      <c r="AI3539" s="10"/>
    </row>
    <row r="3540" spans="28:35" ht="15" hidden="1" customHeight="1">
      <c r="AB3540" s="9"/>
      <c r="AC3540" s="9"/>
      <c r="AD3540" s="9"/>
      <c r="AF3540" s="10"/>
      <c r="AG3540" s="10"/>
      <c r="AH3540" s="10"/>
      <c r="AI3540" s="10"/>
    </row>
    <row r="3541" spans="28:35" ht="15" hidden="1" customHeight="1">
      <c r="AB3541" s="9"/>
      <c r="AC3541" s="9"/>
      <c r="AD3541" s="9"/>
      <c r="AF3541" s="10"/>
      <c r="AG3541" s="10"/>
      <c r="AH3541" s="10"/>
      <c r="AI3541" s="10"/>
    </row>
    <row r="3542" spans="28:35" ht="15" hidden="1" customHeight="1">
      <c r="AB3542" s="9"/>
      <c r="AC3542" s="9"/>
      <c r="AD3542" s="9"/>
      <c r="AF3542" s="10"/>
      <c r="AG3542" s="10"/>
      <c r="AH3542" s="10"/>
      <c r="AI3542" s="10"/>
    </row>
    <row r="3543" spans="28:35" ht="15" hidden="1" customHeight="1">
      <c r="AB3543" s="9"/>
      <c r="AC3543" s="9"/>
      <c r="AD3543" s="9"/>
      <c r="AF3543" s="10"/>
      <c r="AG3543" s="10"/>
      <c r="AH3543" s="10"/>
      <c r="AI3543" s="10"/>
    </row>
    <row r="3544" spans="28:35" ht="15" hidden="1" customHeight="1">
      <c r="AB3544" s="9"/>
      <c r="AC3544" s="9"/>
      <c r="AD3544" s="9"/>
      <c r="AF3544" s="10"/>
      <c r="AG3544" s="10"/>
      <c r="AH3544" s="10"/>
      <c r="AI3544" s="10"/>
    </row>
    <row r="3545" spans="28:35" ht="15" hidden="1" customHeight="1">
      <c r="AB3545" s="9"/>
      <c r="AC3545" s="9"/>
      <c r="AD3545" s="9"/>
      <c r="AF3545" s="10"/>
      <c r="AG3545" s="10"/>
      <c r="AH3545" s="10"/>
      <c r="AI3545" s="10"/>
    </row>
    <row r="3546" spans="28:35" ht="15" hidden="1" customHeight="1">
      <c r="AB3546" s="9"/>
      <c r="AC3546" s="9"/>
      <c r="AD3546" s="9"/>
      <c r="AF3546" s="10"/>
      <c r="AG3546" s="10"/>
      <c r="AH3546" s="10"/>
      <c r="AI3546" s="10"/>
    </row>
    <row r="3547" spans="28:35" ht="15" hidden="1" customHeight="1">
      <c r="AB3547" s="9"/>
      <c r="AC3547" s="9"/>
      <c r="AD3547" s="9"/>
      <c r="AF3547" s="10"/>
      <c r="AG3547" s="10"/>
      <c r="AH3547" s="10"/>
      <c r="AI3547" s="10"/>
    </row>
    <row r="3548" spans="28:35" ht="15" hidden="1" customHeight="1">
      <c r="AB3548" s="9"/>
      <c r="AC3548" s="9"/>
      <c r="AD3548" s="9"/>
      <c r="AF3548" s="10"/>
      <c r="AG3548" s="10"/>
      <c r="AH3548" s="10"/>
      <c r="AI3548" s="10"/>
    </row>
    <row r="3549" spans="28:35" ht="15" hidden="1" customHeight="1">
      <c r="AB3549" s="9"/>
      <c r="AC3549" s="9"/>
      <c r="AD3549" s="9"/>
      <c r="AF3549" s="10"/>
      <c r="AG3549" s="10"/>
      <c r="AH3549" s="10"/>
      <c r="AI3549" s="10"/>
    </row>
    <row r="3550" spans="28:35" ht="15" hidden="1" customHeight="1">
      <c r="AB3550" s="9"/>
      <c r="AC3550" s="9"/>
      <c r="AD3550" s="9"/>
      <c r="AF3550" s="10"/>
      <c r="AG3550" s="10"/>
      <c r="AH3550" s="10"/>
      <c r="AI3550" s="10"/>
    </row>
    <row r="3551" spans="28:35" ht="15" hidden="1" customHeight="1">
      <c r="AB3551" s="9"/>
      <c r="AC3551" s="9"/>
      <c r="AD3551" s="9"/>
      <c r="AF3551" s="10"/>
      <c r="AG3551" s="10"/>
      <c r="AH3551" s="10"/>
      <c r="AI3551" s="10"/>
    </row>
    <row r="3552" spans="28:35" ht="15" hidden="1" customHeight="1">
      <c r="AB3552" s="9"/>
      <c r="AC3552" s="9"/>
      <c r="AD3552" s="9"/>
      <c r="AF3552" s="10"/>
      <c r="AG3552" s="10"/>
      <c r="AH3552" s="10"/>
      <c r="AI3552" s="10"/>
    </row>
    <row r="3553" spans="28:35" ht="15" hidden="1" customHeight="1">
      <c r="AB3553" s="9"/>
      <c r="AC3553" s="9"/>
      <c r="AD3553" s="9"/>
      <c r="AF3553" s="10"/>
      <c r="AG3553" s="10"/>
      <c r="AH3553" s="10"/>
      <c r="AI3553" s="10"/>
    </row>
    <row r="3554" spans="28:35" ht="15" hidden="1" customHeight="1">
      <c r="AB3554" s="9"/>
      <c r="AC3554" s="9"/>
      <c r="AD3554" s="9"/>
      <c r="AF3554" s="10"/>
      <c r="AG3554" s="10"/>
      <c r="AH3554" s="10"/>
      <c r="AI3554" s="10"/>
    </row>
    <row r="3555" spans="28:35" ht="15" hidden="1" customHeight="1">
      <c r="AB3555" s="9"/>
      <c r="AC3555" s="9"/>
      <c r="AD3555" s="9"/>
      <c r="AF3555" s="10"/>
      <c r="AG3555" s="10"/>
      <c r="AH3555" s="10"/>
      <c r="AI3555" s="10"/>
    </row>
    <row r="3556" spans="28:35" ht="15" hidden="1" customHeight="1">
      <c r="AB3556" s="9"/>
      <c r="AC3556" s="9"/>
      <c r="AD3556" s="9"/>
      <c r="AF3556" s="10"/>
      <c r="AG3556" s="10"/>
      <c r="AH3556" s="10"/>
      <c r="AI3556" s="10"/>
    </row>
    <row r="3557" spans="28:35" ht="15" hidden="1" customHeight="1">
      <c r="AB3557" s="9"/>
      <c r="AC3557" s="9"/>
      <c r="AD3557" s="9"/>
      <c r="AF3557" s="10"/>
      <c r="AG3557" s="10"/>
      <c r="AH3557" s="10"/>
      <c r="AI3557" s="10"/>
    </row>
    <row r="3558" spans="28:35" ht="15" hidden="1" customHeight="1">
      <c r="AB3558" s="9"/>
      <c r="AC3558" s="9"/>
      <c r="AD3558" s="9"/>
      <c r="AF3558" s="10"/>
      <c r="AG3558" s="10"/>
      <c r="AH3558" s="10"/>
      <c r="AI3558" s="10"/>
    </row>
    <row r="3559" spans="28:35" ht="15" hidden="1" customHeight="1">
      <c r="AB3559" s="9"/>
      <c r="AC3559" s="9"/>
      <c r="AD3559" s="9"/>
      <c r="AF3559" s="10"/>
      <c r="AG3559" s="10"/>
      <c r="AH3559" s="10"/>
      <c r="AI3559" s="10"/>
    </row>
    <row r="3560" spans="28:35" ht="15" hidden="1" customHeight="1">
      <c r="AB3560" s="9"/>
      <c r="AC3560" s="9"/>
      <c r="AD3560" s="9"/>
      <c r="AF3560" s="10"/>
      <c r="AG3560" s="10"/>
      <c r="AH3560" s="10"/>
      <c r="AI3560" s="10"/>
    </row>
    <row r="3561" spans="28:35" ht="15" hidden="1" customHeight="1">
      <c r="AB3561" s="9"/>
      <c r="AC3561" s="9"/>
      <c r="AD3561" s="9"/>
      <c r="AF3561" s="10"/>
      <c r="AG3561" s="10"/>
      <c r="AH3561" s="10"/>
      <c r="AI3561" s="10"/>
    </row>
    <row r="3562" spans="28:35" ht="15" hidden="1" customHeight="1">
      <c r="AB3562" s="9"/>
      <c r="AC3562" s="9"/>
      <c r="AD3562" s="9"/>
      <c r="AF3562" s="10"/>
      <c r="AG3562" s="10"/>
      <c r="AH3562" s="10"/>
      <c r="AI3562" s="10"/>
    </row>
    <row r="3563" spans="28:35" ht="15" hidden="1" customHeight="1">
      <c r="AB3563" s="9"/>
      <c r="AC3563" s="9"/>
      <c r="AD3563" s="9"/>
      <c r="AF3563" s="10"/>
      <c r="AG3563" s="10"/>
      <c r="AH3563" s="10"/>
      <c r="AI3563" s="10"/>
    </row>
    <row r="3564" spans="28:35" ht="15" hidden="1" customHeight="1">
      <c r="AB3564" s="9"/>
      <c r="AC3564" s="9"/>
      <c r="AD3564" s="9"/>
      <c r="AF3564" s="10"/>
      <c r="AG3564" s="10"/>
      <c r="AH3564" s="10"/>
      <c r="AI3564" s="10"/>
    </row>
    <row r="3565" spans="28:35" ht="15" hidden="1" customHeight="1">
      <c r="AB3565" s="9"/>
      <c r="AC3565" s="9"/>
      <c r="AD3565" s="9"/>
      <c r="AF3565" s="10"/>
      <c r="AG3565" s="10"/>
      <c r="AH3565" s="10"/>
      <c r="AI3565" s="10"/>
    </row>
    <row r="3566" spans="28:35" ht="15" hidden="1" customHeight="1">
      <c r="AB3566" s="9"/>
      <c r="AC3566" s="9"/>
      <c r="AD3566" s="9"/>
      <c r="AF3566" s="10"/>
      <c r="AG3566" s="10"/>
      <c r="AH3566" s="10"/>
      <c r="AI3566" s="10"/>
    </row>
    <row r="3567" spans="28:35" ht="15" hidden="1" customHeight="1">
      <c r="AB3567" s="9"/>
      <c r="AC3567" s="9"/>
      <c r="AD3567" s="9"/>
      <c r="AF3567" s="10"/>
      <c r="AG3567" s="10"/>
      <c r="AH3567" s="10"/>
      <c r="AI3567" s="10"/>
    </row>
    <row r="3568" spans="28:35" ht="15" hidden="1" customHeight="1">
      <c r="AB3568" s="9"/>
      <c r="AC3568" s="9"/>
      <c r="AD3568" s="9"/>
      <c r="AF3568" s="10"/>
      <c r="AG3568" s="10"/>
      <c r="AH3568" s="10"/>
      <c r="AI3568" s="10"/>
    </row>
    <row r="3569" spans="28:35" ht="15" hidden="1" customHeight="1">
      <c r="AB3569" s="9"/>
      <c r="AC3569" s="9"/>
      <c r="AD3569" s="9"/>
      <c r="AF3569" s="10"/>
      <c r="AG3569" s="10"/>
      <c r="AH3569" s="10"/>
      <c r="AI3569" s="10"/>
    </row>
    <row r="3570" spans="28:35" ht="15" hidden="1" customHeight="1">
      <c r="AB3570" s="9"/>
      <c r="AC3570" s="9"/>
      <c r="AD3570" s="9"/>
      <c r="AF3570" s="10"/>
      <c r="AG3570" s="10"/>
      <c r="AH3570" s="10"/>
      <c r="AI3570" s="10"/>
    </row>
    <row r="3571" spans="28:35" ht="15" hidden="1" customHeight="1">
      <c r="AB3571" s="9"/>
      <c r="AC3571" s="9"/>
      <c r="AD3571" s="9"/>
      <c r="AF3571" s="10"/>
      <c r="AG3571" s="10"/>
      <c r="AH3571" s="10"/>
      <c r="AI3571" s="10"/>
    </row>
    <row r="3572" spans="28:35" ht="15" hidden="1" customHeight="1">
      <c r="AB3572" s="9"/>
      <c r="AC3572" s="9"/>
      <c r="AD3572" s="9"/>
      <c r="AF3572" s="10"/>
      <c r="AG3572" s="10"/>
      <c r="AH3572" s="10"/>
      <c r="AI3572" s="10"/>
    </row>
    <row r="3573" spans="28:35" ht="15" hidden="1" customHeight="1">
      <c r="AB3573" s="9"/>
      <c r="AC3573" s="9"/>
      <c r="AD3573" s="9"/>
      <c r="AF3573" s="10"/>
      <c r="AG3573" s="10"/>
      <c r="AH3573" s="10"/>
      <c r="AI3573" s="10"/>
    </row>
    <row r="3574" spans="28:35" ht="15" hidden="1" customHeight="1">
      <c r="AB3574" s="9"/>
      <c r="AC3574" s="9"/>
      <c r="AD3574" s="9"/>
      <c r="AF3574" s="10"/>
      <c r="AG3574" s="10"/>
      <c r="AH3574" s="10"/>
      <c r="AI3574" s="10"/>
    </row>
    <row r="3575" spans="28:35" ht="15" hidden="1" customHeight="1">
      <c r="AB3575" s="9"/>
      <c r="AC3575" s="9"/>
      <c r="AD3575" s="9"/>
      <c r="AF3575" s="10"/>
      <c r="AG3575" s="10"/>
      <c r="AH3575" s="10"/>
      <c r="AI3575" s="10"/>
    </row>
    <row r="3576" spans="28:35" ht="15" hidden="1" customHeight="1">
      <c r="AB3576" s="9"/>
      <c r="AC3576" s="9"/>
      <c r="AD3576" s="9"/>
      <c r="AF3576" s="10"/>
      <c r="AG3576" s="10"/>
      <c r="AH3576" s="10"/>
      <c r="AI3576" s="10"/>
    </row>
    <row r="3577" spans="28:35" ht="15" hidden="1" customHeight="1">
      <c r="AB3577" s="9"/>
      <c r="AC3577" s="9"/>
      <c r="AD3577" s="9"/>
      <c r="AF3577" s="10"/>
      <c r="AG3577" s="10"/>
      <c r="AH3577" s="10"/>
      <c r="AI3577" s="10"/>
    </row>
    <row r="3578" spans="28:35" ht="15" hidden="1" customHeight="1">
      <c r="AB3578" s="9"/>
      <c r="AC3578" s="9"/>
      <c r="AD3578" s="9"/>
      <c r="AF3578" s="10"/>
      <c r="AG3578" s="10"/>
      <c r="AH3578" s="10"/>
      <c r="AI3578" s="10"/>
    </row>
    <row r="3579" spans="28:35" ht="15" hidden="1" customHeight="1">
      <c r="AB3579" s="9"/>
      <c r="AC3579" s="9"/>
      <c r="AD3579" s="9"/>
      <c r="AF3579" s="10"/>
      <c r="AG3579" s="10"/>
      <c r="AH3579" s="10"/>
      <c r="AI3579" s="10"/>
    </row>
    <row r="3580" spans="28:35" ht="15" hidden="1" customHeight="1">
      <c r="AB3580" s="9"/>
      <c r="AC3580" s="9"/>
      <c r="AD3580" s="9"/>
      <c r="AF3580" s="10"/>
      <c r="AG3580" s="10"/>
      <c r="AH3580" s="10"/>
      <c r="AI3580" s="10"/>
    </row>
    <row r="3581" spans="28:35" ht="15" hidden="1" customHeight="1">
      <c r="AB3581" s="9"/>
      <c r="AC3581" s="9"/>
      <c r="AD3581" s="9"/>
      <c r="AF3581" s="10"/>
      <c r="AG3581" s="10"/>
      <c r="AH3581" s="10"/>
      <c r="AI3581" s="10"/>
    </row>
    <row r="3582" spans="28:35" ht="15" hidden="1" customHeight="1">
      <c r="AB3582" s="9"/>
      <c r="AC3582" s="9"/>
      <c r="AD3582" s="9"/>
      <c r="AF3582" s="10"/>
      <c r="AG3582" s="10"/>
      <c r="AH3582" s="10"/>
      <c r="AI3582" s="10"/>
    </row>
    <row r="3583" spans="28:35" ht="15" hidden="1" customHeight="1">
      <c r="AB3583" s="9"/>
      <c r="AC3583" s="9"/>
      <c r="AD3583" s="9"/>
      <c r="AF3583" s="10"/>
      <c r="AG3583" s="10"/>
      <c r="AH3583" s="10"/>
      <c r="AI3583" s="10"/>
    </row>
    <row r="3584" spans="28:35" ht="15" hidden="1" customHeight="1">
      <c r="AB3584" s="9"/>
      <c r="AC3584" s="9"/>
      <c r="AD3584" s="9"/>
      <c r="AF3584" s="10"/>
      <c r="AG3584" s="10"/>
      <c r="AH3584" s="10"/>
      <c r="AI3584" s="10"/>
    </row>
    <row r="3585" spans="28:35" ht="15" hidden="1" customHeight="1">
      <c r="AB3585" s="9"/>
      <c r="AC3585" s="9"/>
      <c r="AD3585" s="9"/>
      <c r="AF3585" s="10"/>
      <c r="AG3585" s="10"/>
      <c r="AH3585" s="10"/>
      <c r="AI3585" s="10"/>
    </row>
    <row r="3586" spans="28:35" ht="15" hidden="1" customHeight="1">
      <c r="AB3586" s="9"/>
      <c r="AC3586" s="9"/>
      <c r="AD3586" s="9"/>
      <c r="AF3586" s="10"/>
      <c r="AG3586" s="10"/>
      <c r="AH3586" s="10"/>
      <c r="AI3586" s="10"/>
    </row>
    <row r="3587" spans="28:35" ht="15" hidden="1" customHeight="1">
      <c r="AB3587" s="9"/>
      <c r="AC3587" s="9"/>
      <c r="AD3587" s="9"/>
      <c r="AF3587" s="10"/>
      <c r="AG3587" s="10"/>
      <c r="AH3587" s="10"/>
      <c r="AI3587" s="10"/>
    </row>
    <row r="3588" spans="28:35" ht="15" hidden="1" customHeight="1">
      <c r="AB3588" s="9"/>
      <c r="AC3588" s="9"/>
      <c r="AD3588" s="9"/>
      <c r="AF3588" s="10"/>
      <c r="AG3588" s="10"/>
      <c r="AH3588" s="10"/>
      <c r="AI3588" s="10"/>
    </row>
    <row r="3589" spans="28:35" ht="15" hidden="1" customHeight="1">
      <c r="AB3589" s="9"/>
      <c r="AC3589" s="9"/>
      <c r="AD3589" s="9"/>
      <c r="AF3589" s="10"/>
      <c r="AG3589" s="10"/>
      <c r="AH3589" s="10"/>
      <c r="AI3589" s="10"/>
    </row>
    <row r="3590" spans="28:35" ht="15" hidden="1" customHeight="1">
      <c r="AB3590" s="9"/>
      <c r="AC3590" s="9"/>
      <c r="AD3590" s="9"/>
      <c r="AF3590" s="10"/>
      <c r="AG3590" s="10"/>
      <c r="AH3590" s="10"/>
      <c r="AI3590" s="10"/>
    </row>
    <row r="3591" spans="28:35" ht="15" hidden="1" customHeight="1">
      <c r="AB3591" s="9"/>
      <c r="AC3591" s="9"/>
      <c r="AD3591" s="9"/>
      <c r="AF3591" s="10"/>
      <c r="AG3591" s="10"/>
      <c r="AH3591" s="10"/>
      <c r="AI3591" s="10"/>
    </row>
    <row r="3592" spans="28:35" ht="15" hidden="1" customHeight="1">
      <c r="AB3592" s="9"/>
      <c r="AC3592" s="9"/>
      <c r="AD3592" s="9"/>
      <c r="AF3592" s="10"/>
      <c r="AG3592" s="10"/>
      <c r="AH3592" s="10"/>
      <c r="AI3592" s="10"/>
    </row>
    <row r="3593" spans="28:35" ht="15" hidden="1" customHeight="1">
      <c r="AB3593" s="9"/>
      <c r="AC3593" s="9"/>
      <c r="AD3593" s="9"/>
      <c r="AF3593" s="10"/>
      <c r="AG3593" s="10"/>
      <c r="AH3593" s="10"/>
      <c r="AI3593" s="10"/>
    </row>
    <row r="3594" spans="28:35" ht="15" hidden="1" customHeight="1">
      <c r="AB3594" s="9"/>
      <c r="AC3594" s="9"/>
      <c r="AD3594" s="9"/>
      <c r="AF3594" s="10"/>
      <c r="AG3594" s="10"/>
      <c r="AH3594" s="10"/>
      <c r="AI3594" s="10"/>
    </row>
    <row r="3595" spans="28:35" ht="15" hidden="1" customHeight="1">
      <c r="AB3595" s="9"/>
      <c r="AC3595" s="9"/>
      <c r="AD3595" s="9"/>
      <c r="AF3595" s="10"/>
      <c r="AG3595" s="10"/>
      <c r="AH3595" s="10"/>
      <c r="AI3595" s="10"/>
    </row>
    <row r="3596" spans="28:35" ht="15" hidden="1" customHeight="1">
      <c r="AB3596" s="9"/>
      <c r="AC3596" s="9"/>
      <c r="AD3596" s="9"/>
      <c r="AF3596" s="10"/>
      <c r="AG3596" s="10"/>
      <c r="AH3596" s="10"/>
      <c r="AI3596" s="10"/>
    </row>
    <row r="3597" spans="28:35" ht="15" hidden="1" customHeight="1">
      <c r="AB3597" s="9"/>
      <c r="AC3597" s="9"/>
      <c r="AD3597" s="9"/>
      <c r="AF3597" s="10"/>
      <c r="AG3597" s="10"/>
      <c r="AH3597" s="10"/>
      <c r="AI3597" s="10"/>
    </row>
    <row r="3598" spans="28:35" ht="15" hidden="1" customHeight="1">
      <c r="AB3598" s="9"/>
      <c r="AC3598" s="9"/>
      <c r="AD3598" s="9"/>
      <c r="AF3598" s="10"/>
      <c r="AG3598" s="10"/>
      <c r="AH3598" s="10"/>
      <c r="AI3598" s="10"/>
    </row>
    <row r="3599" spans="28:35" ht="15" hidden="1" customHeight="1">
      <c r="AB3599" s="9"/>
      <c r="AC3599" s="9"/>
      <c r="AD3599" s="9"/>
      <c r="AF3599" s="10"/>
      <c r="AG3599" s="10"/>
      <c r="AH3599" s="10"/>
      <c r="AI3599" s="10"/>
    </row>
    <row r="3600" spans="28:35" ht="15" hidden="1" customHeight="1">
      <c r="AB3600" s="9"/>
      <c r="AC3600" s="9"/>
      <c r="AD3600" s="9"/>
      <c r="AF3600" s="10"/>
      <c r="AG3600" s="10"/>
      <c r="AH3600" s="10"/>
      <c r="AI3600" s="10"/>
    </row>
    <row r="3601" spans="28:35" ht="15" hidden="1" customHeight="1">
      <c r="AB3601" s="9"/>
      <c r="AC3601" s="9"/>
      <c r="AD3601" s="9"/>
      <c r="AF3601" s="10"/>
      <c r="AG3601" s="10"/>
      <c r="AH3601" s="10"/>
      <c r="AI3601" s="10"/>
    </row>
    <row r="3602" spans="28:35" ht="15" hidden="1" customHeight="1">
      <c r="AB3602" s="9"/>
      <c r="AC3602" s="9"/>
      <c r="AD3602" s="9"/>
      <c r="AF3602" s="10"/>
      <c r="AG3602" s="10"/>
      <c r="AH3602" s="10"/>
      <c r="AI3602" s="10"/>
    </row>
    <row r="3603" spans="28:35" ht="15" hidden="1" customHeight="1">
      <c r="AB3603" s="9"/>
      <c r="AC3603" s="9"/>
      <c r="AD3603" s="9"/>
      <c r="AF3603" s="10"/>
      <c r="AG3603" s="10"/>
      <c r="AH3603" s="10"/>
      <c r="AI3603" s="10"/>
    </row>
    <row r="3604" spans="28:35" ht="15" hidden="1" customHeight="1">
      <c r="AB3604" s="9"/>
      <c r="AC3604" s="9"/>
      <c r="AD3604" s="9"/>
      <c r="AF3604" s="10"/>
      <c r="AG3604" s="10"/>
      <c r="AH3604" s="10"/>
      <c r="AI3604" s="10"/>
    </row>
    <row r="3605" spans="28:35" ht="15" hidden="1" customHeight="1">
      <c r="AB3605" s="9"/>
      <c r="AC3605" s="9"/>
      <c r="AD3605" s="9"/>
      <c r="AF3605" s="10"/>
      <c r="AG3605" s="10"/>
      <c r="AH3605" s="10"/>
      <c r="AI3605" s="10"/>
    </row>
    <row r="3606" spans="28:35" ht="15" hidden="1" customHeight="1">
      <c r="AB3606" s="9"/>
      <c r="AC3606" s="9"/>
      <c r="AD3606" s="9"/>
      <c r="AF3606" s="10"/>
      <c r="AG3606" s="10"/>
      <c r="AH3606" s="10"/>
      <c r="AI3606" s="10"/>
    </row>
    <row r="3607" spans="28:35" ht="15" hidden="1" customHeight="1">
      <c r="AB3607" s="9"/>
      <c r="AC3607" s="9"/>
      <c r="AD3607" s="9"/>
      <c r="AF3607" s="10"/>
      <c r="AG3607" s="10"/>
      <c r="AH3607" s="10"/>
      <c r="AI3607" s="10"/>
    </row>
    <row r="3608" spans="28:35" ht="15" hidden="1" customHeight="1">
      <c r="AB3608" s="9"/>
      <c r="AC3608" s="9"/>
      <c r="AD3608" s="9"/>
      <c r="AF3608" s="10"/>
      <c r="AG3608" s="10"/>
      <c r="AH3608" s="10"/>
      <c r="AI3608" s="10"/>
    </row>
    <row r="3609" spans="28:35" ht="15" hidden="1" customHeight="1">
      <c r="AB3609" s="9"/>
      <c r="AC3609" s="9"/>
      <c r="AD3609" s="9"/>
      <c r="AF3609" s="10"/>
      <c r="AG3609" s="10"/>
      <c r="AH3609" s="10"/>
      <c r="AI3609" s="10"/>
    </row>
    <row r="3610" spans="28:35" ht="15" hidden="1" customHeight="1">
      <c r="AB3610" s="9"/>
      <c r="AC3610" s="9"/>
      <c r="AD3610" s="9"/>
      <c r="AF3610" s="10"/>
      <c r="AG3610" s="10"/>
      <c r="AH3610" s="10"/>
      <c r="AI3610" s="10"/>
    </row>
    <row r="3611" spans="28:35" ht="15" hidden="1" customHeight="1">
      <c r="AB3611" s="9"/>
      <c r="AC3611" s="9"/>
      <c r="AD3611" s="9"/>
      <c r="AF3611" s="10"/>
      <c r="AG3611" s="10"/>
      <c r="AH3611" s="10"/>
      <c r="AI3611" s="10"/>
    </row>
    <row r="3612" spans="28:35" ht="15" hidden="1" customHeight="1">
      <c r="AB3612" s="9"/>
      <c r="AC3612" s="9"/>
      <c r="AD3612" s="9"/>
      <c r="AF3612" s="10"/>
      <c r="AG3612" s="10"/>
      <c r="AH3612" s="10"/>
      <c r="AI3612" s="10"/>
    </row>
    <row r="3613" spans="28:35" ht="15" hidden="1" customHeight="1">
      <c r="AB3613" s="9"/>
      <c r="AC3613" s="9"/>
      <c r="AD3613" s="9"/>
      <c r="AF3613" s="10"/>
      <c r="AG3613" s="10"/>
      <c r="AH3613" s="10"/>
      <c r="AI3613" s="10"/>
    </row>
    <row r="3614" spans="28:35" ht="15" hidden="1" customHeight="1">
      <c r="AB3614" s="9"/>
      <c r="AC3614" s="9"/>
      <c r="AD3614" s="9"/>
      <c r="AF3614" s="10"/>
      <c r="AG3614" s="10"/>
      <c r="AH3614" s="10"/>
      <c r="AI3614" s="10"/>
    </row>
    <row r="3615" spans="28:35" ht="15" hidden="1" customHeight="1">
      <c r="AB3615" s="9"/>
      <c r="AC3615" s="9"/>
      <c r="AD3615" s="9"/>
      <c r="AF3615" s="10"/>
      <c r="AG3615" s="10"/>
      <c r="AH3615" s="10"/>
      <c r="AI3615" s="10"/>
    </row>
    <row r="3616" spans="28:35" ht="15" hidden="1" customHeight="1">
      <c r="AB3616" s="9"/>
      <c r="AC3616" s="9"/>
      <c r="AD3616" s="9"/>
      <c r="AF3616" s="10"/>
      <c r="AG3616" s="10"/>
      <c r="AH3616" s="10"/>
      <c r="AI3616" s="10"/>
    </row>
    <row r="3617" spans="28:35" ht="15" hidden="1" customHeight="1">
      <c r="AB3617" s="9"/>
      <c r="AC3617" s="9"/>
      <c r="AD3617" s="9"/>
      <c r="AF3617" s="10"/>
      <c r="AG3617" s="10"/>
      <c r="AH3617" s="10"/>
      <c r="AI3617" s="10"/>
    </row>
    <row r="3618" spans="28:35" ht="15" hidden="1" customHeight="1">
      <c r="AB3618" s="9"/>
      <c r="AC3618" s="9"/>
      <c r="AD3618" s="9"/>
      <c r="AF3618" s="10"/>
      <c r="AG3618" s="10"/>
      <c r="AH3618" s="10"/>
      <c r="AI3618" s="10"/>
    </row>
    <row r="3619" spans="28:35" ht="15" hidden="1" customHeight="1">
      <c r="AB3619" s="9"/>
      <c r="AC3619" s="9"/>
      <c r="AD3619" s="9"/>
      <c r="AF3619" s="10"/>
      <c r="AG3619" s="10"/>
      <c r="AH3619" s="10"/>
      <c r="AI3619" s="10"/>
    </row>
    <row r="3620" spans="28:35" ht="15" hidden="1" customHeight="1">
      <c r="AB3620" s="9"/>
      <c r="AC3620" s="9"/>
      <c r="AD3620" s="9"/>
      <c r="AF3620" s="10"/>
      <c r="AG3620" s="10"/>
      <c r="AH3620" s="10"/>
      <c r="AI3620" s="10"/>
    </row>
    <row r="3621" spans="28:35" ht="15" hidden="1" customHeight="1">
      <c r="AB3621" s="9"/>
      <c r="AC3621" s="9"/>
      <c r="AD3621" s="9"/>
      <c r="AF3621" s="10"/>
      <c r="AG3621" s="10"/>
      <c r="AH3621" s="10"/>
      <c r="AI3621" s="10"/>
    </row>
    <row r="3622" spans="28:35" ht="15" hidden="1" customHeight="1">
      <c r="AB3622" s="9"/>
      <c r="AC3622" s="9"/>
      <c r="AD3622" s="9"/>
      <c r="AF3622" s="10"/>
      <c r="AG3622" s="10"/>
      <c r="AH3622" s="10"/>
      <c r="AI3622" s="10"/>
    </row>
    <row r="3623" spans="28:35" ht="15" hidden="1" customHeight="1">
      <c r="AB3623" s="9"/>
      <c r="AC3623" s="9"/>
      <c r="AD3623" s="9"/>
      <c r="AF3623" s="10"/>
      <c r="AG3623" s="10"/>
      <c r="AH3623" s="10"/>
      <c r="AI3623" s="10"/>
    </row>
    <row r="3624" spans="28:35" ht="15" hidden="1" customHeight="1">
      <c r="AB3624" s="9"/>
      <c r="AC3624" s="9"/>
      <c r="AD3624" s="9"/>
      <c r="AF3624" s="10"/>
      <c r="AG3624" s="10"/>
      <c r="AH3624" s="10"/>
      <c r="AI3624" s="10"/>
    </row>
    <row r="3625" spans="28:35" ht="15" hidden="1" customHeight="1">
      <c r="AB3625" s="9"/>
      <c r="AC3625" s="9"/>
      <c r="AD3625" s="9"/>
      <c r="AF3625" s="10"/>
      <c r="AG3625" s="10"/>
      <c r="AH3625" s="10"/>
      <c r="AI3625" s="10"/>
    </row>
    <row r="3626" spans="28:35" ht="15" hidden="1" customHeight="1">
      <c r="AB3626" s="9"/>
      <c r="AC3626" s="9"/>
      <c r="AD3626" s="9"/>
      <c r="AF3626" s="10"/>
      <c r="AG3626" s="10"/>
      <c r="AH3626" s="10"/>
      <c r="AI3626" s="10"/>
    </row>
    <row r="3627" spans="28:35" ht="15" hidden="1" customHeight="1">
      <c r="AB3627" s="9"/>
      <c r="AC3627" s="9"/>
      <c r="AD3627" s="9"/>
      <c r="AF3627" s="10"/>
      <c r="AG3627" s="10"/>
      <c r="AH3627" s="10"/>
      <c r="AI3627" s="10"/>
    </row>
    <row r="3628" spans="28:35" ht="15" hidden="1" customHeight="1">
      <c r="AB3628" s="9"/>
      <c r="AC3628" s="9"/>
      <c r="AD3628" s="9"/>
      <c r="AF3628" s="10"/>
      <c r="AG3628" s="10"/>
      <c r="AH3628" s="10"/>
      <c r="AI3628" s="10"/>
    </row>
    <row r="3629" spans="28:35" ht="15" hidden="1" customHeight="1">
      <c r="AB3629" s="9"/>
      <c r="AC3629" s="9"/>
      <c r="AD3629" s="9"/>
      <c r="AF3629" s="10"/>
      <c r="AG3629" s="10"/>
      <c r="AH3629" s="10"/>
      <c r="AI3629" s="10"/>
    </row>
    <row r="3630" spans="28:35" ht="15" hidden="1" customHeight="1">
      <c r="AB3630" s="9"/>
      <c r="AC3630" s="9"/>
      <c r="AD3630" s="9"/>
      <c r="AF3630" s="10"/>
      <c r="AG3630" s="10"/>
      <c r="AH3630" s="10"/>
      <c r="AI3630" s="10"/>
    </row>
    <row r="3631" spans="28:35" ht="15" hidden="1" customHeight="1">
      <c r="AB3631" s="9"/>
      <c r="AC3631" s="9"/>
      <c r="AD3631" s="9"/>
      <c r="AF3631" s="10"/>
      <c r="AG3631" s="10"/>
      <c r="AH3631" s="10"/>
      <c r="AI3631" s="10"/>
    </row>
    <row r="3632" spans="28:35" ht="15" hidden="1" customHeight="1">
      <c r="AB3632" s="9"/>
      <c r="AC3632" s="9"/>
      <c r="AD3632" s="9"/>
      <c r="AF3632" s="10"/>
      <c r="AG3632" s="10"/>
      <c r="AH3632" s="10"/>
      <c r="AI3632" s="10"/>
    </row>
    <row r="3633" spans="28:35" ht="15" hidden="1" customHeight="1">
      <c r="AB3633" s="9"/>
      <c r="AC3633" s="9"/>
      <c r="AD3633" s="9"/>
      <c r="AF3633" s="10"/>
      <c r="AG3633" s="10"/>
      <c r="AH3633" s="10"/>
      <c r="AI3633" s="10"/>
    </row>
    <row r="3634" spans="28:35" ht="15" hidden="1" customHeight="1">
      <c r="AB3634" s="9"/>
      <c r="AC3634" s="9"/>
      <c r="AD3634" s="9"/>
      <c r="AF3634" s="10"/>
      <c r="AG3634" s="10"/>
      <c r="AH3634" s="10"/>
      <c r="AI3634" s="10"/>
    </row>
    <row r="3635" spans="28:35" ht="15" hidden="1" customHeight="1">
      <c r="AB3635" s="9"/>
      <c r="AC3635" s="9"/>
      <c r="AD3635" s="9"/>
      <c r="AF3635" s="10"/>
      <c r="AG3635" s="10"/>
      <c r="AH3635" s="10"/>
      <c r="AI3635" s="10"/>
    </row>
    <row r="3636" spans="28:35" ht="15" hidden="1" customHeight="1">
      <c r="AB3636" s="9"/>
      <c r="AC3636" s="9"/>
      <c r="AD3636" s="9"/>
      <c r="AF3636" s="10"/>
      <c r="AG3636" s="10"/>
      <c r="AH3636" s="10"/>
      <c r="AI3636" s="10"/>
    </row>
    <row r="3637" spans="28:35" ht="15" hidden="1" customHeight="1">
      <c r="AB3637" s="9"/>
      <c r="AC3637" s="9"/>
      <c r="AD3637" s="9"/>
      <c r="AF3637" s="10"/>
      <c r="AG3637" s="10"/>
      <c r="AH3637" s="10"/>
      <c r="AI3637" s="10"/>
    </row>
    <row r="3638" spans="28:35" ht="15" hidden="1" customHeight="1">
      <c r="AB3638" s="9"/>
      <c r="AC3638" s="9"/>
      <c r="AD3638" s="9"/>
      <c r="AF3638" s="10"/>
      <c r="AG3638" s="10"/>
      <c r="AH3638" s="10"/>
      <c r="AI3638" s="10"/>
    </row>
    <row r="3639" spans="28:35" ht="15" hidden="1" customHeight="1">
      <c r="AB3639" s="9"/>
      <c r="AC3639" s="9"/>
      <c r="AD3639" s="9"/>
      <c r="AF3639" s="10"/>
      <c r="AG3639" s="10"/>
      <c r="AH3639" s="10"/>
      <c r="AI3639" s="10"/>
    </row>
    <row r="3640" spans="28:35" ht="15" hidden="1" customHeight="1">
      <c r="AB3640" s="9"/>
      <c r="AC3640" s="9"/>
      <c r="AD3640" s="9"/>
      <c r="AF3640" s="10"/>
      <c r="AG3640" s="10"/>
      <c r="AH3640" s="10"/>
      <c r="AI3640" s="10"/>
    </row>
    <row r="3641" spans="28:35" ht="15" hidden="1" customHeight="1">
      <c r="AB3641" s="9"/>
      <c r="AC3641" s="9"/>
      <c r="AD3641" s="9"/>
      <c r="AF3641" s="10"/>
      <c r="AG3641" s="10"/>
      <c r="AH3641" s="10"/>
      <c r="AI3641" s="10"/>
    </row>
    <row r="3642" spans="28:35" ht="15" hidden="1" customHeight="1">
      <c r="AB3642" s="9"/>
      <c r="AC3642" s="9"/>
      <c r="AD3642" s="9"/>
      <c r="AF3642" s="10"/>
      <c r="AG3642" s="10"/>
      <c r="AH3642" s="10"/>
      <c r="AI3642" s="10"/>
    </row>
    <row r="3643" spans="28:35" ht="15" hidden="1" customHeight="1">
      <c r="AB3643" s="9"/>
      <c r="AC3643" s="9"/>
      <c r="AD3643" s="9"/>
      <c r="AF3643" s="10"/>
      <c r="AG3643" s="10"/>
      <c r="AH3643" s="10"/>
      <c r="AI3643" s="10"/>
    </row>
    <row r="3644" spans="28:35" ht="15" hidden="1" customHeight="1">
      <c r="AB3644" s="9"/>
      <c r="AC3644" s="9"/>
      <c r="AD3644" s="9"/>
      <c r="AF3644" s="10"/>
      <c r="AG3644" s="10"/>
      <c r="AH3644" s="10"/>
      <c r="AI3644" s="10"/>
    </row>
    <row r="3645" spans="28:35" ht="15" hidden="1" customHeight="1">
      <c r="AB3645" s="9"/>
      <c r="AC3645" s="9"/>
      <c r="AD3645" s="9"/>
      <c r="AF3645" s="10"/>
      <c r="AG3645" s="10"/>
      <c r="AH3645" s="10"/>
      <c r="AI3645" s="10"/>
    </row>
    <row r="3646" spans="28:35" ht="15" hidden="1" customHeight="1">
      <c r="AB3646" s="9"/>
      <c r="AC3646" s="9"/>
      <c r="AD3646" s="9"/>
      <c r="AF3646" s="10"/>
      <c r="AG3646" s="10"/>
      <c r="AH3646" s="10"/>
      <c r="AI3646" s="10"/>
    </row>
    <row r="3647" spans="28:35" ht="15" hidden="1" customHeight="1">
      <c r="AB3647" s="9"/>
      <c r="AC3647" s="9"/>
      <c r="AD3647" s="9"/>
      <c r="AF3647" s="10"/>
      <c r="AG3647" s="10"/>
      <c r="AH3647" s="10"/>
      <c r="AI3647" s="10"/>
    </row>
    <row r="3648" spans="28:35" ht="15" hidden="1" customHeight="1">
      <c r="AB3648" s="9"/>
      <c r="AC3648" s="9"/>
      <c r="AD3648" s="9"/>
      <c r="AF3648" s="10"/>
      <c r="AG3648" s="10"/>
      <c r="AH3648" s="10"/>
      <c r="AI3648" s="10"/>
    </row>
    <row r="3649" spans="28:35" ht="15" hidden="1" customHeight="1">
      <c r="AB3649" s="9"/>
      <c r="AC3649" s="9"/>
      <c r="AD3649" s="9"/>
      <c r="AF3649" s="10"/>
      <c r="AG3649" s="10"/>
      <c r="AH3649" s="10"/>
      <c r="AI3649" s="10"/>
    </row>
    <row r="3650" spans="28:35" ht="15" hidden="1" customHeight="1">
      <c r="AB3650" s="9"/>
      <c r="AC3650" s="9"/>
      <c r="AD3650" s="9"/>
      <c r="AF3650" s="10"/>
      <c r="AG3650" s="10"/>
      <c r="AH3650" s="10"/>
      <c r="AI3650" s="10"/>
    </row>
    <row r="3651" spans="28:35" ht="15" hidden="1" customHeight="1">
      <c r="AB3651" s="9"/>
      <c r="AC3651" s="9"/>
      <c r="AD3651" s="9"/>
      <c r="AF3651" s="10"/>
      <c r="AG3651" s="10"/>
      <c r="AH3651" s="10"/>
      <c r="AI3651" s="10"/>
    </row>
    <row r="3652" spans="28:35" ht="15" hidden="1" customHeight="1">
      <c r="AB3652" s="9"/>
      <c r="AC3652" s="9"/>
      <c r="AD3652" s="9"/>
      <c r="AF3652" s="10"/>
      <c r="AG3652" s="10"/>
      <c r="AH3652" s="10"/>
      <c r="AI3652" s="10"/>
    </row>
    <row r="3653" spans="28:35" ht="15" hidden="1" customHeight="1">
      <c r="AB3653" s="9"/>
      <c r="AC3653" s="9"/>
      <c r="AD3653" s="9"/>
      <c r="AF3653" s="10"/>
      <c r="AG3653" s="10"/>
      <c r="AH3653" s="10"/>
      <c r="AI3653" s="10"/>
    </row>
    <row r="3654" spans="28:35" ht="15" hidden="1" customHeight="1">
      <c r="AB3654" s="9"/>
      <c r="AC3654" s="9"/>
      <c r="AD3654" s="9"/>
      <c r="AF3654" s="10"/>
      <c r="AG3654" s="10"/>
      <c r="AH3654" s="10"/>
      <c r="AI3654" s="10"/>
    </row>
    <row r="3655" spans="28:35" ht="15" hidden="1" customHeight="1">
      <c r="AB3655" s="9"/>
      <c r="AC3655" s="9"/>
      <c r="AD3655" s="9"/>
      <c r="AF3655" s="10"/>
      <c r="AG3655" s="10"/>
      <c r="AH3655" s="10"/>
      <c r="AI3655" s="10"/>
    </row>
    <row r="3656" spans="28:35" ht="15" hidden="1" customHeight="1">
      <c r="AB3656" s="9"/>
      <c r="AC3656" s="9"/>
      <c r="AD3656" s="9"/>
      <c r="AF3656" s="10"/>
      <c r="AG3656" s="10"/>
      <c r="AH3656" s="10"/>
      <c r="AI3656" s="10"/>
    </row>
    <row r="3657" spans="28:35" ht="15" hidden="1" customHeight="1">
      <c r="AB3657" s="9"/>
      <c r="AC3657" s="9"/>
      <c r="AD3657" s="9"/>
      <c r="AF3657" s="10"/>
      <c r="AG3657" s="10"/>
      <c r="AH3657" s="10"/>
      <c r="AI3657" s="10"/>
    </row>
    <row r="3658" spans="28:35" ht="15" hidden="1" customHeight="1">
      <c r="AB3658" s="9"/>
      <c r="AC3658" s="9"/>
      <c r="AD3658" s="9"/>
      <c r="AF3658" s="10"/>
      <c r="AG3658" s="10"/>
      <c r="AH3658" s="10"/>
      <c r="AI3658" s="10"/>
    </row>
    <row r="3659" spans="28:35" ht="15" hidden="1" customHeight="1">
      <c r="AB3659" s="9"/>
      <c r="AC3659" s="9"/>
      <c r="AD3659" s="9"/>
      <c r="AF3659" s="10"/>
      <c r="AG3659" s="10"/>
      <c r="AH3659" s="10"/>
      <c r="AI3659" s="10"/>
    </row>
    <row r="3660" spans="28:35" ht="15" hidden="1" customHeight="1">
      <c r="AB3660" s="9"/>
      <c r="AC3660" s="9"/>
      <c r="AD3660" s="9"/>
      <c r="AF3660" s="10"/>
      <c r="AG3660" s="10"/>
      <c r="AH3660" s="10"/>
      <c r="AI3660" s="10"/>
    </row>
    <row r="3661" spans="28:35" ht="15" hidden="1" customHeight="1">
      <c r="AB3661" s="9"/>
      <c r="AC3661" s="9"/>
      <c r="AD3661" s="9"/>
      <c r="AF3661" s="10"/>
      <c r="AG3661" s="10"/>
      <c r="AH3661" s="10"/>
      <c r="AI3661" s="10"/>
    </row>
    <row r="3662" spans="28:35" ht="15" hidden="1" customHeight="1">
      <c r="AB3662" s="9"/>
      <c r="AC3662" s="9"/>
      <c r="AD3662" s="9"/>
      <c r="AF3662" s="10"/>
      <c r="AG3662" s="10"/>
      <c r="AH3662" s="10"/>
      <c r="AI3662" s="10"/>
    </row>
    <row r="3663" spans="28:35" ht="15" hidden="1" customHeight="1">
      <c r="AB3663" s="9"/>
      <c r="AC3663" s="9"/>
      <c r="AD3663" s="9"/>
      <c r="AF3663" s="10"/>
      <c r="AG3663" s="10"/>
      <c r="AH3663" s="10"/>
      <c r="AI3663" s="10"/>
    </row>
    <row r="3664" spans="28:35" ht="15" hidden="1" customHeight="1">
      <c r="AB3664" s="9"/>
      <c r="AC3664" s="9"/>
      <c r="AD3664" s="9"/>
      <c r="AF3664" s="10"/>
      <c r="AG3664" s="10"/>
      <c r="AH3664" s="10"/>
      <c r="AI3664" s="10"/>
    </row>
    <row r="3665" spans="28:35" ht="15" hidden="1" customHeight="1">
      <c r="AB3665" s="9"/>
      <c r="AC3665" s="9"/>
      <c r="AD3665" s="9"/>
      <c r="AF3665" s="10"/>
      <c r="AG3665" s="10"/>
      <c r="AH3665" s="10"/>
      <c r="AI3665" s="10"/>
    </row>
    <row r="3666" spans="28:35" ht="15" hidden="1" customHeight="1">
      <c r="AB3666" s="9"/>
      <c r="AC3666" s="9"/>
      <c r="AD3666" s="9"/>
      <c r="AF3666" s="10"/>
      <c r="AG3666" s="10"/>
      <c r="AH3666" s="10"/>
      <c r="AI3666" s="10"/>
    </row>
    <row r="3667" spans="28:35" ht="15" hidden="1" customHeight="1">
      <c r="AB3667" s="9"/>
      <c r="AC3667" s="9"/>
      <c r="AD3667" s="9"/>
      <c r="AF3667" s="10"/>
      <c r="AG3667" s="10"/>
      <c r="AH3667" s="10"/>
      <c r="AI3667" s="10"/>
    </row>
    <row r="3668" spans="28:35" ht="15" hidden="1" customHeight="1">
      <c r="AB3668" s="9"/>
      <c r="AC3668" s="9"/>
      <c r="AD3668" s="9"/>
      <c r="AF3668" s="10"/>
      <c r="AG3668" s="10"/>
      <c r="AH3668" s="10"/>
      <c r="AI3668" s="10"/>
    </row>
    <row r="3669" spans="28:35" ht="15" hidden="1" customHeight="1">
      <c r="AB3669" s="9"/>
      <c r="AC3669" s="9"/>
      <c r="AD3669" s="9"/>
      <c r="AF3669" s="10"/>
      <c r="AG3669" s="10"/>
      <c r="AH3669" s="10"/>
      <c r="AI3669" s="10"/>
    </row>
    <row r="3670" spans="28:35" ht="15" hidden="1" customHeight="1">
      <c r="AB3670" s="9"/>
      <c r="AC3670" s="9"/>
      <c r="AD3670" s="9"/>
      <c r="AF3670" s="10"/>
      <c r="AG3670" s="10"/>
      <c r="AH3670" s="10"/>
      <c r="AI3670" s="10"/>
    </row>
    <row r="3671" spans="28:35" ht="15" hidden="1" customHeight="1">
      <c r="AB3671" s="9"/>
      <c r="AC3671" s="9"/>
      <c r="AD3671" s="9"/>
      <c r="AF3671" s="10"/>
      <c r="AG3671" s="10"/>
      <c r="AH3671" s="10"/>
      <c r="AI3671" s="10"/>
    </row>
    <row r="3672" spans="28:35" ht="15" hidden="1" customHeight="1">
      <c r="AB3672" s="9"/>
      <c r="AC3672" s="9"/>
      <c r="AD3672" s="9"/>
      <c r="AF3672" s="10"/>
      <c r="AG3672" s="10"/>
      <c r="AH3672" s="10"/>
      <c r="AI3672" s="10"/>
    </row>
    <row r="3673" spans="28:35" ht="15" hidden="1" customHeight="1">
      <c r="AB3673" s="9"/>
      <c r="AC3673" s="9"/>
      <c r="AD3673" s="9"/>
      <c r="AF3673" s="10"/>
      <c r="AG3673" s="10"/>
      <c r="AH3673" s="10"/>
      <c r="AI3673" s="10"/>
    </row>
    <row r="3674" spans="28:35" ht="15" hidden="1" customHeight="1">
      <c r="AB3674" s="9"/>
      <c r="AC3674" s="9"/>
      <c r="AD3674" s="9"/>
      <c r="AF3674" s="10"/>
      <c r="AG3674" s="10"/>
      <c r="AH3674" s="10"/>
      <c r="AI3674" s="10"/>
    </row>
    <row r="3675" spans="28:35" ht="15" hidden="1" customHeight="1">
      <c r="AB3675" s="9"/>
      <c r="AC3675" s="9"/>
      <c r="AD3675" s="9"/>
      <c r="AF3675" s="10"/>
      <c r="AG3675" s="10"/>
      <c r="AH3675" s="10"/>
      <c r="AI3675" s="10"/>
    </row>
    <row r="3676" spans="28:35" ht="15" hidden="1" customHeight="1">
      <c r="AB3676" s="9"/>
      <c r="AC3676" s="9"/>
      <c r="AD3676" s="9"/>
      <c r="AF3676" s="10"/>
      <c r="AG3676" s="10"/>
      <c r="AH3676" s="10"/>
      <c r="AI3676" s="10"/>
    </row>
    <row r="3677" spans="28:35" ht="15" hidden="1" customHeight="1">
      <c r="AB3677" s="9"/>
      <c r="AC3677" s="9"/>
      <c r="AD3677" s="9"/>
      <c r="AF3677" s="10"/>
      <c r="AG3677" s="10"/>
      <c r="AH3677" s="10"/>
      <c r="AI3677" s="10"/>
    </row>
    <row r="3678" spans="28:35" ht="15" hidden="1" customHeight="1">
      <c r="AB3678" s="9"/>
      <c r="AC3678" s="9"/>
      <c r="AD3678" s="9"/>
      <c r="AF3678" s="10"/>
      <c r="AG3678" s="10"/>
      <c r="AH3678" s="10"/>
      <c r="AI3678" s="10"/>
    </row>
    <row r="3679" spans="28:35" ht="15" hidden="1" customHeight="1">
      <c r="AB3679" s="9"/>
      <c r="AC3679" s="9"/>
      <c r="AD3679" s="9"/>
      <c r="AF3679" s="10"/>
      <c r="AG3679" s="10"/>
      <c r="AH3679" s="10"/>
      <c r="AI3679" s="10"/>
    </row>
    <row r="3680" spans="28:35" ht="15" hidden="1" customHeight="1">
      <c r="AB3680" s="9"/>
      <c r="AC3680" s="9"/>
      <c r="AD3680" s="9"/>
      <c r="AF3680" s="10"/>
      <c r="AG3680" s="10"/>
      <c r="AH3680" s="10"/>
      <c r="AI3680" s="10"/>
    </row>
    <row r="3681" spans="28:35" ht="15" hidden="1" customHeight="1">
      <c r="AB3681" s="9"/>
      <c r="AC3681" s="9"/>
      <c r="AD3681" s="9"/>
      <c r="AF3681" s="10"/>
      <c r="AG3681" s="10"/>
      <c r="AH3681" s="10"/>
      <c r="AI3681" s="10"/>
    </row>
    <row r="3682" spans="28:35" ht="15" hidden="1" customHeight="1">
      <c r="AB3682" s="9"/>
      <c r="AC3682" s="9"/>
      <c r="AD3682" s="9"/>
      <c r="AF3682" s="10"/>
      <c r="AG3682" s="10"/>
      <c r="AH3682" s="10"/>
      <c r="AI3682" s="10"/>
    </row>
    <row r="3683" spans="28:35" ht="15" hidden="1" customHeight="1">
      <c r="AB3683" s="9"/>
      <c r="AC3683" s="9"/>
      <c r="AD3683" s="9"/>
      <c r="AF3683" s="10"/>
      <c r="AG3683" s="10"/>
      <c r="AH3683" s="10"/>
      <c r="AI3683" s="10"/>
    </row>
    <row r="3684" spans="28:35" ht="15" hidden="1" customHeight="1">
      <c r="AB3684" s="9"/>
      <c r="AC3684" s="9"/>
      <c r="AD3684" s="9"/>
      <c r="AF3684" s="10"/>
      <c r="AG3684" s="10"/>
      <c r="AH3684" s="10"/>
      <c r="AI3684" s="10"/>
    </row>
    <row r="3685" spans="28:35" ht="15" hidden="1" customHeight="1">
      <c r="AB3685" s="9"/>
      <c r="AC3685" s="9"/>
      <c r="AD3685" s="9"/>
      <c r="AF3685" s="10"/>
      <c r="AG3685" s="10"/>
      <c r="AH3685" s="10"/>
      <c r="AI3685" s="10"/>
    </row>
    <row r="3686" spans="28:35" ht="15" hidden="1" customHeight="1">
      <c r="AB3686" s="9"/>
      <c r="AC3686" s="9"/>
      <c r="AD3686" s="9"/>
      <c r="AF3686" s="10"/>
      <c r="AG3686" s="10"/>
      <c r="AH3686" s="10"/>
      <c r="AI3686" s="10"/>
    </row>
    <row r="3687" spans="28:35" ht="15" hidden="1" customHeight="1">
      <c r="AB3687" s="9"/>
      <c r="AC3687" s="9"/>
      <c r="AD3687" s="9"/>
      <c r="AF3687" s="10"/>
      <c r="AG3687" s="10"/>
      <c r="AH3687" s="10"/>
      <c r="AI3687" s="10"/>
    </row>
    <row r="3688" spans="28:35" ht="15" hidden="1" customHeight="1">
      <c r="AB3688" s="9"/>
      <c r="AC3688" s="9"/>
      <c r="AD3688" s="9"/>
      <c r="AF3688" s="10"/>
      <c r="AG3688" s="10"/>
      <c r="AH3688" s="10"/>
      <c r="AI3688" s="10"/>
    </row>
    <row r="3689" spans="28:35" ht="15" hidden="1" customHeight="1">
      <c r="AB3689" s="9"/>
      <c r="AC3689" s="9"/>
      <c r="AD3689" s="9"/>
      <c r="AF3689" s="10"/>
      <c r="AG3689" s="10"/>
      <c r="AH3689" s="10"/>
      <c r="AI3689" s="10"/>
    </row>
    <row r="3690" spans="28:35" ht="15" hidden="1" customHeight="1">
      <c r="AB3690" s="9"/>
      <c r="AC3690" s="9"/>
      <c r="AD3690" s="9"/>
      <c r="AF3690" s="10"/>
      <c r="AG3690" s="10"/>
      <c r="AH3690" s="10"/>
      <c r="AI3690" s="10"/>
    </row>
    <row r="3691" spans="28:35" ht="15" hidden="1" customHeight="1">
      <c r="AB3691" s="9"/>
      <c r="AC3691" s="9"/>
      <c r="AD3691" s="9"/>
      <c r="AF3691" s="10"/>
      <c r="AG3691" s="10"/>
      <c r="AH3691" s="10"/>
      <c r="AI3691" s="10"/>
    </row>
    <row r="3692" spans="28:35" ht="15" hidden="1" customHeight="1">
      <c r="AB3692" s="9"/>
      <c r="AC3692" s="9"/>
      <c r="AD3692" s="9"/>
      <c r="AF3692" s="10"/>
      <c r="AG3692" s="10"/>
      <c r="AH3692" s="10"/>
      <c r="AI3692" s="10"/>
    </row>
    <row r="3693" spans="28:35" ht="15" hidden="1" customHeight="1">
      <c r="AB3693" s="9"/>
      <c r="AC3693" s="9"/>
      <c r="AD3693" s="9"/>
      <c r="AF3693" s="10"/>
      <c r="AG3693" s="10"/>
      <c r="AH3693" s="10"/>
      <c r="AI3693" s="10"/>
    </row>
    <row r="3694" spans="28:35" ht="15" hidden="1" customHeight="1">
      <c r="AB3694" s="9"/>
      <c r="AC3694" s="9"/>
      <c r="AD3694" s="9"/>
      <c r="AF3694" s="10"/>
      <c r="AG3694" s="10"/>
      <c r="AH3694" s="10"/>
      <c r="AI3694" s="10"/>
    </row>
    <row r="3695" spans="28:35" ht="15" hidden="1" customHeight="1">
      <c r="AB3695" s="9"/>
      <c r="AC3695" s="9"/>
      <c r="AD3695" s="9"/>
      <c r="AF3695" s="10"/>
      <c r="AG3695" s="10"/>
      <c r="AH3695" s="10"/>
      <c r="AI3695" s="10"/>
    </row>
    <row r="3696" spans="28:35" ht="15" hidden="1" customHeight="1">
      <c r="AB3696" s="9"/>
      <c r="AC3696" s="9"/>
      <c r="AD3696" s="9"/>
      <c r="AF3696" s="10"/>
      <c r="AG3696" s="10"/>
      <c r="AH3696" s="10"/>
      <c r="AI3696" s="10"/>
    </row>
    <row r="3697" spans="28:35" ht="15" hidden="1" customHeight="1">
      <c r="AB3697" s="9"/>
      <c r="AC3697" s="9"/>
      <c r="AD3697" s="9"/>
      <c r="AF3697" s="10"/>
      <c r="AG3697" s="10"/>
      <c r="AH3697" s="10"/>
      <c r="AI3697" s="10"/>
    </row>
    <row r="3698" spans="28:35" ht="15" hidden="1" customHeight="1">
      <c r="AB3698" s="9"/>
      <c r="AC3698" s="9"/>
      <c r="AD3698" s="9"/>
      <c r="AF3698" s="10"/>
      <c r="AG3698" s="10"/>
      <c r="AH3698" s="10"/>
      <c r="AI3698" s="10"/>
    </row>
    <row r="3699" spans="28:35" ht="15" hidden="1" customHeight="1">
      <c r="AB3699" s="9"/>
      <c r="AC3699" s="9"/>
      <c r="AD3699" s="9"/>
      <c r="AF3699" s="10"/>
      <c r="AG3699" s="10"/>
      <c r="AH3699" s="10"/>
      <c r="AI3699" s="10"/>
    </row>
    <row r="3700" spans="28:35" ht="15" hidden="1" customHeight="1">
      <c r="AB3700" s="9"/>
      <c r="AC3700" s="9"/>
      <c r="AD3700" s="9"/>
      <c r="AF3700" s="10"/>
      <c r="AG3700" s="10"/>
      <c r="AH3700" s="10"/>
      <c r="AI3700" s="10"/>
    </row>
    <row r="3701" spans="28:35" ht="15" hidden="1" customHeight="1">
      <c r="AB3701" s="9"/>
      <c r="AC3701" s="9"/>
      <c r="AD3701" s="9"/>
      <c r="AF3701" s="10"/>
      <c r="AG3701" s="10"/>
      <c r="AH3701" s="10"/>
      <c r="AI3701" s="10"/>
    </row>
    <row r="3702" spans="28:35" ht="15" hidden="1" customHeight="1">
      <c r="AB3702" s="9"/>
      <c r="AC3702" s="9"/>
      <c r="AD3702" s="9"/>
      <c r="AF3702" s="10"/>
      <c r="AG3702" s="10"/>
      <c r="AH3702" s="10"/>
      <c r="AI3702" s="10"/>
    </row>
    <row r="3703" spans="28:35" ht="15" hidden="1" customHeight="1">
      <c r="AB3703" s="9"/>
      <c r="AC3703" s="9"/>
      <c r="AD3703" s="9"/>
      <c r="AF3703" s="10"/>
      <c r="AG3703" s="10"/>
      <c r="AH3703" s="10"/>
      <c r="AI3703" s="10"/>
    </row>
    <row r="3704" spans="28:35" ht="15" hidden="1" customHeight="1">
      <c r="AB3704" s="9"/>
      <c r="AC3704" s="9"/>
      <c r="AD3704" s="9"/>
      <c r="AF3704" s="10"/>
      <c r="AG3704" s="10"/>
      <c r="AH3704" s="10"/>
      <c r="AI3704" s="10"/>
    </row>
    <row r="3705" spans="28:35" ht="15" hidden="1" customHeight="1">
      <c r="AB3705" s="9"/>
      <c r="AC3705" s="9"/>
      <c r="AD3705" s="9"/>
      <c r="AF3705" s="10"/>
      <c r="AG3705" s="10"/>
      <c r="AH3705" s="10"/>
      <c r="AI3705" s="10"/>
    </row>
    <row r="3706" spans="28:35" ht="15" hidden="1" customHeight="1">
      <c r="AB3706" s="9"/>
      <c r="AC3706" s="9"/>
      <c r="AD3706" s="9"/>
      <c r="AF3706" s="10"/>
      <c r="AG3706" s="10"/>
      <c r="AH3706" s="10"/>
      <c r="AI3706" s="10"/>
    </row>
    <row r="3707" spans="28:35" ht="15" hidden="1" customHeight="1">
      <c r="AB3707" s="9"/>
      <c r="AC3707" s="9"/>
      <c r="AD3707" s="9"/>
      <c r="AF3707" s="10"/>
      <c r="AG3707" s="10"/>
      <c r="AH3707" s="10"/>
      <c r="AI3707" s="10"/>
    </row>
    <row r="3708" spans="28:35" ht="15" hidden="1" customHeight="1">
      <c r="AB3708" s="9"/>
      <c r="AC3708" s="9"/>
      <c r="AD3708" s="9"/>
      <c r="AF3708" s="10"/>
      <c r="AG3708" s="10"/>
      <c r="AH3708" s="10"/>
      <c r="AI3708" s="10"/>
    </row>
    <row r="3709" spans="28:35" ht="15" hidden="1" customHeight="1">
      <c r="AB3709" s="9"/>
      <c r="AC3709" s="9"/>
      <c r="AD3709" s="9"/>
      <c r="AF3709" s="10"/>
      <c r="AG3709" s="10"/>
      <c r="AH3709" s="10"/>
      <c r="AI3709" s="10"/>
    </row>
    <row r="3710" spans="28:35" ht="15" hidden="1" customHeight="1">
      <c r="AB3710" s="9"/>
      <c r="AC3710" s="9"/>
      <c r="AD3710" s="9"/>
      <c r="AF3710" s="10"/>
      <c r="AG3710" s="10"/>
      <c r="AH3710" s="10"/>
      <c r="AI3710" s="10"/>
    </row>
    <row r="3711" spans="28:35" ht="15" hidden="1" customHeight="1">
      <c r="AB3711" s="9"/>
      <c r="AC3711" s="9"/>
      <c r="AD3711" s="9"/>
      <c r="AF3711" s="10"/>
      <c r="AG3711" s="10"/>
      <c r="AH3711" s="10"/>
      <c r="AI3711" s="10"/>
    </row>
    <row r="3712" spans="28:35" ht="15" hidden="1" customHeight="1">
      <c r="AB3712" s="9"/>
      <c r="AC3712" s="9"/>
      <c r="AD3712" s="9"/>
      <c r="AF3712" s="10"/>
      <c r="AG3712" s="10"/>
      <c r="AH3712" s="10"/>
      <c r="AI3712" s="10"/>
    </row>
    <row r="3713" spans="28:35" ht="15" hidden="1" customHeight="1">
      <c r="AB3713" s="9"/>
      <c r="AC3713" s="9"/>
      <c r="AD3713" s="9"/>
      <c r="AF3713" s="10"/>
      <c r="AG3713" s="10"/>
      <c r="AH3713" s="10"/>
      <c r="AI3713" s="10"/>
    </row>
    <row r="3714" spans="28:35" ht="15" hidden="1" customHeight="1">
      <c r="AB3714" s="9"/>
      <c r="AC3714" s="9"/>
      <c r="AD3714" s="9"/>
      <c r="AF3714" s="10"/>
      <c r="AG3714" s="10"/>
      <c r="AH3714" s="10"/>
      <c r="AI3714" s="10"/>
    </row>
    <row r="3715" spans="28:35" ht="15" hidden="1" customHeight="1">
      <c r="AB3715" s="9"/>
      <c r="AC3715" s="9"/>
      <c r="AD3715" s="9"/>
      <c r="AF3715" s="10"/>
      <c r="AG3715" s="10"/>
      <c r="AH3715" s="10"/>
      <c r="AI3715" s="10"/>
    </row>
    <row r="3716" spans="28:35" ht="15" hidden="1" customHeight="1">
      <c r="AB3716" s="9"/>
      <c r="AC3716" s="9"/>
      <c r="AD3716" s="9"/>
      <c r="AF3716" s="10"/>
      <c r="AG3716" s="10"/>
      <c r="AH3716" s="10"/>
      <c r="AI3716" s="10"/>
    </row>
    <row r="3717" spans="28:35" ht="15" hidden="1" customHeight="1">
      <c r="AB3717" s="9"/>
      <c r="AC3717" s="9"/>
      <c r="AD3717" s="9"/>
      <c r="AF3717" s="10"/>
      <c r="AG3717" s="10"/>
      <c r="AH3717" s="10"/>
      <c r="AI3717" s="10"/>
    </row>
    <row r="3718" spans="28:35" ht="15" hidden="1" customHeight="1">
      <c r="AB3718" s="9"/>
      <c r="AC3718" s="9"/>
      <c r="AD3718" s="9"/>
      <c r="AF3718" s="10"/>
      <c r="AG3718" s="10"/>
      <c r="AH3718" s="10"/>
      <c r="AI3718" s="10"/>
    </row>
    <row r="3719" spans="28:35" ht="15" hidden="1" customHeight="1">
      <c r="AB3719" s="9"/>
      <c r="AC3719" s="9"/>
      <c r="AD3719" s="9"/>
      <c r="AF3719" s="10"/>
      <c r="AG3719" s="10"/>
      <c r="AH3719" s="10"/>
      <c r="AI3719" s="10"/>
    </row>
    <row r="3720" spans="28:35" ht="15" hidden="1" customHeight="1">
      <c r="AB3720" s="9"/>
      <c r="AC3720" s="9"/>
      <c r="AD3720" s="9"/>
      <c r="AF3720" s="10"/>
      <c r="AG3720" s="10"/>
      <c r="AH3720" s="10"/>
      <c r="AI3720" s="10"/>
    </row>
    <row r="3721" spans="28:35" ht="15" hidden="1" customHeight="1">
      <c r="AB3721" s="9"/>
      <c r="AC3721" s="9"/>
      <c r="AD3721" s="9"/>
      <c r="AF3721" s="10"/>
      <c r="AG3721" s="10"/>
      <c r="AH3721" s="10"/>
      <c r="AI3721" s="10"/>
    </row>
    <row r="3722" spans="28:35" ht="15" hidden="1" customHeight="1">
      <c r="AB3722" s="9"/>
      <c r="AC3722" s="9"/>
      <c r="AD3722" s="9"/>
      <c r="AF3722" s="10"/>
      <c r="AG3722" s="10"/>
      <c r="AH3722" s="10"/>
      <c r="AI3722" s="10"/>
    </row>
    <row r="3723" spans="28:35" ht="15" hidden="1" customHeight="1">
      <c r="AB3723" s="9"/>
      <c r="AC3723" s="9"/>
      <c r="AD3723" s="9"/>
      <c r="AF3723" s="10"/>
      <c r="AG3723" s="10"/>
      <c r="AH3723" s="10"/>
      <c r="AI3723" s="10"/>
    </row>
    <row r="3724" spans="28:35" ht="15" hidden="1" customHeight="1">
      <c r="AB3724" s="9"/>
      <c r="AC3724" s="9"/>
      <c r="AD3724" s="9"/>
      <c r="AF3724" s="10"/>
      <c r="AG3724" s="10"/>
      <c r="AH3724" s="10"/>
      <c r="AI3724" s="10"/>
    </row>
    <row r="3725" spans="28:35" ht="15" hidden="1" customHeight="1">
      <c r="AB3725" s="9"/>
      <c r="AC3725" s="9"/>
      <c r="AD3725" s="9"/>
      <c r="AF3725" s="10"/>
      <c r="AG3725" s="10"/>
      <c r="AH3725" s="10"/>
      <c r="AI3725" s="10"/>
    </row>
    <row r="3726" spans="28:35" ht="15" hidden="1" customHeight="1">
      <c r="AB3726" s="9"/>
      <c r="AC3726" s="9"/>
      <c r="AD3726" s="9"/>
      <c r="AF3726" s="10"/>
      <c r="AG3726" s="10"/>
      <c r="AH3726" s="10"/>
      <c r="AI3726" s="10"/>
    </row>
    <row r="3727" spans="28:35" ht="15" hidden="1" customHeight="1">
      <c r="AB3727" s="9"/>
      <c r="AC3727" s="9"/>
      <c r="AD3727" s="9"/>
      <c r="AF3727" s="10"/>
      <c r="AG3727" s="10"/>
      <c r="AH3727" s="10"/>
      <c r="AI3727" s="10"/>
    </row>
    <row r="3728" spans="28:35" ht="15" hidden="1" customHeight="1">
      <c r="AB3728" s="9"/>
      <c r="AC3728" s="9"/>
      <c r="AD3728" s="9"/>
      <c r="AF3728" s="10"/>
      <c r="AG3728" s="10"/>
      <c r="AH3728" s="10"/>
      <c r="AI3728" s="10"/>
    </row>
    <row r="3729" spans="28:35" ht="15" hidden="1" customHeight="1">
      <c r="AB3729" s="9"/>
      <c r="AC3729" s="9"/>
      <c r="AD3729" s="9"/>
      <c r="AF3729" s="10"/>
      <c r="AG3729" s="10"/>
      <c r="AH3729" s="10"/>
      <c r="AI3729" s="10"/>
    </row>
    <row r="3730" spans="28:35" ht="15" hidden="1" customHeight="1">
      <c r="AB3730" s="9"/>
      <c r="AC3730" s="9"/>
      <c r="AD3730" s="9"/>
      <c r="AF3730" s="10"/>
      <c r="AG3730" s="10"/>
      <c r="AH3730" s="10"/>
      <c r="AI3730" s="10"/>
    </row>
    <row r="3731" spans="28:35" ht="15" hidden="1" customHeight="1">
      <c r="AB3731" s="9"/>
      <c r="AC3731" s="9"/>
      <c r="AD3731" s="9"/>
      <c r="AF3731" s="10"/>
      <c r="AG3731" s="10"/>
      <c r="AH3731" s="10"/>
      <c r="AI3731" s="10"/>
    </row>
    <row r="3732" spans="28:35" ht="15" hidden="1" customHeight="1">
      <c r="AB3732" s="9"/>
      <c r="AC3732" s="9"/>
      <c r="AD3732" s="9"/>
      <c r="AF3732" s="10"/>
      <c r="AG3732" s="10"/>
      <c r="AH3732" s="10"/>
      <c r="AI3732" s="10"/>
    </row>
    <row r="3733" spans="28:35" ht="15" hidden="1" customHeight="1">
      <c r="AB3733" s="9"/>
      <c r="AC3733" s="9"/>
      <c r="AD3733" s="9"/>
      <c r="AF3733" s="10"/>
      <c r="AG3733" s="10"/>
      <c r="AH3733" s="10"/>
      <c r="AI3733" s="10"/>
    </row>
    <row r="3734" spans="28:35" ht="15" hidden="1" customHeight="1">
      <c r="AB3734" s="9"/>
      <c r="AC3734" s="9"/>
      <c r="AD3734" s="9"/>
      <c r="AF3734" s="10"/>
      <c r="AG3734" s="10"/>
      <c r="AH3734" s="10"/>
      <c r="AI3734" s="10"/>
    </row>
    <row r="3735" spans="28:35" ht="15" hidden="1" customHeight="1">
      <c r="AB3735" s="9"/>
      <c r="AC3735" s="9"/>
      <c r="AD3735" s="9"/>
      <c r="AF3735" s="10"/>
      <c r="AG3735" s="10"/>
      <c r="AH3735" s="10"/>
      <c r="AI3735" s="10"/>
    </row>
    <row r="3736" spans="28:35" ht="15" hidden="1" customHeight="1">
      <c r="AB3736" s="9"/>
      <c r="AC3736" s="9"/>
      <c r="AD3736" s="9"/>
      <c r="AF3736" s="10"/>
      <c r="AG3736" s="10"/>
      <c r="AH3736" s="10"/>
      <c r="AI3736" s="10"/>
    </row>
    <row r="3737" spans="28:35" ht="15" hidden="1" customHeight="1">
      <c r="AB3737" s="9"/>
      <c r="AC3737" s="9"/>
      <c r="AD3737" s="9"/>
      <c r="AF3737" s="10"/>
      <c r="AG3737" s="10"/>
      <c r="AH3737" s="10"/>
      <c r="AI3737" s="10"/>
    </row>
    <row r="3738" spans="28:35" ht="15" hidden="1" customHeight="1">
      <c r="AB3738" s="9"/>
      <c r="AC3738" s="9"/>
      <c r="AD3738" s="9"/>
      <c r="AF3738" s="10"/>
      <c r="AG3738" s="10"/>
      <c r="AH3738" s="10"/>
      <c r="AI3738" s="10"/>
    </row>
    <row r="3739" spans="28:35" ht="15" hidden="1" customHeight="1">
      <c r="AB3739" s="9"/>
      <c r="AC3739" s="9"/>
      <c r="AD3739" s="9"/>
      <c r="AF3739" s="10"/>
      <c r="AG3739" s="10"/>
      <c r="AH3739" s="10"/>
      <c r="AI3739" s="10"/>
    </row>
    <row r="3740" spans="28:35" ht="15" hidden="1" customHeight="1">
      <c r="AB3740" s="9"/>
      <c r="AC3740" s="9"/>
      <c r="AD3740" s="9"/>
      <c r="AF3740" s="10"/>
      <c r="AG3740" s="10"/>
      <c r="AH3740" s="10"/>
      <c r="AI3740" s="10"/>
    </row>
    <row r="3741" spans="28:35" ht="15" hidden="1" customHeight="1">
      <c r="AB3741" s="9"/>
      <c r="AC3741" s="9"/>
      <c r="AD3741" s="9"/>
      <c r="AF3741" s="10"/>
      <c r="AG3741" s="10"/>
      <c r="AH3741" s="10"/>
      <c r="AI3741" s="10"/>
    </row>
    <row r="3742" spans="28:35" ht="15" hidden="1" customHeight="1">
      <c r="AB3742" s="9"/>
      <c r="AC3742" s="9"/>
      <c r="AD3742" s="9"/>
      <c r="AF3742" s="10"/>
      <c r="AG3742" s="10"/>
      <c r="AH3742" s="10"/>
      <c r="AI3742" s="10"/>
    </row>
    <row r="3743" spans="28:35" ht="15" hidden="1" customHeight="1">
      <c r="AB3743" s="9"/>
      <c r="AC3743" s="9"/>
      <c r="AD3743" s="9"/>
      <c r="AF3743" s="10"/>
      <c r="AG3743" s="10"/>
      <c r="AH3743" s="10"/>
      <c r="AI3743" s="10"/>
    </row>
    <row r="3744" spans="28:35" ht="15" hidden="1" customHeight="1">
      <c r="AB3744" s="9"/>
      <c r="AC3744" s="9"/>
      <c r="AD3744" s="9"/>
      <c r="AF3744" s="10"/>
      <c r="AG3744" s="10"/>
      <c r="AH3744" s="10"/>
      <c r="AI3744" s="10"/>
    </row>
    <row r="3745" spans="28:35" ht="15" hidden="1" customHeight="1">
      <c r="AB3745" s="9"/>
      <c r="AC3745" s="9"/>
      <c r="AD3745" s="9"/>
      <c r="AF3745" s="10"/>
      <c r="AG3745" s="10"/>
      <c r="AH3745" s="10"/>
      <c r="AI3745" s="10"/>
    </row>
    <row r="3746" spans="28:35" ht="15" hidden="1" customHeight="1">
      <c r="AB3746" s="9"/>
      <c r="AC3746" s="9"/>
      <c r="AD3746" s="9"/>
      <c r="AF3746" s="10"/>
      <c r="AG3746" s="10"/>
      <c r="AH3746" s="10"/>
      <c r="AI3746" s="10"/>
    </row>
    <row r="3747" spans="28:35" ht="15" hidden="1" customHeight="1">
      <c r="AB3747" s="9"/>
      <c r="AC3747" s="9"/>
      <c r="AD3747" s="9"/>
      <c r="AF3747" s="10"/>
      <c r="AG3747" s="10"/>
      <c r="AH3747" s="10"/>
      <c r="AI3747" s="10"/>
    </row>
    <row r="3748" spans="28:35" ht="15" hidden="1" customHeight="1">
      <c r="AB3748" s="9"/>
      <c r="AC3748" s="9"/>
      <c r="AD3748" s="9"/>
      <c r="AF3748" s="10"/>
      <c r="AG3748" s="10"/>
      <c r="AH3748" s="10"/>
      <c r="AI3748" s="10"/>
    </row>
    <row r="3749" spans="28:35" ht="15" hidden="1" customHeight="1">
      <c r="AB3749" s="9"/>
      <c r="AC3749" s="9"/>
      <c r="AD3749" s="9"/>
      <c r="AF3749" s="10"/>
      <c r="AG3749" s="10"/>
      <c r="AH3749" s="10"/>
      <c r="AI3749" s="10"/>
    </row>
    <row r="3750" spans="28:35" ht="15" hidden="1" customHeight="1">
      <c r="AB3750" s="9"/>
      <c r="AC3750" s="9"/>
      <c r="AD3750" s="9"/>
      <c r="AF3750" s="10"/>
      <c r="AG3750" s="10"/>
      <c r="AH3750" s="10"/>
      <c r="AI3750" s="10"/>
    </row>
    <row r="3751" spans="28:35" ht="15" hidden="1" customHeight="1">
      <c r="AB3751" s="9"/>
      <c r="AC3751" s="9"/>
      <c r="AD3751" s="9"/>
      <c r="AF3751" s="10"/>
      <c r="AG3751" s="10"/>
      <c r="AH3751" s="10"/>
      <c r="AI3751" s="10"/>
    </row>
    <row r="3752" spans="28:35" ht="15" hidden="1" customHeight="1">
      <c r="AB3752" s="9"/>
      <c r="AC3752" s="9"/>
      <c r="AD3752" s="9"/>
      <c r="AF3752" s="10"/>
      <c r="AG3752" s="10"/>
      <c r="AH3752" s="10"/>
      <c r="AI3752" s="10"/>
    </row>
    <row r="3753" spans="28:35" ht="15" hidden="1" customHeight="1">
      <c r="AB3753" s="9"/>
      <c r="AC3753" s="9"/>
      <c r="AD3753" s="9"/>
      <c r="AF3753" s="10"/>
      <c r="AG3753" s="10"/>
      <c r="AH3753" s="10"/>
      <c r="AI3753" s="10"/>
    </row>
    <row r="3754" spans="28:35" ht="15" hidden="1" customHeight="1">
      <c r="AB3754" s="9"/>
      <c r="AC3754" s="9"/>
      <c r="AD3754" s="9"/>
      <c r="AF3754" s="10"/>
      <c r="AG3754" s="10"/>
      <c r="AH3754" s="10"/>
      <c r="AI3754" s="10"/>
    </row>
    <row r="3755" spans="28:35" ht="15" hidden="1" customHeight="1">
      <c r="AB3755" s="9"/>
      <c r="AC3755" s="9"/>
      <c r="AD3755" s="9"/>
      <c r="AF3755" s="10"/>
      <c r="AG3755" s="10"/>
      <c r="AH3755" s="10"/>
      <c r="AI3755" s="10"/>
    </row>
    <row r="3756" spans="28:35" ht="15" hidden="1" customHeight="1">
      <c r="AB3756" s="9"/>
      <c r="AC3756" s="9"/>
      <c r="AD3756" s="9"/>
      <c r="AF3756" s="10"/>
      <c r="AG3756" s="10"/>
      <c r="AH3756" s="10"/>
      <c r="AI3756" s="10"/>
    </row>
    <row r="3757" spans="28:35" ht="15" hidden="1" customHeight="1">
      <c r="AB3757" s="9"/>
      <c r="AC3757" s="9"/>
      <c r="AD3757" s="9"/>
      <c r="AF3757" s="10"/>
      <c r="AG3757" s="10"/>
      <c r="AH3757" s="10"/>
      <c r="AI3757" s="10"/>
    </row>
    <row r="3758" spans="28:35" ht="15" hidden="1" customHeight="1">
      <c r="AB3758" s="9"/>
      <c r="AC3758" s="9"/>
      <c r="AD3758" s="9"/>
      <c r="AF3758" s="10"/>
      <c r="AG3758" s="10"/>
      <c r="AH3758" s="10"/>
      <c r="AI3758" s="10"/>
    </row>
    <row r="3759" spans="28:35" ht="15" hidden="1" customHeight="1">
      <c r="AB3759" s="9"/>
      <c r="AC3759" s="9"/>
      <c r="AD3759" s="9"/>
      <c r="AF3759" s="10"/>
      <c r="AG3759" s="10"/>
      <c r="AH3759" s="10"/>
      <c r="AI3759" s="10"/>
    </row>
    <row r="3760" spans="28:35" ht="15" hidden="1" customHeight="1">
      <c r="AB3760" s="9"/>
      <c r="AC3760" s="9"/>
      <c r="AD3760" s="9"/>
      <c r="AF3760" s="10"/>
      <c r="AG3760" s="10"/>
      <c r="AH3760" s="10"/>
      <c r="AI3760" s="10"/>
    </row>
    <row r="3761" spans="28:35" ht="15" hidden="1" customHeight="1">
      <c r="AB3761" s="9"/>
      <c r="AC3761" s="9"/>
      <c r="AD3761" s="9"/>
      <c r="AF3761" s="10"/>
      <c r="AG3761" s="10"/>
      <c r="AH3761" s="10"/>
      <c r="AI3761" s="10"/>
    </row>
    <row r="3762" spans="28:35" ht="15" hidden="1" customHeight="1">
      <c r="AB3762" s="9"/>
      <c r="AC3762" s="9"/>
      <c r="AD3762" s="9"/>
      <c r="AF3762" s="10"/>
      <c r="AG3762" s="10"/>
      <c r="AH3762" s="10"/>
      <c r="AI3762" s="10"/>
    </row>
    <row r="3763" spans="28:35" ht="15" hidden="1" customHeight="1">
      <c r="AB3763" s="9"/>
      <c r="AC3763" s="9"/>
      <c r="AD3763" s="9"/>
      <c r="AF3763" s="10"/>
      <c r="AG3763" s="10"/>
      <c r="AH3763" s="10"/>
      <c r="AI3763" s="10"/>
    </row>
    <row r="3764" spans="28:35" ht="15" hidden="1" customHeight="1">
      <c r="AB3764" s="9"/>
      <c r="AC3764" s="9"/>
      <c r="AD3764" s="9"/>
      <c r="AF3764" s="10"/>
      <c r="AG3764" s="10"/>
      <c r="AH3764" s="10"/>
      <c r="AI3764" s="10"/>
    </row>
    <row r="3765" spans="28:35" ht="15" hidden="1" customHeight="1">
      <c r="AB3765" s="9"/>
      <c r="AC3765" s="9"/>
      <c r="AD3765" s="9"/>
      <c r="AF3765" s="10"/>
      <c r="AG3765" s="10"/>
      <c r="AH3765" s="10"/>
      <c r="AI3765" s="10"/>
    </row>
    <row r="3766" spans="28:35" ht="15" hidden="1" customHeight="1">
      <c r="AB3766" s="9"/>
      <c r="AC3766" s="9"/>
      <c r="AD3766" s="9"/>
      <c r="AF3766" s="10"/>
      <c r="AG3766" s="10"/>
      <c r="AH3766" s="10"/>
      <c r="AI3766" s="10"/>
    </row>
    <row r="3767" spans="28:35" ht="15" hidden="1" customHeight="1">
      <c r="AB3767" s="9"/>
      <c r="AC3767" s="9"/>
      <c r="AD3767" s="9"/>
      <c r="AF3767" s="10"/>
      <c r="AG3767" s="10"/>
      <c r="AH3767" s="10"/>
      <c r="AI3767" s="10"/>
    </row>
    <row r="3768" spans="28:35" ht="15" hidden="1" customHeight="1">
      <c r="AB3768" s="9"/>
      <c r="AC3768" s="9"/>
      <c r="AD3768" s="9"/>
      <c r="AF3768" s="10"/>
      <c r="AG3768" s="10"/>
      <c r="AH3768" s="10"/>
      <c r="AI3768" s="10"/>
    </row>
    <row r="3769" spans="28:35" ht="15" hidden="1" customHeight="1">
      <c r="AB3769" s="9"/>
      <c r="AC3769" s="9"/>
      <c r="AD3769" s="9"/>
      <c r="AF3769" s="10"/>
      <c r="AG3769" s="10"/>
      <c r="AH3769" s="10"/>
      <c r="AI3769" s="10"/>
    </row>
    <row r="3770" spans="28:35" ht="15" hidden="1" customHeight="1">
      <c r="AB3770" s="9"/>
      <c r="AC3770" s="9"/>
      <c r="AD3770" s="9"/>
      <c r="AF3770" s="10"/>
      <c r="AG3770" s="10"/>
      <c r="AH3770" s="10"/>
      <c r="AI3770" s="10"/>
    </row>
    <row r="3771" spans="28:35" ht="15" hidden="1" customHeight="1">
      <c r="AB3771" s="9"/>
      <c r="AC3771" s="9"/>
      <c r="AD3771" s="9"/>
      <c r="AF3771" s="10"/>
      <c r="AG3771" s="10"/>
      <c r="AH3771" s="10"/>
      <c r="AI3771" s="10"/>
    </row>
    <row r="3772" spans="28:35" ht="15" hidden="1" customHeight="1">
      <c r="AB3772" s="9"/>
      <c r="AC3772" s="9"/>
      <c r="AD3772" s="9"/>
      <c r="AF3772" s="10"/>
      <c r="AG3772" s="10"/>
      <c r="AH3772" s="10"/>
      <c r="AI3772" s="10"/>
    </row>
    <row r="3773" spans="28:35" ht="15" hidden="1" customHeight="1">
      <c r="AB3773" s="9"/>
      <c r="AC3773" s="9"/>
      <c r="AD3773" s="9"/>
      <c r="AF3773" s="10"/>
      <c r="AG3773" s="10"/>
      <c r="AH3773" s="10"/>
      <c r="AI3773" s="10"/>
    </row>
    <row r="3774" spans="28:35" ht="15" hidden="1" customHeight="1">
      <c r="AB3774" s="9"/>
      <c r="AC3774" s="9"/>
      <c r="AD3774" s="9"/>
      <c r="AF3774" s="10"/>
      <c r="AG3774" s="10"/>
      <c r="AH3774" s="10"/>
      <c r="AI3774" s="10"/>
    </row>
    <row r="3775" spans="28:35" ht="15" hidden="1" customHeight="1">
      <c r="AB3775" s="9"/>
      <c r="AC3775" s="9"/>
      <c r="AD3775" s="9"/>
      <c r="AF3775" s="10"/>
      <c r="AG3775" s="10"/>
      <c r="AH3775" s="10"/>
      <c r="AI3775" s="10"/>
    </row>
    <row r="3776" spans="28:35" ht="15" hidden="1" customHeight="1">
      <c r="AB3776" s="9"/>
      <c r="AC3776" s="9"/>
      <c r="AD3776" s="9"/>
      <c r="AF3776" s="10"/>
      <c r="AG3776" s="10"/>
      <c r="AH3776" s="10"/>
      <c r="AI3776" s="10"/>
    </row>
    <row r="3777" spans="28:35" ht="15" hidden="1" customHeight="1">
      <c r="AB3777" s="9"/>
      <c r="AC3777" s="9"/>
      <c r="AD3777" s="9"/>
      <c r="AF3777" s="10"/>
      <c r="AG3777" s="10"/>
      <c r="AH3777" s="10"/>
      <c r="AI3777" s="10"/>
    </row>
    <row r="3778" spans="28:35" ht="15" hidden="1" customHeight="1">
      <c r="AB3778" s="9"/>
      <c r="AC3778" s="9"/>
      <c r="AD3778" s="9"/>
      <c r="AF3778" s="10"/>
      <c r="AG3778" s="10"/>
      <c r="AH3778" s="10"/>
      <c r="AI3778" s="10"/>
    </row>
    <row r="3779" spans="28:35" ht="15" hidden="1" customHeight="1">
      <c r="AB3779" s="9"/>
      <c r="AC3779" s="9"/>
      <c r="AD3779" s="9"/>
      <c r="AF3779" s="10"/>
      <c r="AG3779" s="10"/>
      <c r="AH3779" s="10"/>
      <c r="AI3779" s="10"/>
    </row>
    <row r="3780" spans="28:35" ht="15" hidden="1" customHeight="1">
      <c r="AB3780" s="9"/>
      <c r="AC3780" s="9"/>
      <c r="AD3780" s="9"/>
      <c r="AF3780" s="10"/>
      <c r="AG3780" s="10"/>
      <c r="AH3780" s="10"/>
      <c r="AI3780" s="10"/>
    </row>
    <row r="3781" spans="28:35" ht="15" hidden="1" customHeight="1">
      <c r="AB3781" s="9"/>
      <c r="AC3781" s="9"/>
      <c r="AD3781" s="9"/>
      <c r="AF3781" s="10"/>
      <c r="AG3781" s="10"/>
      <c r="AH3781" s="10"/>
      <c r="AI3781" s="10"/>
    </row>
    <row r="3782" spans="28:35" ht="15" hidden="1" customHeight="1">
      <c r="AB3782" s="9"/>
      <c r="AC3782" s="9"/>
      <c r="AD3782" s="9"/>
      <c r="AF3782" s="10"/>
      <c r="AG3782" s="10"/>
      <c r="AH3782" s="10"/>
      <c r="AI3782" s="10"/>
    </row>
    <row r="3783" spans="28:35" ht="15" hidden="1" customHeight="1">
      <c r="AB3783" s="9"/>
      <c r="AC3783" s="9"/>
      <c r="AD3783" s="9"/>
      <c r="AF3783" s="10"/>
      <c r="AG3783" s="10"/>
      <c r="AH3783" s="10"/>
      <c r="AI3783" s="10"/>
    </row>
    <row r="3784" spans="28:35" ht="15" hidden="1" customHeight="1">
      <c r="AB3784" s="9"/>
      <c r="AC3784" s="9"/>
      <c r="AD3784" s="9"/>
      <c r="AF3784" s="10"/>
      <c r="AG3784" s="10"/>
      <c r="AH3784" s="10"/>
      <c r="AI3784" s="10"/>
    </row>
    <row r="3785" spans="28:35" ht="15" hidden="1" customHeight="1">
      <c r="AB3785" s="9"/>
      <c r="AC3785" s="9"/>
      <c r="AD3785" s="9"/>
      <c r="AF3785" s="10"/>
      <c r="AG3785" s="10"/>
      <c r="AH3785" s="10"/>
      <c r="AI3785" s="10"/>
    </row>
    <row r="3786" spans="28:35" ht="15" hidden="1" customHeight="1">
      <c r="AB3786" s="9"/>
      <c r="AC3786" s="9"/>
      <c r="AD3786" s="9"/>
      <c r="AF3786" s="10"/>
      <c r="AG3786" s="10"/>
      <c r="AH3786" s="10"/>
      <c r="AI3786" s="10"/>
    </row>
    <row r="3787" spans="28:35" ht="15" hidden="1" customHeight="1">
      <c r="AB3787" s="9"/>
      <c r="AC3787" s="9"/>
      <c r="AD3787" s="9"/>
      <c r="AF3787" s="10"/>
      <c r="AG3787" s="10"/>
      <c r="AH3787" s="10"/>
      <c r="AI3787" s="10"/>
    </row>
    <row r="3788" spans="28:35" ht="15" hidden="1" customHeight="1">
      <c r="AB3788" s="9"/>
      <c r="AC3788" s="9"/>
      <c r="AD3788" s="9"/>
      <c r="AF3788" s="10"/>
      <c r="AG3788" s="10"/>
      <c r="AH3788" s="10"/>
      <c r="AI3788" s="10"/>
    </row>
    <row r="3789" spans="28:35" ht="15" hidden="1" customHeight="1">
      <c r="AB3789" s="9"/>
      <c r="AC3789" s="9"/>
      <c r="AD3789" s="9"/>
      <c r="AF3789" s="10"/>
      <c r="AG3789" s="10"/>
      <c r="AH3789" s="10"/>
      <c r="AI3789" s="10"/>
    </row>
    <row r="3790" spans="28:35" ht="15" hidden="1" customHeight="1">
      <c r="AB3790" s="9"/>
      <c r="AC3790" s="9"/>
      <c r="AD3790" s="9"/>
      <c r="AF3790" s="10"/>
      <c r="AG3790" s="10"/>
      <c r="AH3790" s="10"/>
      <c r="AI3790" s="10"/>
    </row>
    <row r="3791" spans="28:35" ht="15" hidden="1" customHeight="1">
      <c r="AB3791" s="9"/>
      <c r="AC3791" s="9"/>
      <c r="AD3791" s="9"/>
      <c r="AF3791" s="10"/>
      <c r="AG3791" s="10"/>
      <c r="AH3791" s="10"/>
      <c r="AI3791" s="10"/>
    </row>
    <row r="3792" spans="28:35" ht="15" hidden="1" customHeight="1">
      <c r="AB3792" s="9"/>
      <c r="AC3792" s="9"/>
      <c r="AD3792" s="9"/>
      <c r="AF3792" s="10"/>
      <c r="AG3792" s="10"/>
      <c r="AH3792" s="10"/>
      <c r="AI3792" s="10"/>
    </row>
    <row r="3793" spans="28:35" ht="15" hidden="1" customHeight="1">
      <c r="AB3793" s="9"/>
      <c r="AC3793" s="9"/>
      <c r="AD3793" s="9"/>
      <c r="AF3793" s="10"/>
      <c r="AG3793" s="10"/>
      <c r="AH3793" s="10"/>
      <c r="AI3793" s="10"/>
    </row>
    <row r="3794" spans="28:35" ht="15" hidden="1" customHeight="1">
      <c r="AB3794" s="9"/>
      <c r="AC3794" s="9"/>
      <c r="AD3794" s="9"/>
      <c r="AF3794" s="10"/>
      <c r="AG3794" s="10"/>
      <c r="AH3794" s="10"/>
      <c r="AI3794" s="10"/>
    </row>
    <row r="3795" spans="28:35" ht="15" hidden="1" customHeight="1">
      <c r="AB3795" s="9"/>
      <c r="AC3795" s="9"/>
      <c r="AD3795" s="9"/>
      <c r="AF3795" s="10"/>
      <c r="AG3795" s="10"/>
      <c r="AH3795" s="10"/>
      <c r="AI3795" s="10"/>
    </row>
    <row r="3796" spans="28:35" ht="15" hidden="1" customHeight="1">
      <c r="AB3796" s="9"/>
      <c r="AC3796" s="9"/>
      <c r="AD3796" s="9"/>
      <c r="AF3796" s="10"/>
      <c r="AG3796" s="10"/>
      <c r="AH3796" s="10"/>
      <c r="AI3796" s="10"/>
    </row>
    <row r="3797" spans="28:35" ht="15" hidden="1" customHeight="1">
      <c r="AB3797" s="9"/>
      <c r="AC3797" s="9"/>
      <c r="AD3797" s="9"/>
      <c r="AF3797" s="10"/>
      <c r="AG3797" s="10"/>
      <c r="AH3797" s="10"/>
      <c r="AI3797" s="10"/>
    </row>
    <row r="3798" spans="28:35" ht="15" hidden="1" customHeight="1">
      <c r="AB3798" s="9"/>
      <c r="AC3798" s="9"/>
      <c r="AD3798" s="9"/>
      <c r="AF3798" s="10"/>
      <c r="AG3798" s="10"/>
      <c r="AH3798" s="10"/>
      <c r="AI3798" s="10"/>
    </row>
    <row r="3799" spans="28:35" ht="15" hidden="1" customHeight="1">
      <c r="AB3799" s="9"/>
      <c r="AC3799" s="9"/>
      <c r="AD3799" s="9"/>
      <c r="AF3799" s="10"/>
      <c r="AG3799" s="10"/>
      <c r="AH3799" s="10"/>
      <c r="AI3799" s="10"/>
    </row>
    <row r="3800" spans="28:35" ht="15" hidden="1" customHeight="1">
      <c r="AB3800" s="9"/>
      <c r="AC3800" s="9"/>
      <c r="AD3800" s="9"/>
      <c r="AF3800" s="10"/>
      <c r="AG3800" s="10"/>
      <c r="AH3800" s="10"/>
      <c r="AI3800" s="10"/>
    </row>
    <row r="3801" spans="28:35" ht="15" hidden="1" customHeight="1">
      <c r="AB3801" s="9"/>
      <c r="AC3801" s="9"/>
      <c r="AD3801" s="9"/>
      <c r="AF3801" s="10"/>
      <c r="AG3801" s="10"/>
      <c r="AH3801" s="10"/>
      <c r="AI3801" s="10"/>
    </row>
    <row r="3802" spans="28:35" ht="15" hidden="1" customHeight="1">
      <c r="AB3802" s="9"/>
      <c r="AC3802" s="9"/>
      <c r="AD3802" s="9"/>
      <c r="AF3802" s="10"/>
      <c r="AG3802" s="10"/>
      <c r="AH3802" s="10"/>
      <c r="AI3802" s="10"/>
    </row>
    <row r="3803" spans="28:35" ht="15" hidden="1" customHeight="1">
      <c r="AB3803" s="9"/>
      <c r="AC3803" s="9"/>
      <c r="AD3803" s="9"/>
      <c r="AF3803" s="10"/>
      <c r="AG3803" s="10"/>
      <c r="AH3803" s="10"/>
      <c r="AI3803" s="10"/>
    </row>
    <row r="3804" spans="28:35" ht="15" hidden="1" customHeight="1">
      <c r="AB3804" s="9"/>
      <c r="AC3804" s="9"/>
      <c r="AD3804" s="9"/>
      <c r="AF3804" s="10"/>
      <c r="AG3804" s="10"/>
      <c r="AH3804" s="10"/>
      <c r="AI3804" s="10"/>
    </row>
    <row r="3805" spans="28:35" ht="15" hidden="1" customHeight="1">
      <c r="AB3805" s="9"/>
      <c r="AC3805" s="9"/>
      <c r="AD3805" s="9"/>
      <c r="AF3805" s="10"/>
      <c r="AG3805" s="10"/>
      <c r="AH3805" s="10"/>
      <c r="AI3805" s="10"/>
    </row>
    <row r="3806" spans="28:35" ht="15" hidden="1" customHeight="1">
      <c r="AB3806" s="9"/>
      <c r="AC3806" s="9"/>
      <c r="AD3806" s="9"/>
      <c r="AF3806" s="10"/>
      <c r="AG3806" s="10"/>
      <c r="AH3806" s="10"/>
      <c r="AI3806" s="10"/>
    </row>
    <row r="3807" spans="28:35" ht="15" hidden="1" customHeight="1">
      <c r="AB3807" s="9"/>
      <c r="AC3807" s="9"/>
      <c r="AD3807" s="9"/>
      <c r="AF3807" s="10"/>
      <c r="AG3807" s="10"/>
      <c r="AH3807" s="10"/>
      <c r="AI3807" s="10"/>
    </row>
    <row r="3808" spans="28:35" ht="15" hidden="1" customHeight="1">
      <c r="AB3808" s="9"/>
      <c r="AC3808" s="9"/>
      <c r="AD3808" s="9"/>
      <c r="AF3808" s="10"/>
      <c r="AG3808" s="10"/>
      <c r="AH3808" s="10"/>
      <c r="AI3808" s="10"/>
    </row>
    <row r="3809" spans="28:35" ht="15" hidden="1" customHeight="1">
      <c r="AB3809" s="9"/>
      <c r="AC3809" s="9"/>
      <c r="AD3809" s="9"/>
      <c r="AF3809" s="10"/>
      <c r="AG3809" s="10"/>
      <c r="AH3809" s="10"/>
      <c r="AI3809" s="10"/>
    </row>
    <row r="3810" spans="28:35" ht="15" hidden="1" customHeight="1">
      <c r="AB3810" s="9"/>
      <c r="AC3810" s="9"/>
      <c r="AD3810" s="9"/>
      <c r="AF3810" s="10"/>
      <c r="AG3810" s="10"/>
      <c r="AH3810" s="10"/>
      <c r="AI3810" s="10"/>
    </row>
    <row r="3811" spans="28:35" ht="15" hidden="1" customHeight="1">
      <c r="AB3811" s="9"/>
      <c r="AC3811" s="9"/>
      <c r="AD3811" s="9"/>
      <c r="AF3811" s="10"/>
      <c r="AG3811" s="10"/>
      <c r="AH3811" s="10"/>
      <c r="AI3811" s="10"/>
    </row>
    <row r="3812" spans="28:35" ht="15" hidden="1" customHeight="1">
      <c r="AB3812" s="9"/>
      <c r="AC3812" s="9"/>
      <c r="AD3812" s="9"/>
      <c r="AF3812" s="10"/>
      <c r="AG3812" s="10"/>
      <c r="AH3812" s="10"/>
      <c r="AI3812" s="10"/>
    </row>
    <row r="3813" spans="28:35" ht="15" hidden="1" customHeight="1">
      <c r="AB3813" s="9"/>
      <c r="AC3813" s="9"/>
      <c r="AD3813" s="9"/>
      <c r="AF3813" s="10"/>
      <c r="AG3813" s="10"/>
      <c r="AH3813" s="10"/>
      <c r="AI3813" s="10"/>
    </row>
    <row r="3814" spans="28:35" ht="15" hidden="1" customHeight="1">
      <c r="AB3814" s="9"/>
      <c r="AC3814" s="9"/>
      <c r="AD3814" s="9"/>
      <c r="AF3814" s="10"/>
      <c r="AG3814" s="10"/>
      <c r="AH3814" s="10"/>
      <c r="AI3814" s="10"/>
    </row>
    <row r="3815" spans="28:35" ht="15" hidden="1" customHeight="1">
      <c r="AB3815" s="9"/>
      <c r="AC3815" s="9"/>
      <c r="AD3815" s="9"/>
      <c r="AF3815" s="10"/>
      <c r="AG3815" s="10"/>
      <c r="AH3815" s="10"/>
      <c r="AI3815" s="10"/>
    </row>
    <row r="3816" spans="28:35" ht="15" hidden="1" customHeight="1">
      <c r="AB3816" s="9"/>
      <c r="AC3816" s="9"/>
      <c r="AD3816" s="9"/>
      <c r="AF3816" s="10"/>
      <c r="AG3816" s="10"/>
      <c r="AH3816" s="10"/>
      <c r="AI3816" s="10"/>
    </row>
    <row r="3817" spans="28:35" ht="15" hidden="1" customHeight="1">
      <c r="AB3817" s="9"/>
      <c r="AC3817" s="9"/>
      <c r="AD3817" s="9"/>
      <c r="AF3817" s="10"/>
      <c r="AG3817" s="10"/>
      <c r="AH3817" s="10"/>
      <c r="AI3817" s="10"/>
    </row>
    <row r="3818" spans="28:35" ht="15" hidden="1" customHeight="1">
      <c r="AB3818" s="9"/>
      <c r="AC3818" s="9"/>
      <c r="AD3818" s="9"/>
      <c r="AF3818" s="10"/>
      <c r="AG3818" s="10"/>
      <c r="AH3818" s="10"/>
      <c r="AI3818" s="10"/>
    </row>
    <row r="3819" spans="28:35" ht="15" hidden="1" customHeight="1">
      <c r="AB3819" s="9"/>
      <c r="AC3819" s="9"/>
      <c r="AD3819" s="9"/>
      <c r="AF3819" s="10"/>
      <c r="AG3819" s="10"/>
      <c r="AH3819" s="10"/>
      <c r="AI3819" s="10"/>
    </row>
    <row r="3820" spans="28:35" ht="15" hidden="1" customHeight="1">
      <c r="AB3820" s="9"/>
      <c r="AC3820" s="9"/>
      <c r="AD3820" s="9"/>
      <c r="AF3820" s="10"/>
      <c r="AG3820" s="10"/>
      <c r="AH3820" s="10"/>
      <c r="AI3820" s="10"/>
    </row>
    <row r="3821" spans="28:35" ht="15" hidden="1" customHeight="1">
      <c r="AB3821" s="9"/>
      <c r="AC3821" s="9"/>
      <c r="AD3821" s="9"/>
      <c r="AF3821" s="10"/>
      <c r="AG3821" s="10"/>
      <c r="AH3821" s="10"/>
      <c r="AI3821" s="10"/>
    </row>
    <row r="3822" spans="28:35" ht="15" hidden="1" customHeight="1">
      <c r="AB3822" s="9"/>
      <c r="AC3822" s="9"/>
      <c r="AD3822" s="9"/>
      <c r="AF3822" s="10"/>
      <c r="AG3822" s="10"/>
      <c r="AH3822" s="10"/>
      <c r="AI3822" s="10"/>
    </row>
    <row r="3823" spans="28:35" ht="15" hidden="1" customHeight="1">
      <c r="AB3823" s="9"/>
      <c r="AC3823" s="9"/>
      <c r="AD3823" s="9"/>
      <c r="AF3823" s="10"/>
      <c r="AG3823" s="10"/>
      <c r="AH3823" s="10"/>
      <c r="AI3823" s="10"/>
    </row>
    <row r="3824" spans="28:35" ht="15" hidden="1" customHeight="1">
      <c r="AB3824" s="9"/>
      <c r="AC3824" s="9"/>
      <c r="AD3824" s="9"/>
      <c r="AF3824" s="10"/>
      <c r="AG3824" s="10"/>
      <c r="AH3824" s="10"/>
      <c r="AI3824" s="10"/>
    </row>
    <row r="3825" spans="28:35" ht="15" hidden="1" customHeight="1">
      <c r="AB3825" s="9"/>
      <c r="AC3825" s="9"/>
      <c r="AD3825" s="9"/>
      <c r="AF3825" s="10"/>
      <c r="AG3825" s="10"/>
      <c r="AH3825" s="10"/>
      <c r="AI3825" s="10"/>
    </row>
    <row r="3826" spans="28:35" ht="15" hidden="1" customHeight="1">
      <c r="AB3826" s="9"/>
      <c r="AC3826" s="9"/>
      <c r="AD3826" s="9"/>
      <c r="AF3826" s="10"/>
      <c r="AG3826" s="10"/>
      <c r="AH3826" s="10"/>
      <c r="AI3826" s="10"/>
    </row>
    <row r="3827" spans="28:35" ht="15" hidden="1" customHeight="1">
      <c r="AB3827" s="9"/>
      <c r="AC3827" s="9"/>
      <c r="AD3827" s="9"/>
      <c r="AF3827" s="10"/>
      <c r="AG3827" s="10"/>
      <c r="AH3827" s="10"/>
      <c r="AI3827" s="10"/>
    </row>
    <row r="3828" spans="28:35" ht="15" hidden="1" customHeight="1">
      <c r="AB3828" s="9"/>
      <c r="AC3828" s="9"/>
      <c r="AD3828" s="9"/>
      <c r="AF3828" s="10"/>
      <c r="AG3828" s="10"/>
      <c r="AH3828" s="10"/>
      <c r="AI3828" s="10"/>
    </row>
    <row r="3829" spans="28:35" ht="15" hidden="1" customHeight="1">
      <c r="AB3829" s="9"/>
      <c r="AC3829" s="9"/>
      <c r="AD3829" s="9"/>
      <c r="AF3829" s="10"/>
      <c r="AG3829" s="10"/>
      <c r="AH3829" s="10"/>
      <c r="AI3829" s="10"/>
    </row>
    <row r="3830" spans="28:35" ht="15" hidden="1" customHeight="1">
      <c r="AB3830" s="9"/>
      <c r="AC3830" s="9"/>
      <c r="AD3830" s="9"/>
      <c r="AF3830" s="10"/>
      <c r="AG3830" s="10"/>
      <c r="AH3830" s="10"/>
      <c r="AI3830" s="10"/>
    </row>
    <row r="3831" spans="28:35" ht="15" hidden="1" customHeight="1">
      <c r="AB3831" s="9"/>
      <c r="AC3831" s="9"/>
      <c r="AD3831" s="9"/>
      <c r="AF3831" s="10"/>
      <c r="AG3831" s="10"/>
      <c r="AH3831" s="10"/>
      <c r="AI3831" s="10"/>
    </row>
    <row r="3832" spans="28:35" ht="15" hidden="1" customHeight="1">
      <c r="AB3832" s="9"/>
      <c r="AC3832" s="9"/>
      <c r="AD3832" s="9"/>
      <c r="AF3832" s="10"/>
      <c r="AG3832" s="10"/>
      <c r="AH3832" s="10"/>
      <c r="AI3832" s="10"/>
    </row>
    <row r="3833" spans="28:35" ht="15" hidden="1" customHeight="1">
      <c r="AB3833" s="9"/>
      <c r="AC3833" s="9"/>
      <c r="AD3833" s="9"/>
      <c r="AF3833" s="10"/>
      <c r="AG3833" s="10"/>
      <c r="AH3833" s="10"/>
      <c r="AI3833" s="10"/>
    </row>
    <row r="3834" spans="28:35" ht="15" hidden="1" customHeight="1">
      <c r="AB3834" s="9"/>
      <c r="AC3834" s="9"/>
      <c r="AD3834" s="9"/>
      <c r="AF3834" s="10"/>
      <c r="AG3834" s="10"/>
      <c r="AH3834" s="10"/>
      <c r="AI3834" s="10"/>
    </row>
    <row r="3835" spans="28:35" ht="15" hidden="1" customHeight="1">
      <c r="AB3835" s="9"/>
      <c r="AC3835" s="9"/>
      <c r="AD3835" s="9"/>
      <c r="AF3835" s="10"/>
      <c r="AG3835" s="10"/>
      <c r="AH3835" s="10"/>
      <c r="AI3835" s="10"/>
    </row>
    <row r="3836" spans="28:35" ht="15" hidden="1" customHeight="1">
      <c r="AB3836" s="9"/>
      <c r="AC3836" s="9"/>
      <c r="AD3836" s="9"/>
      <c r="AF3836" s="10"/>
      <c r="AG3836" s="10"/>
      <c r="AH3836" s="10"/>
      <c r="AI3836" s="10"/>
    </row>
    <row r="3837" spans="28:35" ht="15" hidden="1" customHeight="1">
      <c r="AB3837" s="9"/>
      <c r="AC3837" s="9"/>
      <c r="AD3837" s="9"/>
      <c r="AF3837" s="10"/>
      <c r="AG3837" s="10"/>
      <c r="AH3837" s="10"/>
      <c r="AI3837" s="10"/>
    </row>
    <row r="3838" spans="28:35" ht="15" hidden="1" customHeight="1">
      <c r="AB3838" s="9"/>
      <c r="AC3838" s="9"/>
      <c r="AD3838" s="9"/>
      <c r="AF3838" s="10"/>
      <c r="AG3838" s="10"/>
      <c r="AH3838" s="10"/>
      <c r="AI3838" s="10"/>
    </row>
    <row r="3839" spans="28:35" ht="15" hidden="1" customHeight="1">
      <c r="AB3839" s="9"/>
      <c r="AC3839" s="9"/>
      <c r="AD3839" s="9"/>
      <c r="AF3839" s="10"/>
      <c r="AG3839" s="10"/>
      <c r="AH3839" s="10"/>
      <c r="AI3839" s="10"/>
    </row>
    <row r="3840" spans="28:35" ht="15" hidden="1" customHeight="1">
      <c r="AB3840" s="9"/>
      <c r="AC3840" s="9"/>
      <c r="AD3840" s="9"/>
      <c r="AF3840" s="10"/>
      <c r="AG3840" s="10"/>
      <c r="AH3840" s="10"/>
      <c r="AI3840" s="10"/>
    </row>
    <row r="3841" spans="28:35" ht="15" hidden="1" customHeight="1">
      <c r="AB3841" s="9"/>
      <c r="AC3841" s="9"/>
      <c r="AD3841" s="9"/>
      <c r="AF3841" s="10"/>
      <c r="AG3841" s="10"/>
      <c r="AH3841" s="10"/>
      <c r="AI3841" s="10"/>
    </row>
    <row r="3842" spans="28:35" ht="15" hidden="1" customHeight="1">
      <c r="AB3842" s="9"/>
      <c r="AC3842" s="9"/>
      <c r="AD3842" s="9"/>
      <c r="AF3842" s="10"/>
      <c r="AG3842" s="10"/>
      <c r="AH3842" s="10"/>
      <c r="AI3842" s="10"/>
    </row>
    <row r="3843" spans="28:35" ht="15" hidden="1" customHeight="1">
      <c r="AB3843" s="9"/>
      <c r="AC3843" s="9"/>
      <c r="AD3843" s="9"/>
      <c r="AF3843" s="10"/>
      <c r="AG3843" s="10"/>
      <c r="AH3843" s="10"/>
      <c r="AI3843" s="10"/>
    </row>
    <row r="3844" spans="28:35" ht="15" hidden="1" customHeight="1">
      <c r="AB3844" s="9"/>
      <c r="AC3844" s="9"/>
      <c r="AD3844" s="9"/>
      <c r="AF3844" s="10"/>
      <c r="AG3844" s="10"/>
      <c r="AH3844" s="10"/>
      <c r="AI3844" s="10"/>
    </row>
    <row r="3845" spans="28:35" ht="15" hidden="1" customHeight="1">
      <c r="AB3845" s="9"/>
      <c r="AC3845" s="9"/>
      <c r="AD3845" s="9"/>
      <c r="AF3845" s="10"/>
      <c r="AG3845" s="10"/>
      <c r="AH3845" s="10"/>
      <c r="AI3845" s="10"/>
    </row>
    <row r="3846" spans="28:35" ht="15" hidden="1" customHeight="1">
      <c r="AB3846" s="9"/>
      <c r="AC3846" s="9"/>
      <c r="AD3846" s="9"/>
      <c r="AF3846" s="10"/>
      <c r="AG3846" s="10"/>
      <c r="AH3846" s="10"/>
      <c r="AI3846" s="10"/>
    </row>
    <row r="3847" spans="28:35" ht="15" hidden="1" customHeight="1">
      <c r="AB3847" s="9"/>
      <c r="AC3847" s="9"/>
      <c r="AD3847" s="9"/>
      <c r="AF3847" s="10"/>
      <c r="AG3847" s="10"/>
      <c r="AH3847" s="10"/>
      <c r="AI3847" s="10"/>
    </row>
    <row r="3848" spans="28:35" ht="15" hidden="1" customHeight="1">
      <c r="AB3848" s="9"/>
      <c r="AC3848" s="9"/>
      <c r="AD3848" s="9"/>
      <c r="AF3848" s="10"/>
      <c r="AG3848" s="10"/>
      <c r="AH3848" s="10"/>
      <c r="AI3848" s="10"/>
    </row>
    <row r="3849" spans="28:35" ht="15" hidden="1" customHeight="1">
      <c r="AB3849" s="9"/>
      <c r="AC3849" s="9"/>
      <c r="AD3849" s="9"/>
      <c r="AF3849" s="10"/>
      <c r="AG3849" s="10"/>
      <c r="AH3849" s="10"/>
      <c r="AI3849" s="10"/>
    </row>
    <row r="3850" spans="28:35" ht="15" hidden="1" customHeight="1">
      <c r="AB3850" s="9"/>
      <c r="AC3850" s="9"/>
      <c r="AD3850" s="9"/>
      <c r="AF3850" s="10"/>
      <c r="AG3850" s="10"/>
      <c r="AH3850" s="10"/>
      <c r="AI3850" s="10"/>
    </row>
    <row r="3851" spans="28:35" ht="15" hidden="1" customHeight="1">
      <c r="AB3851" s="9"/>
      <c r="AC3851" s="9"/>
      <c r="AD3851" s="9"/>
      <c r="AF3851" s="10"/>
      <c r="AG3851" s="10"/>
      <c r="AH3851" s="10"/>
      <c r="AI3851" s="10"/>
    </row>
    <row r="3852" spans="28:35" ht="15" hidden="1" customHeight="1">
      <c r="AB3852" s="9"/>
      <c r="AC3852" s="9"/>
      <c r="AD3852" s="9"/>
      <c r="AF3852" s="10"/>
      <c r="AG3852" s="10"/>
      <c r="AH3852" s="10"/>
      <c r="AI3852" s="10"/>
    </row>
    <row r="3853" spans="28:35" ht="15" hidden="1" customHeight="1">
      <c r="AB3853" s="9"/>
      <c r="AC3853" s="9"/>
      <c r="AD3853" s="9"/>
      <c r="AF3853" s="10"/>
      <c r="AG3853" s="10"/>
      <c r="AH3853" s="10"/>
      <c r="AI3853" s="10"/>
    </row>
    <row r="3854" spans="28:35" ht="15" hidden="1" customHeight="1">
      <c r="AB3854" s="9"/>
      <c r="AC3854" s="9"/>
      <c r="AD3854" s="9"/>
      <c r="AF3854" s="10"/>
      <c r="AG3854" s="10"/>
      <c r="AH3854" s="10"/>
      <c r="AI3854" s="10"/>
    </row>
    <row r="3855" spans="28:35" ht="15" hidden="1" customHeight="1">
      <c r="AB3855" s="9"/>
      <c r="AC3855" s="9"/>
      <c r="AD3855" s="9"/>
      <c r="AF3855" s="10"/>
      <c r="AG3855" s="10"/>
      <c r="AH3855" s="10"/>
      <c r="AI3855" s="10"/>
    </row>
    <row r="3856" spans="28:35" ht="15" hidden="1" customHeight="1">
      <c r="AB3856" s="9"/>
      <c r="AC3856" s="9"/>
      <c r="AD3856" s="9"/>
      <c r="AF3856" s="10"/>
      <c r="AG3856" s="10"/>
      <c r="AH3856" s="10"/>
      <c r="AI3856" s="10"/>
    </row>
    <row r="3857" spans="28:35" ht="15" hidden="1" customHeight="1">
      <c r="AB3857" s="9"/>
      <c r="AC3857" s="9"/>
      <c r="AD3857" s="9"/>
      <c r="AF3857" s="10"/>
      <c r="AG3857" s="10"/>
      <c r="AH3857" s="10"/>
      <c r="AI3857" s="10"/>
    </row>
    <row r="3858" spans="28:35" ht="15" hidden="1" customHeight="1">
      <c r="AB3858" s="9"/>
      <c r="AC3858" s="9"/>
      <c r="AD3858" s="9"/>
      <c r="AF3858" s="10"/>
      <c r="AG3858" s="10"/>
      <c r="AH3858" s="10"/>
      <c r="AI3858" s="10"/>
    </row>
    <row r="3859" spans="28:35" ht="15" hidden="1" customHeight="1">
      <c r="AB3859" s="9"/>
      <c r="AC3859" s="9"/>
      <c r="AD3859" s="9"/>
      <c r="AF3859" s="10"/>
      <c r="AG3859" s="10"/>
      <c r="AH3859" s="10"/>
      <c r="AI3859" s="10"/>
    </row>
    <row r="3860" spans="28:35" ht="15" hidden="1" customHeight="1">
      <c r="AB3860" s="9"/>
      <c r="AC3860" s="9"/>
      <c r="AD3860" s="9"/>
      <c r="AF3860" s="10"/>
      <c r="AG3860" s="10"/>
      <c r="AH3860" s="10"/>
      <c r="AI3860" s="10"/>
    </row>
    <row r="3861" spans="28:35" ht="15" hidden="1" customHeight="1">
      <c r="AB3861" s="9"/>
      <c r="AC3861" s="9"/>
      <c r="AD3861" s="9"/>
      <c r="AF3861" s="10"/>
      <c r="AG3861" s="10"/>
      <c r="AH3861" s="10"/>
      <c r="AI3861" s="10"/>
    </row>
    <row r="3862" spans="28:35" ht="15" hidden="1" customHeight="1">
      <c r="AB3862" s="9"/>
      <c r="AC3862" s="9"/>
      <c r="AD3862" s="9"/>
      <c r="AF3862" s="10"/>
      <c r="AG3862" s="10"/>
      <c r="AH3862" s="10"/>
      <c r="AI3862" s="10"/>
    </row>
    <row r="3863" spans="28:35" ht="15" hidden="1" customHeight="1">
      <c r="AB3863" s="9"/>
      <c r="AC3863" s="9"/>
      <c r="AD3863" s="9"/>
      <c r="AF3863" s="10"/>
      <c r="AG3863" s="10"/>
      <c r="AH3863" s="10"/>
      <c r="AI3863" s="10"/>
    </row>
    <row r="3864" spans="28:35" ht="15" hidden="1" customHeight="1">
      <c r="AB3864" s="9"/>
      <c r="AC3864" s="9"/>
      <c r="AD3864" s="9"/>
      <c r="AF3864" s="10"/>
      <c r="AG3864" s="10"/>
      <c r="AH3864" s="10"/>
      <c r="AI3864" s="10"/>
    </row>
    <row r="3865" spans="28:35" ht="15" hidden="1" customHeight="1">
      <c r="AB3865" s="9"/>
      <c r="AC3865" s="9"/>
      <c r="AD3865" s="9"/>
      <c r="AF3865" s="10"/>
      <c r="AG3865" s="10"/>
      <c r="AH3865" s="10"/>
      <c r="AI3865" s="10"/>
    </row>
    <row r="3866" spans="28:35" ht="15" hidden="1" customHeight="1">
      <c r="AB3866" s="9"/>
      <c r="AC3866" s="9"/>
      <c r="AD3866" s="9"/>
      <c r="AF3866" s="10"/>
      <c r="AG3866" s="10"/>
      <c r="AH3866" s="10"/>
      <c r="AI3866" s="10"/>
    </row>
    <row r="3867" spans="28:35" ht="15" hidden="1" customHeight="1">
      <c r="AB3867" s="9"/>
      <c r="AC3867" s="9"/>
      <c r="AD3867" s="9"/>
      <c r="AF3867" s="10"/>
      <c r="AG3867" s="10"/>
      <c r="AH3867" s="10"/>
      <c r="AI3867" s="10"/>
    </row>
    <row r="3868" spans="28:35" ht="15" hidden="1" customHeight="1">
      <c r="AB3868" s="9"/>
      <c r="AC3868" s="9"/>
      <c r="AD3868" s="9"/>
      <c r="AF3868" s="10"/>
      <c r="AG3868" s="10"/>
      <c r="AH3868" s="10"/>
      <c r="AI3868" s="10"/>
    </row>
    <row r="3869" spans="28:35" ht="15" hidden="1" customHeight="1">
      <c r="AB3869" s="9"/>
      <c r="AC3869" s="9"/>
      <c r="AD3869" s="9"/>
      <c r="AF3869" s="10"/>
      <c r="AG3869" s="10"/>
      <c r="AH3869" s="10"/>
      <c r="AI3869" s="10"/>
    </row>
    <row r="3870" spans="28:35" ht="15" hidden="1" customHeight="1">
      <c r="AB3870" s="9"/>
      <c r="AC3870" s="9"/>
      <c r="AD3870" s="9"/>
      <c r="AF3870" s="10"/>
      <c r="AG3870" s="10"/>
      <c r="AH3870" s="10"/>
      <c r="AI3870" s="10"/>
    </row>
    <row r="3871" spans="28:35" ht="15" hidden="1" customHeight="1">
      <c r="AB3871" s="9"/>
      <c r="AC3871" s="9"/>
      <c r="AD3871" s="9"/>
      <c r="AF3871" s="10"/>
      <c r="AG3871" s="10"/>
      <c r="AH3871" s="10"/>
      <c r="AI3871" s="10"/>
    </row>
    <row r="3872" spans="28:35" ht="15" hidden="1" customHeight="1">
      <c r="AB3872" s="9"/>
      <c r="AC3872" s="9"/>
      <c r="AD3872" s="9"/>
      <c r="AF3872" s="10"/>
      <c r="AG3872" s="10"/>
      <c r="AH3872" s="10"/>
      <c r="AI3872" s="10"/>
    </row>
    <row r="3873" spans="28:35" ht="15" hidden="1" customHeight="1">
      <c r="AB3873" s="9"/>
      <c r="AC3873" s="9"/>
      <c r="AD3873" s="9"/>
      <c r="AF3873" s="10"/>
      <c r="AG3873" s="10"/>
      <c r="AH3873" s="10"/>
      <c r="AI3873" s="10"/>
    </row>
    <row r="3874" spans="28:35" ht="15" hidden="1" customHeight="1">
      <c r="AB3874" s="9"/>
      <c r="AC3874" s="9"/>
      <c r="AD3874" s="9"/>
      <c r="AF3874" s="10"/>
      <c r="AG3874" s="10"/>
      <c r="AH3874" s="10"/>
      <c r="AI3874" s="10"/>
    </row>
    <row r="3875" spans="28:35" ht="15" hidden="1" customHeight="1">
      <c r="AB3875" s="9"/>
      <c r="AC3875" s="9"/>
      <c r="AD3875" s="9"/>
      <c r="AF3875" s="10"/>
      <c r="AG3875" s="10"/>
      <c r="AH3875" s="10"/>
      <c r="AI3875" s="10"/>
    </row>
    <row r="3876" spans="28:35" ht="15" hidden="1" customHeight="1">
      <c r="AB3876" s="9"/>
      <c r="AC3876" s="9"/>
      <c r="AD3876" s="9"/>
      <c r="AF3876" s="10"/>
      <c r="AG3876" s="10"/>
      <c r="AH3876" s="10"/>
      <c r="AI3876" s="10"/>
    </row>
    <row r="3877" spans="28:35" ht="15" hidden="1" customHeight="1">
      <c r="AB3877" s="9"/>
      <c r="AC3877" s="9"/>
      <c r="AD3877" s="9"/>
      <c r="AF3877" s="10"/>
      <c r="AG3877" s="10"/>
      <c r="AH3877" s="10"/>
      <c r="AI3877" s="10"/>
    </row>
    <row r="3878" spans="28:35" ht="15" hidden="1" customHeight="1">
      <c r="AB3878" s="9"/>
      <c r="AC3878" s="9"/>
      <c r="AD3878" s="9"/>
      <c r="AF3878" s="10"/>
      <c r="AG3878" s="10"/>
      <c r="AH3878" s="10"/>
      <c r="AI3878" s="10"/>
    </row>
    <row r="3879" spans="28:35" ht="15" hidden="1" customHeight="1">
      <c r="AB3879" s="9"/>
      <c r="AC3879" s="9"/>
      <c r="AD3879" s="9"/>
      <c r="AF3879" s="10"/>
      <c r="AG3879" s="10"/>
      <c r="AH3879" s="10"/>
      <c r="AI3879" s="10"/>
    </row>
    <row r="3880" spans="28:35" ht="15" hidden="1" customHeight="1">
      <c r="AB3880" s="9"/>
      <c r="AC3880" s="9"/>
      <c r="AD3880" s="9"/>
      <c r="AF3880" s="10"/>
      <c r="AG3880" s="10"/>
      <c r="AH3880" s="10"/>
      <c r="AI3880" s="10"/>
    </row>
    <row r="3881" spans="28:35" ht="15" hidden="1" customHeight="1">
      <c r="AB3881" s="9"/>
      <c r="AC3881" s="9"/>
      <c r="AD3881" s="9"/>
      <c r="AF3881" s="10"/>
      <c r="AG3881" s="10"/>
      <c r="AH3881" s="10"/>
      <c r="AI3881" s="10"/>
    </row>
    <row r="3882" spans="28:35" ht="15" hidden="1" customHeight="1">
      <c r="AB3882" s="9"/>
      <c r="AC3882" s="9"/>
      <c r="AD3882" s="9"/>
      <c r="AF3882" s="10"/>
      <c r="AG3882" s="10"/>
      <c r="AH3882" s="10"/>
      <c r="AI3882" s="10"/>
    </row>
    <row r="3883" spans="28:35" ht="15" hidden="1" customHeight="1">
      <c r="AB3883" s="9"/>
      <c r="AC3883" s="9"/>
      <c r="AD3883" s="9"/>
      <c r="AF3883" s="10"/>
      <c r="AG3883" s="10"/>
      <c r="AH3883" s="10"/>
      <c r="AI3883" s="10"/>
    </row>
    <row r="3884" spans="28:35" ht="15" hidden="1" customHeight="1">
      <c r="AB3884" s="9"/>
      <c r="AC3884" s="9"/>
      <c r="AD3884" s="9"/>
      <c r="AF3884" s="10"/>
      <c r="AG3884" s="10"/>
      <c r="AH3884" s="10"/>
      <c r="AI3884" s="10"/>
    </row>
    <row r="3885" spans="28:35" ht="15" hidden="1" customHeight="1">
      <c r="AB3885" s="9"/>
      <c r="AC3885" s="9"/>
      <c r="AD3885" s="9"/>
      <c r="AF3885" s="10"/>
      <c r="AG3885" s="10"/>
      <c r="AH3885" s="10"/>
      <c r="AI3885" s="10"/>
    </row>
    <row r="3886" spans="28:35" ht="15" hidden="1" customHeight="1">
      <c r="AB3886" s="9"/>
      <c r="AC3886" s="9"/>
      <c r="AD3886" s="9"/>
      <c r="AF3886" s="10"/>
      <c r="AG3886" s="10"/>
      <c r="AH3886" s="10"/>
      <c r="AI3886" s="10"/>
    </row>
    <row r="3887" spans="28:35" ht="15" hidden="1" customHeight="1">
      <c r="AB3887" s="9"/>
      <c r="AC3887" s="9"/>
      <c r="AD3887" s="9"/>
      <c r="AF3887" s="10"/>
      <c r="AG3887" s="10"/>
      <c r="AH3887" s="10"/>
      <c r="AI3887" s="10"/>
    </row>
    <row r="3888" spans="28:35" ht="15" hidden="1" customHeight="1">
      <c r="AB3888" s="9"/>
      <c r="AC3888" s="9"/>
      <c r="AD3888" s="9"/>
      <c r="AF3888" s="10"/>
      <c r="AG3888" s="10"/>
      <c r="AH3888" s="10"/>
      <c r="AI3888" s="10"/>
    </row>
    <row r="3889" spans="28:35" ht="15" hidden="1" customHeight="1">
      <c r="AB3889" s="9"/>
      <c r="AC3889" s="9"/>
      <c r="AD3889" s="9"/>
      <c r="AF3889" s="10"/>
      <c r="AG3889" s="10"/>
      <c r="AH3889" s="10"/>
      <c r="AI3889" s="10"/>
    </row>
    <row r="3890" spans="28:35" ht="15" hidden="1" customHeight="1">
      <c r="AB3890" s="9"/>
      <c r="AC3890" s="9"/>
      <c r="AD3890" s="9"/>
      <c r="AF3890" s="10"/>
      <c r="AG3890" s="10"/>
      <c r="AH3890" s="10"/>
      <c r="AI3890" s="10"/>
    </row>
    <row r="3891" spans="28:35" ht="15" hidden="1" customHeight="1">
      <c r="AB3891" s="9"/>
      <c r="AC3891" s="9"/>
      <c r="AD3891" s="9"/>
      <c r="AF3891" s="10"/>
      <c r="AG3891" s="10"/>
      <c r="AH3891" s="10"/>
      <c r="AI3891" s="10"/>
    </row>
    <row r="3892" spans="28:35" ht="15" hidden="1" customHeight="1">
      <c r="AB3892" s="9"/>
      <c r="AC3892" s="9"/>
      <c r="AD3892" s="9"/>
      <c r="AF3892" s="10"/>
      <c r="AG3892" s="10"/>
      <c r="AH3892" s="10"/>
      <c r="AI3892" s="10"/>
    </row>
    <row r="3893" spans="28:35" ht="15" hidden="1" customHeight="1">
      <c r="AB3893" s="9"/>
      <c r="AC3893" s="9"/>
      <c r="AD3893" s="9"/>
      <c r="AF3893" s="10"/>
      <c r="AG3893" s="10"/>
      <c r="AH3893" s="10"/>
      <c r="AI3893" s="10"/>
    </row>
    <row r="3894" spans="28:35" ht="15" hidden="1" customHeight="1">
      <c r="AB3894" s="9"/>
      <c r="AC3894" s="9"/>
      <c r="AD3894" s="9"/>
      <c r="AF3894" s="10"/>
      <c r="AG3894" s="10"/>
      <c r="AH3894" s="10"/>
      <c r="AI3894" s="10"/>
    </row>
    <row r="3895" spans="28:35" ht="15" hidden="1" customHeight="1">
      <c r="AB3895" s="9"/>
      <c r="AC3895" s="9"/>
      <c r="AD3895" s="9"/>
      <c r="AF3895" s="10"/>
      <c r="AG3895" s="10"/>
      <c r="AH3895" s="10"/>
      <c r="AI3895" s="10"/>
    </row>
    <row r="3896" spans="28:35" ht="15" hidden="1" customHeight="1">
      <c r="AB3896" s="9"/>
      <c r="AC3896" s="9"/>
      <c r="AD3896" s="9"/>
      <c r="AF3896" s="10"/>
      <c r="AG3896" s="10"/>
      <c r="AH3896" s="10"/>
      <c r="AI3896" s="10"/>
    </row>
    <row r="3897" spans="28:35" ht="15" hidden="1" customHeight="1">
      <c r="AB3897" s="9"/>
      <c r="AC3897" s="9"/>
      <c r="AD3897" s="9"/>
      <c r="AF3897" s="10"/>
      <c r="AG3897" s="10"/>
      <c r="AH3897" s="10"/>
      <c r="AI3897" s="10"/>
    </row>
    <row r="3898" spans="28:35" ht="15" hidden="1" customHeight="1">
      <c r="AB3898" s="9"/>
      <c r="AC3898" s="9"/>
      <c r="AD3898" s="9"/>
      <c r="AF3898" s="10"/>
      <c r="AG3898" s="10"/>
      <c r="AH3898" s="10"/>
      <c r="AI3898" s="10"/>
    </row>
    <row r="3899" spans="28:35" ht="15" hidden="1" customHeight="1">
      <c r="AB3899" s="9"/>
      <c r="AC3899" s="9"/>
      <c r="AD3899" s="9"/>
      <c r="AF3899" s="10"/>
      <c r="AG3899" s="10"/>
      <c r="AH3899" s="10"/>
      <c r="AI3899" s="10"/>
    </row>
    <row r="3900" spans="28:35" ht="15" hidden="1" customHeight="1">
      <c r="AB3900" s="9"/>
      <c r="AC3900" s="9"/>
      <c r="AD3900" s="9"/>
      <c r="AF3900" s="10"/>
      <c r="AG3900" s="10"/>
      <c r="AH3900" s="10"/>
      <c r="AI3900" s="10"/>
    </row>
    <row r="3901" spans="28:35" ht="15" hidden="1" customHeight="1">
      <c r="AB3901" s="9"/>
      <c r="AC3901" s="9"/>
      <c r="AD3901" s="9"/>
      <c r="AF3901" s="10"/>
      <c r="AG3901" s="10"/>
      <c r="AH3901" s="10"/>
      <c r="AI3901" s="10"/>
    </row>
    <row r="3902" spans="28:35" ht="15" hidden="1" customHeight="1">
      <c r="AB3902" s="9"/>
      <c r="AC3902" s="9"/>
      <c r="AD3902" s="9"/>
      <c r="AF3902" s="10"/>
      <c r="AG3902" s="10"/>
      <c r="AH3902" s="10"/>
      <c r="AI3902" s="10"/>
    </row>
    <row r="3903" spans="28:35" ht="15" hidden="1" customHeight="1">
      <c r="AB3903" s="9"/>
      <c r="AC3903" s="9"/>
      <c r="AD3903" s="9"/>
      <c r="AF3903" s="10"/>
      <c r="AG3903" s="10"/>
      <c r="AH3903" s="10"/>
      <c r="AI3903" s="10"/>
    </row>
    <row r="3904" spans="28:35" ht="15" hidden="1" customHeight="1">
      <c r="AB3904" s="9"/>
      <c r="AC3904" s="9"/>
      <c r="AD3904" s="9"/>
      <c r="AF3904" s="10"/>
      <c r="AG3904" s="10"/>
      <c r="AH3904" s="10"/>
      <c r="AI3904" s="10"/>
    </row>
    <row r="3905" spans="28:35" ht="15" hidden="1" customHeight="1">
      <c r="AB3905" s="9"/>
      <c r="AC3905" s="9"/>
      <c r="AD3905" s="9"/>
      <c r="AF3905" s="10"/>
      <c r="AG3905" s="10"/>
      <c r="AH3905" s="10"/>
      <c r="AI3905" s="10"/>
    </row>
    <row r="3906" spans="28:35" ht="15" hidden="1" customHeight="1">
      <c r="AB3906" s="9"/>
      <c r="AC3906" s="9"/>
      <c r="AD3906" s="9"/>
      <c r="AF3906" s="10"/>
      <c r="AG3906" s="10"/>
      <c r="AH3906" s="10"/>
      <c r="AI3906" s="10"/>
    </row>
    <row r="3907" spans="28:35" ht="15" hidden="1" customHeight="1">
      <c r="AB3907" s="9"/>
      <c r="AC3907" s="9"/>
      <c r="AD3907" s="9"/>
      <c r="AF3907" s="10"/>
      <c r="AG3907" s="10"/>
      <c r="AH3907" s="10"/>
      <c r="AI3907" s="10"/>
    </row>
    <row r="3908" spans="28:35" ht="15" hidden="1" customHeight="1">
      <c r="AB3908" s="9"/>
      <c r="AC3908" s="9"/>
      <c r="AD3908" s="9"/>
      <c r="AF3908" s="10"/>
      <c r="AG3908" s="10"/>
      <c r="AH3908" s="10"/>
      <c r="AI3908" s="10"/>
    </row>
    <row r="3909" spans="28:35" ht="15" hidden="1" customHeight="1">
      <c r="AB3909" s="9"/>
      <c r="AC3909" s="9"/>
      <c r="AD3909" s="9"/>
      <c r="AF3909" s="10"/>
      <c r="AG3909" s="10"/>
      <c r="AH3909" s="10"/>
      <c r="AI3909" s="10"/>
    </row>
    <row r="3910" spans="28:35" ht="15" hidden="1" customHeight="1">
      <c r="AB3910" s="9"/>
      <c r="AC3910" s="9"/>
      <c r="AD3910" s="9"/>
      <c r="AF3910" s="10"/>
      <c r="AG3910" s="10"/>
      <c r="AH3910" s="10"/>
      <c r="AI3910" s="10"/>
    </row>
    <row r="3911" spans="28:35" ht="15" hidden="1" customHeight="1">
      <c r="AB3911" s="9"/>
      <c r="AC3911" s="9"/>
      <c r="AD3911" s="9"/>
      <c r="AF3911" s="10"/>
      <c r="AG3911" s="10"/>
      <c r="AH3911" s="10"/>
      <c r="AI3911" s="10"/>
    </row>
    <row r="3912" spans="28:35" ht="15" hidden="1" customHeight="1">
      <c r="AB3912" s="9"/>
      <c r="AC3912" s="9"/>
      <c r="AD3912" s="9"/>
      <c r="AF3912" s="10"/>
      <c r="AG3912" s="10"/>
      <c r="AH3912" s="10"/>
      <c r="AI3912" s="10"/>
    </row>
    <row r="3913" spans="28:35" ht="15" hidden="1" customHeight="1">
      <c r="AB3913" s="9"/>
      <c r="AC3913" s="9"/>
      <c r="AD3913" s="9"/>
      <c r="AF3913" s="10"/>
      <c r="AG3913" s="10"/>
      <c r="AH3913" s="10"/>
      <c r="AI3913" s="10"/>
    </row>
    <row r="3914" spans="28:35" ht="15" hidden="1" customHeight="1">
      <c r="AB3914" s="9"/>
      <c r="AC3914" s="9"/>
      <c r="AD3914" s="9"/>
      <c r="AF3914" s="10"/>
      <c r="AG3914" s="10"/>
      <c r="AH3914" s="10"/>
      <c r="AI3914" s="10"/>
    </row>
    <row r="3915" spans="28:35" ht="15" hidden="1" customHeight="1">
      <c r="AB3915" s="9"/>
      <c r="AC3915" s="9"/>
      <c r="AD3915" s="9"/>
      <c r="AF3915" s="10"/>
      <c r="AG3915" s="10"/>
      <c r="AH3915" s="10"/>
      <c r="AI3915" s="10"/>
    </row>
    <row r="3916" spans="28:35" ht="15" hidden="1" customHeight="1">
      <c r="AB3916" s="9"/>
      <c r="AC3916" s="9"/>
      <c r="AD3916" s="9"/>
      <c r="AF3916" s="10"/>
      <c r="AG3916" s="10"/>
      <c r="AH3916" s="10"/>
      <c r="AI3916" s="10"/>
    </row>
    <row r="3917" spans="28:35" ht="15" hidden="1" customHeight="1">
      <c r="AB3917" s="9"/>
      <c r="AC3917" s="9"/>
      <c r="AD3917" s="9"/>
      <c r="AF3917" s="10"/>
      <c r="AG3917" s="10"/>
      <c r="AH3917" s="10"/>
      <c r="AI3917" s="10"/>
    </row>
    <row r="3918" spans="28:35" ht="15" hidden="1" customHeight="1">
      <c r="AB3918" s="9"/>
      <c r="AC3918" s="9"/>
      <c r="AD3918" s="9"/>
      <c r="AF3918" s="10"/>
      <c r="AG3918" s="10"/>
      <c r="AH3918" s="10"/>
      <c r="AI3918" s="10"/>
    </row>
    <row r="3919" spans="28:35" ht="15" hidden="1" customHeight="1">
      <c r="AB3919" s="9"/>
      <c r="AC3919" s="9"/>
      <c r="AD3919" s="9"/>
      <c r="AF3919" s="10"/>
      <c r="AG3919" s="10"/>
      <c r="AH3919" s="10"/>
      <c r="AI3919" s="10"/>
    </row>
    <row r="3920" spans="28:35" ht="15" hidden="1" customHeight="1">
      <c r="AB3920" s="9"/>
      <c r="AC3920" s="9"/>
      <c r="AD3920" s="9"/>
      <c r="AF3920" s="10"/>
      <c r="AG3920" s="10"/>
      <c r="AH3920" s="10"/>
      <c r="AI3920" s="10"/>
    </row>
    <row r="3921" spans="28:35" ht="15" hidden="1" customHeight="1">
      <c r="AB3921" s="9"/>
      <c r="AC3921" s="9"/>
      <c r="AD3921" s="9"/>
      <c r="AF3921" s="10"/>
      <c r="AG3921" s="10"/>
      <c r="AH3921" s="10"/>
      <c r="AI3921" s="10"/>
    </row>
    <row r="3922" spans="28:35" ht="15" hidden="1" customHeight="1">
      <c r="AB3922" s="9"/>
      <c r="AC3922" s="9"/>
      <c r="AD3922" s="9"/>
      <c r="AF3922" s="10"/>
      <c r="AG3922" s="10"/>
      <c r="AH3922" s="10"/>
      <c r="AI3922" s="10"/>
    </row>
    <row r="3923" spans="28:35" ht="15" hidden="1" customHeight="1">
      <c r="AB3923" s="9"/>
      <c r="AC3923" s="9"/>
      <c r="AD3923" s="9"/>
      <c r="AF3923" s="10"/>
      <c r="AG3923" s="10"/>
      <c r="AH3923" s="10"/>
      <c r="AI3923" s="10"/>
    </row>
    <row r="3924" spans="28:35" ht="15" hidden="1" customHeight="1">
      <c r="AB3924" s="9"/>
      <c r="AC3924" s="9"/>
      <c r="AD3924" s="9"/>
      <c r="AF3924" s="10"/>
      <c r="AG3924" s="10"/>
      <c r="AH3924" s="10"/>
      <c r="AI3924" s="10"/>
    </row>
    <row r="3925" spans="28:35" ht="15" hidden="1" customHeight="1">
      <c r="AB3925" s="9"/>
      <c r="AC3925" s="9"/>
      <c r="AD3925" s="9"/>
      <c r="AF3925" s="10"/>
      <c r="AG3925" s="10"/>
      <c r="AH3925" s="10"/>
      <c r="AI3925" s="10"/>
    </row>
    <row r="3926" spans="28:35" ht="15" hidden="1" customHeight="1">
      <c r="AB3926" s="9"/>
      <c r="AC3926" s="9"/>
      <c r="AD3926" s="9"/>
      <c r="AF3926" s="10"/>
      <c r="AG3926" s="10"/>
      <c r="AH3926" s="10"/>
      <c r="AI3926" s="10"/>
    </row>
    <row r="3927" spans="28:35" ht="15" hidden="1" customHeight="1">
      <c r="AB3927" s="9"/>
      <c r="AC3927" s="9"/>
      <c r="AD3927" s="9"/>
      <c r="AF3927" s="10"/>
      <c r="AG3927" s="10"/>
      <c r="AH3927" s="10"/>
      <c r="AI3927" s="10"/>
    </row>
    <row r="3928" spans="28:35" ht="15" hidden="1" customHeight="1">
      <c r="AB3928" s="9"/>
      <c r="AC3928" s="9"/>
      <c r="AD3928" s="9"/>
      <c r="AF3928" s="10"/>
      <c r="AG3928" s="10"/>
      <c r="AH3928" s="10"/>
      <c r="AI3928" s="10"/>
    </row>
    <row r="3929" spans="28:35" ht="15" hidden="1" customHeight="1">
      <c r="AB3929" s="9"/>
      <c r="AC3929" s="9"/>
      <c r="AD3929" s="9"/>
      <c r="AF3929" s="10"/>
      <c r="AG3929" s="10"/>
      <c r="AH3929" s="10"/>
      <c r="AI3929" s="10"/>
    </row>
    <row r="3930" spans="28:35" ht="15" hidden="1" customHeight="1">
      <c r="AB3930" s="9"/>
      <c r="AC3930" s="9"/>
      <c r="AD3930" s="9"/>
      <c r="AF3930" s="10"/>
      <c r="AG3930" s="10"/>
      <c r="AH3930" s="10"/>
      <c r="AI3930" s="10"/>
    </row>
    <row r="3931" spans="28:35" ht="15" hidden="1" customHeight="1">
      <c r="AB3931" s="9"/>
      <c r="AC3931" s="9"/>
      <c r="AD3931" s="9"/>
      <c r="AF3931" s="10"/>
      <c r="AG3931" s="10"/>
      <c r="AH3931" s="10"/>
      <c r="AI3931" s="10"/>
    </row>
    <row r="3932" spans="28:35" ht="15" hidden="1" customHeight="1">
      <c r="AB3932" s="9"/>
      <c r="AC3932" s="9"/>
      <c r="AD3932" s="9"/>
      <c r="AF3932" s="10"/>
      <c r="AG3932" s="10"/>
      <c r="AH3932" s="10"/>
      <c r="AI3932" s="10"/>
    </row>
    <row r="3933" spans="28:35" ht="15" hidden="1" customHeight="1">
      <c r="AB3933" s="9"/>
      <c r="AC3933" s="9"/>
      <c r="AD3933" s="9"/>
      <c r="AF3933" s="10"/>
      <c r="AG3933" s="10"/>
      <c r="AH3933" s="10"/>
      <c r="AI3933" s="10"/>
    </row>
    <row r="3934" spans="28:35" ht="15" hidden="1" customHeight="1">
      <c r="AB3934" s="9"/>
      <c r="AC3934" s="9"/>
      <c r="AD3934" s="9"/>
      <c r="AF3934" s="10"/>
      <c r="AG3934" s="10"/>
      <c r="AH3934" s="10"/>
      <c r="AI3934" s="10"/>
    </row>
    <row r="3935" spans="28:35" ht="15" hidden="1" customHeight="1">
      <c r="AB3935" s="9"/>
      <c r="AC3935" s="9"/>
      <c r="AD3935" s="9"/>
      <c r="AF3935" s="10"/>
      <c r="AG3935" s="10"/>
      <c r="AH3935" s="10"/>
      <c r="AI3935" s="10"/>
    </row>
    <row r="3936" spans="28:35" ht="15" hidden="1" customHeight="1">
      <c r="AB3936" s="9"/>
      <c r="AC3936" s="9"/>
      <c r="AD3936" s="9"/>
      <c r="AF3936" s="10"/>
      <c r="AG3936" s="10"/>
      <c r="AH3936" s="10"/>
      <c r="AI3936" s="10"/>
    </row>
    <row r="3937" spans="28:35" ht="15" hidden="1" customHeight="1">
      <c r="AB3937" s="9"/>
      <c r="AC3937" s="9"/>
      <c r="AD3937" s="9"/>
      <c r="AF3937" s="10"/>
      <c r="AG3937" s="10"/>
      <c r="AH3937" s="10"/>
      <c r="AI3937" s="10"/>
    </row>
    <row r="3938" spans="28:35" ht="15" hidden="1" customHeight="1">
      <c r="AB3938" s="9"/>
      <c r="AC3938" s="9"/>
      <c r="AD3938" s="9"/>
      <c r="AF3938" s="10"/>
      <c r="AG3938" s="10"/>
      <c r="AH3938" s="10"/>
      <c r="AI3938" s="10"/>
    </row>
    <row r="3939" spans="28:35" ht="15" hidden="1" customHeight="1">
      <c r="AB3939" s="9"/>
      <c r="AC3939" s="9"/>
      <c r="AD3939" s="9"/>
      <c r="AF3939" s="10"/>
      <c r="AG3939" s="10"/>
      <c r="AH3939" s="10"/>
      <c r="AI3939" s="10"/>
    </row>
    <row r="3940" spans="28:35" ht="15" hidden="1" customHeight="1">
      <c r="AB3940" s="9"/>
      <c r="AC3940" s="9"/>
      <c r="AD3940" s="9"/>
      <c r="AF3940" s="10"/>
      <c r="AG3940" s="10"/>
      <c r="AH3940" s="10"/>
      <c r="AI3940" s="10"/>
    </row>
    <row r="3941" spans="28:35" ht="15" hidden="1" customHeight="1">
      <c r="AB3941" s="9"/>
      <c r="AC3941" s="9"/>
      <c r="AD3941" s="9"/>
      <c r="AF3941" s="10"/>
      <c r="AG3941" s="10"/>
      <c r="AH3941" s="10"/>
      <c r="AI3941" s="10"/>
    </row>
    <row r="3942" spans="28:35" ht="15" hidden="1" customHeight="1">
      <c r="AB3942" s="9"/>
      <c r="AC3942" s="9"/>
      <c r="AD3942" s="9"/>
      <c r="AF3942" s="10"/>
      <c r="AG3942" s="10"/>
      <c r="AH3942" s="10"/>
      <c r="AI3942" s="10"/>
    </row>
    <row r="3943" spans="28:35" ht="15" hidden="1" customHeight="1">
      <c r="AB3943" s="9"/>
      <c r="AC3943" s="9"/>
      <c r="AD3943" s="9"/>
      <c r="AF3943" s="10"/>
      <c r="AG3943" s="10"/>
      <c r="AH3943" s="10"/>
      <c r="AI3943" s="10"/>
    </row>
    <row r="3944" spans="28:35" ht="15" hidden="1" customHeight="1">
      <c r="AB3944" s="9"/>
      <c r="AC3944" s="9"/>
      <c r="AD3944" s="9"/>
      <c r="AF3944" s="10"/>
      <c r="AG3944" s="10"/>
      <c r="AH3944" s="10"/>
      <c r="AI3944" s="10"/>
    </row>
    <row r="3945" spans="28:35" ht="15" hidden="1" customHeight="1">
      <c r="AB3945" s="9"/>
      <c r="AC3945" s="9"/>
      <c r="AD3945" s="9"/>
      <c r="AF3945" s="10"/>
      <c r="AG3945" s="10"/>
      <c r="AH3945" s="10"/>
      <c r="AI3945" s="10"/>
    </row>
    <row r="3946" spans="28:35" ht="15" hidden="1" customHeight="1">
      <c r="AB3946" s="9"/>
      <c r="AC3946" s="9"/>
      <c r="AD3946" s="9"/>
      <c r="AF3946" s="10"/>
      <c r="AG3946" s="10"/>
      <c r="AH3946" s="10"/>
      <c r="AI3946" s="10"/>
    </row>
    <row r="3947" spans="28:35" ht="15" hidden="1" customHeight="1">
      <c r="AB3947" s="9"/>
      <c r="AC3947" s="9"/>
      <c r="AD3947" s="9"/>
      <c r="AF3947" s="10"/>
      <c r="AG3947" s="10"/>
      <c r="AH3947" s="10"/>
      <c r="AI3947" s="10"/>
    </row>
    <row r="3948" spans="28:35" ht="15" hidden="1" customHeight="1">
      <c r="AB3948" s="9"/>
      <c r="AC3948" s="9"/>
      <c r="AD3948" s="9"/>
      <c r="AF3948" s="10"/>
      <c r="AG3948" s="10"/>
      <c r="AH3948" s="10"/>
      <c r="AI3948" s="10"/>
    </row>
    <row r="3949" spans="28:35" ht="15" hidden="1" customHeight="1">
      <c r="AB3949" s="9"/>
      <c r="AC3949" s="9"/>
      <c r="AD3949" s="9"/>
      <c r="AF3949" s="10"/>
      <c r="AG3949" s="10"/>
      <c r="AH3949" s="10"/>
      <c r="AI3949" s="10"/>
    </row>
    <row r="3950" spans="28:35" ht="15" hidden="1" customHeight="1">
      <c r="AB3950" s="9"/>
      <c r="AC3950" s="9"/>
      <c r="AD3950" s="9"/>
      <c r="AF3950" s="10"/>
      <c r="AG3950" s="10"/>
      <c r="AH3950" s="10"/>
      <c r="AI3950" s="10"/>
    </row>
    <row r="3951" spans="28:35" ht="15" hidden="1" customHeight="1">
      <c r="AB3951" s="9"/>
      <c r="AC3951" s="9"/>
      <c r="AD3951" s="9"/>
      <c r="AF3951" s="10"/>
      <c r="AG3951" s="10"/>
      <c r="AH3951" s="10"/>
      <c r="AI3951" s="10"/>
    </row>
    <row r="3952" spans="28:35" ht="15" hidden="1" customHeight="1">
      <c r="AB3952" s="9"/>
      <c r="AC3952" s="9"/>
      <c r="AD3952" s="9"/>
      <c r="AF3952" s="10"/>
      <c r="AG3952" s="10"/>
      <c r="AH3952" s="10"/>
      <c r="AI3952" s="10"/>
    </row>
    <row r="3953" spans="28:35" ht="15" hidden="1" customHeight="1">
      <c r="AB3953" s="9"/>
      <c r="AC3953" s="9"/>
      <c r="AD3953" s="9"/>
      <c r="AF3953" s="10"/>
      <c r="AG3953" s="10"/>
      <c r="AH3953" s="10"/>
      <c r="AI3953" s="10"/>
    </row>
    <row r="3954" spans="28:35" ht="15" hidden="1" customHeight="1">
      <c r="AB3954" s="9"/>
      <c r="AC3954" s="9"/>
      <c r="AD3954" s="9"/>
      <c r="AF3954" s="10"/>
      <c r="AG3954" s="10"/>
      <c r="AH3954" s="10"/>
      <c r="AI3954" s="10"/>
    </row>
    <row r="3955" spans="28:35" ht="15" hidden="1" customHeight="1">
      <c r="AB3955" s="9"/>
      <c r="AC3955" s="9"/>
      <c r="AD3955" s="9"/>
      <c r="AF3955" s="10"/>
      <c r="AG3955" s="10"/>
      <c r="AH3955" s="10"/>
      <c r="AI3955" s="10"/>
    </row>
    <row r="3956" spans="28:35" ht="15" hidden="1" customHeight="1">
      <c r="AB3956" s="9"/>
      <c r="AC3956" s="9"/>
      <c r="AD3956" s="9"/>
      <c r="AF3956" s="10"/>
      <c r="AG3956" s="10"/>
      <c r="AH3956" s="10"/>
      <c r="AI3956" s="10"/>
    </row>
    <row r="3957" spans="28:35" ht="15" hidden="1" customHeight="1">
      <c r="AB3957" s="9"/>
      <c r="AC3957" s="9"/>
      <c r="AD3957" s="9"/>
      <c r="AF3957" s="10"/>
      <c r="AG3957" s="10"/>
      <c r="AH3957" s="10"/>
      <c r="AI3957" s="10"/>
    </row>
    <row r="3958" spans="28:35" ht="15" hidden="1" customHeight="1">
      <c r="AB3958" s="9"/>
      <c r="AC3958" s="9"/>
      <c r="AD3958" s="9"/>
      <c r="AF3958" s="10"/>
      <c r="AG3958" s="10"/>
      <c r="AH3958" s="10"/>
      <c r="AI3958" s="10"/>
    </row>
    <row r="3959" spans="28:35" ht="15" hidden="1" customHeight="1">
      <c r="AB3959" s="9"/>
      <c r="AC3959" s="9"/>
      <c r="AD3959" s="9"/>
      <c r="AF3959" s="10"/>
      <c r="AG3959" s="10"/>
      <c r="AH3959" s="10"/>
      <c r="AI3959" s="10"/>
    </row>
    <row r="3960" spans="28:35" ht="15" hidden="1" customHeight="1">
      <c r="AB3960" s="9"/>
      <c r="AC3960" s="9"/>
      <c r="AD3960" s="9"/>
      <c r="AF3960" s="10"/>
      <c r="AG3960" s="10"/>
      <c r="AH3960" s="10"/>
      <c r="AI3960" s="10"/>
    </row>
    <row r="3961" spans="28:35" ht="15" hidden="1" customHeight="1">
      <c r="AB3961" s="9"/>
      <c r="AC3961" s="9"/>
      <c r="AD3961" s="9"/>
      <c r="AF3961" s="10"/>
      <c r="AG3961" s="10"/>
      <c r="AH3961" s="10"/>
      <c r="AI3961" s="10"/>
    </row>
    <row r="3962" spans="28:35" ht="15" hidden="1" customHeight="1">
      <c r="AB3962" s="9"/>
      <c r="AC3962" s="9"/>
      <c r="AD3962" s="9"/>
      <c r="AF3962" s="10"/>
      <c r="AG3962" s="10"/>
      <c r="AH3962" s="10"/>
      <c r="AI3962" s="10"/>
    </row>
    <row r="3963" spans="28:35" ht="15" hidden="1" customHeight="1">
      <c r="AB3963" s="9"/>
      <c r="AC3963" s="9"/>
      <c r="AD3963" s="9"/>
      <c r="AF3963" s="10"/>
      <c r="AG3963" s="10"/>
      <c r="AH3963" s="10"/>
      <c r="AI3963" s="10"/>
    </row>
    <row r="3964" spans="28:35" ht="15" hidden="1" customHeight="1">
      <c r="AB3964" s="9"/>
      <c r="AC3964" s="9"/>
      <c r="AD3964" s="9"/>
      <c r="AF3964" s="10"/>
      <c r="AG3964" s="10"/>
      <c r="AH3964" s="10"/>
      <c r="AI3964" s="10"/>
    </row>
    <row r="3965" spans="28:35" ht="15" hidden="1" customHeight="1">
      <c r="AB3965" s="9"/>
      <c r="AC3965" s="9"/>
      <c r="AD3965" s="9"/>
      <c r="AF3965" s="10"/>
      <c r="AG3965" s="10"/>
      <c r="AH3965" s="10"/>
      <c r="AI3965" s="10"/>
    </row>
    <row r="3966" spans="28:35" ht="15" hidden="1" customHeight="1">
      <c r="AB3966" s="9"/>
      <c r="AC3966" s="9"/>
      <c r="AD3966" s="9"/>
      <c r="AF3966" s="10"/>
      <c r="AG3966" s="10"/>
      <c r="AH3966" s="10"/>
      <c r="AI3966" s="10"/>
    </row>
    <row r="3967" spans="28:35" ht="15" hidden="1" customHeight="1">
      <c r="AB3967" s="9"/>
      <c r="AC3967" s="9"/>
      <c r="AD3967" s="9"/>
      <c r="AF3967" s="10"/>
      <c r="AG3967" s="10"/>
      <c r="AH3967" s="10"/>
      <c r="AI3967" s="10"/>
    </row>
    <row r="3968" spans="28:35" ht="15" hidden="1" customHeight="1">
      <c r="AB3968" s="9"/>
      <c r="AC3968" s="9"/>
      <c r="AD3968" s="9"/>
      <c r="AF3968" s="10"/>
      <c r="AG3968" s="10"/>
      <c r="AH3968" s="10"/>
      <c r="AI3968" s="10"/>
    </row>
    <row r="3969" spans="28:35" ht="15" hidden="1" customHeight="1">
      <c r="AB3969" s="9"/>
      <c r="AC3969" s="9"/>
      <c r="AD3969" s="9"/>
      <c r="AF3969" s="10"/>
      <c r="AG3969" s="10"/>
      <c r="AH3969" s="10"/>
      <c r="AI3969" s="10"/>
    </row>
    <row r="3970" spans="28:35" ht="15" hidden="1" customHeight="1">
      <c r="AB3970" s="9"/>
      <c r="AC3970" s="9"/>
      <c r="AD3970" s="9"/>
      <c r="AF3970" s="10"/>
      <c r="AG3970" s="10"/>
      <c r="AH3970" s="10"/>
      <c r="AI3970" s="10"/>
    </row>
    <row r="3971" spans="28:35" ht="15" hidden="1" customHeight="1">
      <c r="AB3971" s="9"/>
      <c r="AC3971" s="9"/>
      <c r="AD3971" s="9"/>
      <c r="AF3971" s="10"/>
      <c r="AG3971" s="10"/>
      <c r="AH3971" s="10"/>
      <c r="AI3971" s="10"/>
    </row>
    <row r="3972" spans="28:35" ht="15" hidden="1" customHeight="1">
      <c r="AB3972" s="9"/>
      <c r="AC3972" s="9"/>
      <c r="AD3972" s="9"/>
      <c r="AF3972" s="10"/>
      <c r="AG3972" s="10"/>
      <c r="AH3972" s="10"/>
      <c r="AI3972" s="10"/>
    </row>
    <row r="3973" spans="28:35" ht="15" hidden="1" customHeight="1">
      <c r="AB3973" s="9"/>
      <c r="AC3973" s="9"/>
      <c r="AD3973" s="9"/>
      <c r="AF3973" s="10"/>
      <c r="AG3973" s="10"/>
      <c r="AH3973" s="10"/>
      <c r="AI3973" s="10"/>
    </row>
    <row r="3974" spans="28:35" ht="15" hidden="1" customHeight="1">
      <c r="AB3974" s="9"/>
      <c r="AC3974" s="9"/>
      <c r="AD3974" s="9"/>
      <c r="AF3974" s="10"/>
      <c r="AG3974" s="10"/>
      <c r="AH3974" s="10"/>
      <c r="AI3974" s="10"/>
    </row>
    <row r="3975" spans="28:35" ht="15" hidden="1" customHeight="1">
      <c r="AB3975" s="9"/>
      <c r="AC3975" s="9"/>
      <c r="AD3975" s="9"/>
      <c r="AF3975" s="10"/>
      <c r="AG3975" s="10"/>
      <c r="AH3975" s="10"/>
      <c r="AI3975" s="10"/>
    </row>
    <row r="3976" spans="28:35" ht="15" hidden="1" customHeight="1">
      <c r="AB3976" s="9"/>
      <c r="AC3976" s="9"/>
      <c r="AD3976" s="9"/>
      <c r="AF3976" s="10"/>
      <c r="AG3976" s="10"/>
      <c r="AH3976" s="10"/>
      <c r="AI3976" s="10"/>
    </row>
    <row r="3977" spans="28:35" ht="15" hidden="1" customHeight="1">
      <c r="AB3977" s="9"/>
      <c r="AC3977" s="9"/>
      <c r="AD3977" s="9"/>
      <c r="AF3977" s="10"/>
      <c r="AG3977" s="10"/>
      <c r="AH3977" s="10"/>
      <c r="AI3977" s="10"/>
    </row>
    <row r="3978" spans="28:35" ht="15" hidden="1" customHeight="1">
      <c r="AB3978" s="9"/>
      <c r="AC3978" s="9"/>
      <c r="AD3978" s="9"/>
      <c r="AF3978" s="10"/>
      <c r="AG3978" s="10"/>
      <c r="AH3978" s="10"/>
      <c r="AI3978" s="10"/>
    </row>
    <row r="3979" spans="28:35" ht="15" hidden="1" customHeight="1">
      <c r="AB3979" s="9"/>
      <c r="AC3979" s="9"/>
      <c r="AD3979" s="9"/>
      <c r="AF3979" s="10"/>
      <c r="AG3979" s="10"/>
      <c r="AH3979" s="10"/>
      <c r="AI3979" s="10"/>
    </row>
    <row r="3980" spans="28:35" ht="15" hidden="1" customHeight="1">
      <c r="AB3980" s="9"/>
      <c r="AC3980" s="9"/>
      <c r="AD3980" s="9"/>
      <c r="AF3980" s="10"/>
      <c r="AG3980" s="10"/>
      <c r="AH3980" s="10"/>
      <c r="AI3980" s="10"/>
    </row>
    <row r="3981" spans="28:35" ht="15" hidden="1" customHeight="1">
      <c r="AB3981" s="9"/>
      <c r="AC3981" s="9"/>
      <c r="AD3981" s="9"/>
      <c r="AF3981" s="10"/>
      <c r="AG3981" s="10"/>
      <c r="AH3981" s="10"/>
      <c r="AI3981" s="10"/>
    </row>
    <row r="3982" spans="28:35" ht="15" hidden="1" customHeight="1">
      <c r="AB3982" s="9"/>
      <c r="AC3982" s="9"/>
      <c r="AD3982" s="9"/>
      <c r="AF3982" s="10"/>
      <c r="AG3982" s="10"/>
      <c r="AH3982" s="10"/>
      <c r="AI3982" s="10"/>
    </row>
    <row r="3983" spans="28:35" ht="15" hidden="1" customHeight="1">
      <c r="AB3983" s="9"/>
      <c r="AC3983" s="9"/>
      <c r="AD3983" s="9"/>
      <c r="AF3983" s="10"/>
      <c r="AG3983" s="10"/>
      <c r="AH3983" s="10"/>
      <c r="AI3983" s="10"/>
    </row>
    <row r="3984" spans="28:35" ht="15" hidden="1" customHeight="1">
      <c r="AB3984" s="9"/>
      <c r="AC3984" s="9"/>
      <c r="AD3984" s="9"/>
      <c r="AF3984" s="10"/>
      <c r="AG3984" s="10"/>
      <c r="AH3984" s="10"/>
      <c r="AI3984" s="10"/>
    </row>
    <row r="3985" spans="28:35" ht="15" hidden="1" customHeight="1">
      <c r="AB3985" s="9"/>
      <c r="AC3985" s="9"/>
      <c r="AD3985" s="9"/>
      <c r="AF3985" s="10"/>
      <c r="AG3985" s="10"/>
      <c r="AH3985" s="10"/>
      <c r="AI3985" s="10"/>
    </row>
    <row r="3986" spans="28:35" ht="15" hidden="1" customHeight="1">
      <c r="AB3986" s="9"/>
      <c r="AC3986" s="9"/>
      <c r="AD3986" s="9"/>
      <c r="AF3986" s="10"/>
      <c r="AG3986" s="10"/>
      <c r="AH3986" s="10"/>
      <c r="AI3986" s="10"/>
    </row>
    <row r="3987" spans="28:35" ht="15" hidden="1" customHeight="1">
      <c r="AB3987" s="9"/>
      <c r="AC3987" s="9"/>
      <c r="AD3987" s="9"/>
      <c r="AF3987" s="10"/>
      <c r="AG3987" s="10"/>
      <c r="AH3987" s="10"/>
      <c r="AI3987" s="10"/>
    </row>
    <row r="3988" spans="28:35" ht="15" hidden="1" customHeight="1">
      <c r="AB3988" s="9"/>
      <c r="AC3988" s="9"/>
      <c r="AD3988" s="9"/>
      <c r="AF3988" s="10"/>
      <c r="AG3988" s="10"/>
      <c r="AH3988" s="10"/>
      <c r="AI3988" s="10"/>
    </row>
    <row r="3989" spans="28:35" ht="15" hidden="1" customHeight="1">
      <c r="AB3989" s="9"/>
      <c r="AC3989" s="9"/>
      <c r="AD3989" s="9"/>
      <c r="AF3989" s="10"/>
      <c r="AG3989" s="10"/>
      <c r="AH3989" s="10"/>
      <c r="AI3989" s="10"/>
    </row>
    <row r="3990" spans="28:35" ht="15" hidden="1" customHeight="1">
      <c r="AB3990" s="9"/>
      <c r="AC3990" s="9"/>
      <c r="AD3990" s="9"/>
      <c r="AF3990" s="10"/>
      <c r="AG3990" s="10"/>
      <c r="AH3990" s="10"/>
      <c r="AI3990" s="10"/>
    </row>
    <row r="3991" spans="28:35" ht="15" hidden="1" customHeight="1">
      <c r="AB3991" s="9"/>
      <c r="AC3991" s="9"/>
      <c r="AD3991" s="9"/>
      <c r="AF3991" s="10"/>
      <c r="AG3991" s="10"/>
      <c r="AH3991" s="10"/>
      <c r="AI3991" s="10"/>
    </row>
    <row r="3992" spans="28:35" ht="15" hidden="1" customHeight="1">
      <c r="AB3992" s="9"/>
      <c r="AC3992" s="9"/>
      <c r="AD3992" s="9"/>
      <c r="AF3992" s="10"/>
      <c r="AG3992" s="10"/>
      <c r="AH3992" s="10"/>
      <c r="AI3992" s="10"/>
    </row>
    <row r="3993" spans="28:35" ht="15" hidden="1" customHeight="1">
      <c r="AB3993" s="9"/>
      <c r="AC3993" s="9"/>
      <c r="AD3993" s="9"/>
      <c r="AF3993" s="10"/>
      <c r="AG3993" s="10"/>
      <c r="AH3993" s="10"/>
      <c r="AI3993" s="10"/>
    </row>
    <row r="3994" spans="28:35" ht="15" hidden="1" customHeight="1">
      <c r="AB3994" s="9"/>
      <c r="AC3994" s="9"/>
      <c r="AD3994" s="9"/>
      <c r="AF3994" s="10"/>
      <c r="AG3994" s="10"/>
      <c r="AH3994" s="10"/>
      <c r="AI3994" s="10"/>
    </row>
    <row r="3995" spans="28:35" ht="15" hidden="1" customHeight="1">
      <c r="AB3995" s="9"/>
      <c r="AC3995" s="9"/>
      <c r="AD3995" s="9"/>
      <c r="AF3995" s="10"/>
      <c r="AG3995" s="10"/>
      <c r="AH3995" s="10"/>
      <c r="AI3995" s="10"/>
    </row>
    <row r="3996" spans="28:35" ht="15" hidden="1" customHeight="1">
      <c r="AB3996" s="9"/>
      <c r="AC3996" s="9"/>
      <c r="AD3996" s="9"/>
      <c r="AF3996" s="10"/>
      <c r="AG3996" s="10"/>
      <c r="AH3996" s="10"/>
      <c r="AI3996" s="10"/>
    </row>
    <row r="3997" spans="28:35" ht="15" hidden="1" customHeight="1">
      <c r="AB3997" s="9"/>
      <c r="AC3997" s="9"/>
      <c r="AD3997" s="9"/>
      <c r="AF3997" s="10"/>
      <c r="AG3997" s="10"/>
      <c r="AH3997" s="10"/>
      <c r="AI3997" s="10"/>
    </row>
    <row r="3998" spans="28:35" ht="15" hidden="1" customHeight="1">
      <c r="AB3998" s="9"/>
      <c r="AC3998" s="9"/>
      <c r="AD3998" s="9"/>
      <c r="AF3998" s="10"/>
      <c r="AG3998" s="10"/>
      <c r="AH3998" s="10"/>
      <c r="AI3998" s="10"/>
    </row>
    <row r="3999" spans="28:35" ht="15" hidden="1" customHeight="1">
      <c r="AB3999" s="9"/>
      <c r="AC3999" s="9"/>
      <c r="AD3999" s="9"/>
      <c r="AF3999" s="10"/>
      <c r="AG3999" s="10"/>
      <c r="AH3999" s="10"/>
      <c r="AI3999" s="10"/>
    </row>
    <row r="4000" spans="28:35" ht="15" hidden="1" customHeight="1">
      <c r="AB4000" s="9"/>
      <c r="AC4000" s="9"/>
      <c r="AD4000" s="9"/>
      <c r="AF4000" s="10"/>
      <c r="AG4000" s="10"/>
      <c r="AH4000" s="10"/>
      <c r="AI4000" s="10"/>
    </row>
    <row r="4001" spans="28:35" ht="15" hidden="1" customHeight="1">
      <c r="AB4001" s="9"/>
      <c r="AC4001" s="9"/>
      <c r="AD4001" s="9"/>
      <c r="AF4001" s="10"/>
      <c r="AG4001" s="10"/>
      <c r="AH4001" s="10"/>
      <c r="AI4001" s="10"/>
    </row>
    <row r="4002" spans="28:35" ht="15" hidden="1" customHeight="1">
      <c r="AB4002" s="9"/>
      <c r="AC4002" s="9"/>
      <c r="AD4002" s="9"/>
      <c r="AF4002" s="10"/>
      <c r="AG4002" s="10"/>
      <c r="AH4002" s="10"/>
      <c r="AI4002" s="10"/>
    </row>
    <row r="4003" spans="28:35" ht="15" hidden="1" customHeight="1">
      <c r="AB4003" s="9"/>
      <c r="AC4003" s="9"/>
      <c r="AD4003" s="9"/>
      <c r="AF4003" s="10"/>
      <c r="AG4003" s="10"/>
      <c r="AH4003" s="10"/>
      <c r="AI4003" s="10"/>
    </row>
    <row r="4004" spans="28:35" ht="15" hidden="1" customHeight="1">
      <c r="AB4004" s="9"/>
      <c r="AC4004" s="9"/>
      <c r="AD4004" s="9"/>
      <c r="AF4004" s="10"/>
      <c r="AG4004" s="10"/>
      <c r="AH4004" s="10"/>
      <c r="AI4004" s="10"/>
    </row>
    <row r="4005" spans="28:35" ht="15" hidden="1" customHeight="1">
      <c r="AB4005" s="9"/>
      <c r="AC4005" s="9"/>
      <c r="AD4005" s="9"/>
      <c r="AF4005" s="10"/>
      <c r="AG4005" s="10"/>
      <c r="AH4005" s="10"/>
      <c r="AI4005" s="10"/>
    </row>
    <row r="4006" spans="28:35" ht="15" hidden="1" customHeight="1">
      <c r="AB4006" s="9"/>
      <c r="AC4006" s="9"/>
      <c r="AD4006" s="9"/>
      <c r="AF4006" s="10"/>
      <c r="AG4006" s="10"/>
      <c r="AH4006" s="10"/>
      <c r="AI4006" s="10"/>
    </row>
    <row r="4007" spans="28:35" ht="15" hidden="1" customHeight="1">
      <c r="AB4007" s="9"/>
      <c r="AC4007" s="9"/>
      <c r="AD4007" s="9"/>
      <c r="AF4007" s="10"/>
      <c r="AG4007" s="10"/>
      <c r="AH4007" s="10"/>
      <c r="AI4007" s="10"/>
    </row>
    <row r="4008" spans="28:35" ht="15" hidden="1" customHeight="1">
      <c r="AB4008" s="9"/>
      <c r="AC4008" s="9"/>
      <c r="AD4008" s="9"/>
      <c r="AF4008" s="10"/>
      <c r="AG4008" s="10"/>
      <c r="AH4008" s="10"/>
      <c r="AI4008" s="10"/>
    </row>
    <row r="4009" spans="28:35" ht="15" hidden="1" customHeight="1">
      <c r="AB4009" s="9"/>
      <c r="AC4009" s="9"/>
      <c r="AD4009" s="9"/>
      <c r="AF4009" s="10"/>
      <c r="AG4009" s="10"/>
      <c r="AH4009" s="10"/>
      <c r="AI4009" s="10"/>
    </row>
    <row r="4010" spans="28:35" ht="15" hidden="1" customHeight="1">
      <c r="AB4010" s="9"/>
      <c r="AC4010" s="9"/>
      <c r="AD4010" s="9"/>
      <c r="AF4010" s="10"/>
      <c r="AG4010" s="10"/>
      <c r="AH4010" s="10"/>
      <c r="AI4010" s="10"/>
    </row>
    <row r="4011" spans="28:35" ht="15" hidden="1" customHeight="1">
      <c r="AB4011" s="9"/>
      <c r="AC4011" s="9"/>
      <c r="AD4011" s="9"/>
      <c r="AF4011" s="10"/>
      <c r="AG4011" s="10"/>
      <c r="AH4011" s="10"/>
      <c r="AI4011" s="10"/>
    </row>
    <row r="4012" spans="28:35" ht="15" hidden="1" customHeight="1">
      <c r="AB4012" s="9"/>
      <c r="AC4012" s="9"/>
      <c r="AD4012" s="9"/>
      <c r="AF4012" s="10"/>
      <c r="AG4012" s="10"/>
      <c r="AH4012" s="10"/>
      <c r="AI4012" s="10"/>
    </row>
    <row r="4013" spans="28:35" ht="15" hidden="1" customHeight="1">
      <c r="AB4013" s="9"/>
      <c r="AC4013" s="9"/>
      <c r="AD4013" s="9"/>
      <c r="AF4013" s="10"/>
      <c r="AG4013" s="10"/>
      <c r="AH4013" s="10"/>
      <c r="AI4013" s="10"/>
    </row>
    <row r="4014" spans="28:35" ht="15" hidden="1" customHeight="1">
      <c r="AB4014" s="9"/>
      <c r="AC4014" s="9"/>
      <c r="AD4014" s="9"/>
      <c r="AF4014" s="10"/>
      <c r="AG4014" s="10"/>
      <c r="AH4014" s="10"/>
      <c r="AI4014" s="10"/>
    </row>
    <row r="4015" spans="28:35" ht="15" hidden="1" customHeight="1">
      <c r="AB4015" s="9"/>
      <c r="AC4015" s="9"/>
      <c r="AD4015" s="9"/>
      <c r="AF4015" s="10"/>
      <c r="AG4015" s="10"/>
      <c r="AH4015" s="10"/>
      <c r="AI4015" s="10"/>
    </row>
    <row r="4016" spans="28:35" ht="15" hidden="1" customHeight="1">
      <c r="AB4016" s="9"/>
      <c r="AC4016" s="9"/>
      <c r="AD4016" s="9"/>
      <c r="AF4016" s="10"/>
      <c r="AG4016" s="10"/>
      <c r="AH4016" s="10"/>
      <c r="AI4016" s="10"/>
    </row>
    <row r="4017" spans="28:35" ht="15" hidden="1" customHeight="1">
      <c r="AB4017" s="9"/>
      <c r="AC4017" s="9"/>
      <c r="AD4017" s="9"/>
      <c r="AF4017" s="10"/>
      <c r="AG4017" s="10"/>
      <c r="AH4017" s="10"/>
      <c r="AI4017" s="10"/>
    </row>
    <row r="4018" spans="28:35" ht="15" hidden="1" customHeight="1">
      <c r="AB4018" s="9"/>
      <c r="AC4018" s="9"/>
      <c r="AD4018" s="9"/>
      <c r="AF4018" s="10"/>
      <c r="AG4018" s="10"/>
      <c r="AH4018" s="10"/>
      <c r="AI4018" s="10"/>
    </row>
    <row r="4019" spans="28:35" ht="15" hidden="1" customHeight="1">
      <c r="AB4019" s="9"/>
      <c r="AC4019" s="9"/>
      <c r="AD4019" s="9"/>
      <c r="AF4019" s="10"/>
      <c r="AG4019" s="10"/>
      <c r="AH4019" s="10"/>
      <c r="AI4019" s="10"/>
    </row>
    <row r="4020" spans="28:35" ht="15" hidden="1" customHeight="1">
      <c r="AB4020" s="9"/>
      <c r="AC4020" s="9"/>
      <c r="AD4020" s="9"/>
      <c r="AF4020" s="10"/>
      <c r="AG4020" s="10"/>
      <c r="AH4020" s="10"/>
      <c r="AI4020" s="10"/>
    </row>
    <row r="4021" spans="28:35" ht="15" hidden="1" customHeight="1">
      <c r="AB4021" s="9"/>
      <c r="AC4021" s="9"/>
      <c r="AD4021" s="9"/>
      <c r="AF4021" s="10"/>
      <c r="AG4021" s="10"/>
      <c r="AH4021" s="10"/>
      <c r="AI4021" s="10"/>
    </row>
    <row r="4022" spans="28:35" ht="15" hidden="1" customHeight="1">
      <c r="AB4022" s="9"/>
      <c r="AC4022" s="9"/>
      <c r="AD4022" s="9"/>
      <c r="AF4022" s="10"/>
      <c r="AG4022" s="10"/>
      <c r="AH4022" s="10"/>
      <c r="AI4022" s="10"/>
    </row>
    <row r="4023" spans="28:35" ht="15" hidden="1" customHeight="1">
      <c r="AB4023" s="9"/>
      <c r="AC4023" s="9"/>
      <c r="AD4023" s="9"/>
      <c r="AF4023" s="10"/>
      <c r="AG4023" s="10"/>
      <c r="AH4023" s="10"/>
      <c r="AI4023" s="10"/>
    </row>
    <row r="4024" spans="28:35" ht="15" hidden="1" customHeight="1">
      <c r="AB4024" s="9"/>
      <c r="AC4024" s="9"/>
      <c r="AD4024" s="9"/>
      <c r="AF4024" s="10"/>
      <c r="AG4024" s="10"/>
      <c r="AH4024" s="10"/>
      <c r="AI4024" s="10"/>
    </row>
    <row r="4025" spans="28:35" ht="15" hidden="1" customHeight="1">
      <c r="AB4025" s="9"/>
      <c r="AC4025" s="9"/>
      <c r="AD4025" s="9"/>
      <c r="AF4025" s="10"/>
      <c r="AG4025" s="10"/>
      <c r="AH4025" s="10"/>
      <c r="AI4025" s="10"/>
    </row>
    <row r="4026" spans="28:35" ht="15" hidden="1" customHeight="1">
      <c r="AB4026" s="9"/>
      <c r="AC4026" s="9"/>
      <c r="AD4026" s="9"/>
      <c r="AF4026" s="10"/>
      <c r="AG4026" s="10"/>
      <c r="AH4026" s="10"/>
      <c r="AI4026" s="10"/>
    </row>
    <row r="4027" spans="28:35" ht="15" hidden="1" customHeight="1">
      <c r="AB4027" s="9"/>
      <c r="AC4027" s="9"/>
      <c r="AD4027" s="9"/>
      <c r="AF4027" s="10"/>
      <c r="AG4027" s="10"/>
      <c r="AH4027" s="10"/>
      <c r="AI4027" s="10"/>
    </row>
    <row r="4028" spans="28:35" ht="15" hidden="1" customHeight="1">
      <c r="AB4028" s="9"/>
      <c r="AC4028" s="9"/>
      <c r="AD4028" s="9"/>
      <c r="AF4028" s="10"/>
      <c r="AG4028" s="10"/>
      <c r="AH4028" s="10"/>
      <c r="AI4028" s="10"/>
    </row>
    <row r="4029" spans="28:35" ht="15" hidden="1" customHeight="1">
      <c r="AB4029" s="9"/>
      <c r="AC4029" s="9"/>
      <c r="AD4029" s="9"/>
      <c r="AF4029" s="10"/>
      <c r="AG4029" s="10"/>
      <c r="AH4029" s="10"/>
      <c r="AI4029" s="10"/>
    </row>
    <row r="4030" spans="28:35" ht="15" hidden="1" customHeight="1">
      <c r="AB4030" s="9"/>
      <c r="AC4030" s="9"/>
      <c r="AD4030" s="9"/>
      <c r="AF4030" s="10"/>
      <c r="AG4030" s="10"/>
      <c r="AH4030" s="10"/>
      <c r="AI4030" s="10"/>
    </row>
    <row r="4031" spans="28:35" ht="15" hidden="1" customHeight="1">
      <c r="AB4031" s="9"/>
      <c r="AC4031" s="9"/>
      <c r="AD4031" s="9"/>
      <c r="AF4031" s="10"/>
      <c r="AG4031" s="10"/>
      <c r="AH4031" s="10"/>
      <c r="AI4031" s="10"/>
    </row>
    <row r="4032" spans="28:35" ht="15" hidden="1" customHeight="1">
      <c r="AB4032" s="9"/>
      <c r="AC4032" s="9"/>
      <c r="AD4032" s="9"/>
      <c r="AF4032" s="10"/>
      <c r="AG4032" s="10"/>
      <c r="AH4032" s="10"/>
      <c r="AI4032" s="10"/>
    </row>
    <row r="4033" spans="28:35" ht="15" hidden="1" customHeight="1">
      <c r="AB4033" s="9"/>
      <c r="AC4033" s="9"/>
      <c r="AD4033" s="9"/>
      <c r="AF4033" s="10"/>
      <c r="AG4033" s="10"/>
      <c r="AH4033" s="10"/>
      <c r="AI4033" s="10"/>
    </row>
    <row r="4034" spans="28:35" ht="15" hidden="1" customHeight="1">
      <c r="AB4034" s="9"/>
      <c r="AC4034" s="9"/>
      <c r="AD4034" s="9"/>
      <c r="AF4034" s="10"/>
      <c r="AG4034" s="10"/>
      <c r="AH4034" s="10"/>
      <c r="AI4034" s="10"/>
    </row>
    <row r="4035" spans="28:35" ht="15" hidden="1" customHeight="1">
      <c r="AB4035" s="9"/>
      <c r="AC4035" s="9"/>
      <c r="AD4035" s="9"/>
      <c r="AF4035" s="10"/>
      <c r="AG4035" s="10"/>
      <c r="AH4035" s="10"/>
      <c r="AI4035" s="10"/>
    </row>
    <row r="4036" spans="28:35" ht="15" hidden="1" customHeight="1">
      <c r="AB4036" s="9"/>
      <c r="AC4036" s="9"/>
      <c r="AD4036" s="9"/>
      <c r="AF4036" s="10"/>
      <c r="AG4036" s="10"/>
      <c r="AH4036" s="10"/>
      <c r="AI4036" s="10"/>
    </row>
    <row r="4037" spans="28:35" ht="15" hidden="1" customHeight="1">
      <c r="AB4037" s="9"/>
      <c r="AC4037" s="9"/>
      <c r="AD4037" s="9"/>
      <c r="AF4037" s="10"/>
      <c r="AG4037" s="10"/>
      <c r="AH4037" s="10"/>
      <c r="AI4037" s="10"/>
    </row>
    <row r="4038" spans="28:35" ht="15" hidden="1" customHeight="1">
      <c r="AB4038" s="9"/>
      <c r="AC4038" s="9"/>
      <c r="AD4038" s="9"/>
      <c r="AF4038" s="10"/>
      <c r="AG4038" s="10"/>
      <c r="AH4038" s="10"/>
      <c r="AI4038" s="10"/>
    </row>
    <row r="4039" spans="28:35" ht="15" hidden="1" customHeight="1">
      <c r="AB4039" s="9"/>
      <c r="AC4039" s="9"/>
      <c r="AD4039" s="9"/>
      <c r="AF4039" s="10"/>
      <c r="AG4039" s="10"/>
      <c r="AH4039" s="10"/>
      <c r="AI4039" s="10"/>
    </row>
    <row r="4040" spans="28:35" ht="15" hidden="1" customHeight="1">
      <c r="AB4040" s="9"/>
      <c r="AC4040" s="9"/>
      <c r="AD4040" s="9"/>
      <c r="AF4040" s="10"/>
      <c r="AG4040" s="10"/>
      <c r="AH4040" s="10"/>
      <c r="AI4040" s="10"/>
    </row>
    <row r="4041" spans="28:35" ht="15" hidden="1" customHeight="1">
      <c r="AB4041" s="9"/>
      <c r="AC4041" s="9"/>
      <c r="AD4041" s="9"/>
      <c r="AF4041" s="10"/>
      <c r="AG4041" s="10"/>
      <c r="AH4041" s="10"/>
      <c r="AI4041" s="10"/>
    </row>
    <row r="4042" spans="28:35" ht="15" hidden="1" customHeight="1">
      <c r="AB4042" s="9"/>
      <c r="AC4042" s="9"/>
      <c r="AD4042" s="9"/>
      <c r="AF4042" s="10"/>
      <c r="AG4042" s="10"/>
      <c r="AH4042" s="10"/>
      <c r="AI4042" s="10"/>
    </row>
    <row r="4043" spans="28:35" ht="15" hidden="1" customHeight="1">
      <c r="AB4043" s="9"/>
      <c r="AC4043" s="9"/>
      <c r="AD4043" s="9"/>
      <c r="AF4043" s="10"/>
      <c r="AG4043" s="10"/>
      <c r="AH4043" s="10"/>
      <c r="AI4043" s="10"/>
    </row>
    <row r="4044" spans="28:35" ht="15" hidden="1" customHeight="1">
      <c r="AB4044" s="9"/>
      <c r="AC4044" s="9"/>
      <c r="AD4044" s="9"/>
      <c r="AF4044" s="10"/>
      <c r="AG4044" s="10"/>
      <c r="AH4044" s="10"/>
      <c r="AI4044" s="10"/>
    </row>
    <row r="4045" spans="28:35" ht="15" hidden="1" customHeight="1">
      <c r="AB4045" s="9"/>
      <c r="AC4045" s="9"/>
      <c r="AD4045" s="9"/>
      <c r="AF4045" s="10"/>
      <c r="AG4045" s="10"/>
      <c r="AH4045" s="10"/>
      <c r="AI4045" s="10"/>
    </row>
    <row r="4046" spans="28:35" ht="15" hidden="1" customHeight="1">
      <c r="AB4046" s="9"/>
      <c r="AC4046" s="9"/>
      <c r="AD4046" s="9"/>
      <c r="AF4046" s="10"/>
      <c r="AG4046" s="10"/>
      <c r="AH4046" s="10"/>
      <c r="AI4046" s="10"/>
    </row>
    <row r="4047" spans="28:35" ht="15" hidden="1" customHeight="1">
      <c r="AB4047" s="9"/>
      <c r="AC4047" s="9"/>
      <c r="AD4047" s="9"/>
      <c r="AF4047" s="10"/>
      <c r="AG4047" s="10"/>
      <c r="AH4047" s="10"/>
      <c r="AI4047" s="10"/>
    </row>
    <row r="4048" spans="28:35" ht="15" hidden="1" customHeight="1">
      <c r="AB4048" s="9"/>
      <c r="AC4048" s="9"/>
      <c r="AD4048" s="9"/>
      <c r="AF4048" s="10"/>
      <c r="AG4048" s="10"/>
      <c r="AH4048" s="10"/>
      <c r="AI4048" s="10"/>
    </row>
    <row r="4049" spans="28:35" ht="15" hidden="1" customHeight="1">
      <c r="AB4049" s="9"/>
      <c r="AC4049" s="9"/>
      <c r="AD4049" s="9"/>
      <c r="AF4049" s="10"/>
      <c r="AG4049" s="10"/>
      <c r="AH4049" s="10"/>
      <c r="AI4049" s="10"/>
    </row>
    <row r="4050" spans="28:35" ht="15" hidden="1" customHeight="1">
      <c r="AB4050" s="9"/>
      <c r="AC4050" s="9"/>
      <c r="AD4050" s="9"/>
      <c r="AF4050" s="10"/>
      <c r="AG4050" s="10"/>
      <c r="AH4050" s="10"/>
      <c r="AI4050" s="10"/>
    </row>
    <row r="4051" spans="28:35" ht="15" hidden="1" customHeight="1">
      <c r="AB4051" s="9"/>
      <c r="AC4051" s="9"/>
      <c r="AD4051" s="9"/>
      <c r="AF4051" s="10"/>
      <c r="AG4051" s="10"/>
      <c r="AH4051" s="10"/>
      <c r="AI4051" s="10"/>
    </row>
    <row r="4052" spans="28:35" ht="15" hidden="1" customHeight="1">
      <c r="AB4052" s="9"/>
      <c r="AC4052" s="9"/>
      <c r="AD4052" s="9"/>
      <c r="AF4052" s="10"/>
      <c r="AG4052" s="10"/>
      <c r="AH4052" s="10"/>
      <c r="AI4052" s="10"/>
    </row>
    <row r="4053" spans="28:35" ht="15" hidden="1" customHeight="1">
      <c r="AB4053" s="9"/>
      <c r="AC4053" s="9"/>
      <c r="AD4053" s="9"/>
      <c r="AF4053" s="10"/>
      <c r="AG4053" s="10"/>
      <c r="AH4053" s="10"/>
      <c r="AI4053" s="10"/>
    </row>
    <row r="4054" spans="28:35" ht="15" hidden="1" customHeight="1">
      <c r="AB4054" s="9"/>
      <c r="AC4054" s="9"/>
      <c r="AD4054" s="9"/>
      <c r="AF4054" s="10"/>
      <c r="AG4054" s="10"/>
      <c r="AH4054" s="10"/>
      <c r="AI4054" s="10"/>
    </row>
    <row r="4055" spans="28:35" ht="15" hidden="1" customHeight="1">
      <c r="AB4055" s="9"/>
      <c r="AC4055" s="9"/>
      <c r="AD4055" s="9"/>
      <c r="AF4055" s="10"/>
      <c r="AG4055" s="10"/>
      <c r="AH4055" s="10"/>
      <c r="AI4055" s="10"/>
    </row>
    <row r="4056" spans="28:35" ht="15" hidden="1" customHeight="1">
      <c r="AB4056" s="9"/>
      <c r="AC4056" s="9"/>
      <c r="AD4056" s="9"/>
      <c r="AF4056" s="10"/>
      <c r="AG4056" s="10"/>
      <c r="AH4056" s="10"/>
      <c r="AI4056" s="10"/>
    </row>
    <row r="4057" spans="28:35" ht="15" hidden="1" customHeight="1">
      <c r="AB4057" s="9"/>
      <c r="AC4057" s="9"/>
      <c r="AD4057" s="9"/>
      <c r="AF4057" s="10"/>
      <c r="AG4057" s="10"/>
      <c r="AH4057" s="10"/>
      <c r="AI4057" s="10"/>
    </row>
    <row r="4058" spans="28:35" ht="15" hidden="1" customHeight="1">
      <c r="AB4058" s="9"/>
      <c r="AC4058" s="9"/>
      <c r="AD4058" s="9"/>
      <c r="AF4058" s="10"/>
      <c r="AG4058" s="10"/>
      <c r="AH4058" s="10"/>
      <c r="AI4058" s="10"/>
    </row>
    <row r="4059" spans="28:35" ht="15" hidden="1" customHeight="1">
      <c r="AB4059" s="9"/>
      <c r="AC4059" s="9"/>
      <c r="AD4059" s="9"/>
      <c r="AF4059" s="10"/>
      <c r="AG4059" s="10"/>
      <c r="AH4059" s="10"/>
      <c r="AI4059" s="10"/>
    </row>
    <row r="4060" spans="28:35" ht="15" hidden="1" customHeight="1">
      <c r="AB4060" s="9"/>
      <c r="AC4060" s="9"/>
      <c r="AD4060" s="9"/>
      <c r="AF4060" s="10"/>
      <c r="AG4060" s="10"/>
      <c r="AH4060" s="10"/>
      <c r="AI4060" s="10"/>
    </row>
    <row r="4061" spans="28:35" ht="15" hidden="1" customHeight="1">
      <c r="AB4061" s="9"/>
      <c r="AC4061" s="9"/>
      <c r="AD4061" s="9"/>
      <c r="AF4061" s="10"/>
      <c r="AG4061" s="10"/>
      <c r="AH4061" s="10"/>
      <c r="AI4061" s="10"/>
    </row>
    <row r="4062" spans="28:35" ht="15" hidden="1" customHeight="1">
      <c r="AB4062" s="9"/>
      <c r="AC4062" s="9"/>
      <c r="AD4062" s="9"/>
      <c r="AF4062" s="10"/>
      <c r="AG4062" s="10"/>
      <c r="AH4062" s="10"/>
      <c r="AI4062" s="10"/>
    </row>
    <row r="4063" spans="28:35" ht="15" hidden="1" customHeight="1">
      <c r="AB4063" s="9"/>
      <c r="AC4063" s="9"/>
      <c r="AD4063" s="9"/>
      <c r="AF4063" s="10"/>
      <c r="AG4063" s="10"/>
      <c r="AH4063" s="10"/>
      <c r="AI4063" s="10"/>
    </row>
    <row r="4064" spans="28:35" ht="15" hidden="1" customHeight="1">
      <c r="AB4064" s="9"/>
      <c r="AC4064" s="9"/>
      <c r="AD4064" s="9"/>
      <c r="AF4064" s="10"/>
      <c r="AG4064" s="10"/>
      <c r="AH4064" s="10"/>
      <c r="AI4064" s="10"/>
    </row>
    <row r="4065" spans="28:35" ht="15" hidden="1" customHeight="1">
      <c r="AB4065" s="9"/>
      <c r="AC4065" s="9"/>
      <c r="AD4065" s="9"/>
      <c r="AF4065" s="10"/>
      <c r="AG4065" s="10"/>
      <c r="AH4065" s="10"/>
      <c r="AI4065" s="10"/>
    </row>
    <row r="4066" spans="28:35" ht="15" hidden="1" customHeight="1">
      <c r="AB4066" s="9"/>
      <c r="AC4066" s="9"/>
      <c r="AD4066" s="9"/>
      <c r="AF4066" s="10"/>
      <c r="AG4066" s="10"/>
      <c r="AH4066" s="10"/>
      <c r="AI4066" s="10"/>
    </row>
    <row r="4067" spans="28:35" ht="15" hidden="1" customHeight="1">
      <c r="AB4067" s="9"/>
      <c r="AC4067" s="9"/>
      <c r="AD4067" s="9"/>
      <c r="AF4067" s="10"/>
      <c r="AG4067" s="10"/>
      <c r="AH4067" s="10"/>
      <c r="AI4067" s="10"/>
    </row>
    <row r="4068" spans="28:35" ht="15" hidden="1" customHeight="1">
      <c r="AB4068" s="9"/>
      <c r="AC4068" s="9"/>
      <c r="AD4068" s="9"/>
      <c r="AF4068" s="10"/>
      <c r="AG4068" s="10"/>
      <c r="AH4068" s="10"/>
      <c r="AI4068" s="10"/>
    </row>
    <row r="4069" spans="28:35" ht="15" hidden="1" customHeight="1">
      <c r="AB4069" s="9"/>
      <c r="AC4069" s="9"/>
      <c r="AD4069" s="9"/>
      <c r="AF4069" s="10"/>
      <c r="AG4069" s="10"/>
      <c r="AH4069" s="10"/>
      <c r="AI4069" s="10"/>
    </row>
    <row r="4070" spans="28:35" ht="15" hidden="1" customHeight="1">
      <c r="AB4070" s="9"/>
      <c r="AC4070" s="9"/>
      <c r="AD4070" s="9"/>
      <c r="AF4070" s="10"/>
      <c r="AG4070" s="10"/>
      <c r="AH4070" s="10"/>
      <c r="AI4070" s="10"/>
    </row>
    <row r="4071" spans="28:35" ht="15" hidden="1" customHeight="1">
      <c r="AB4071" s="9"/>
      <c r="AC4071" s="9"/>
      <c r="AD4071" s="9"/>
      <c r="AF4071" s="10"/>
      <c r="AG4071" s="10"/>
      <c r="AH4071" s="10"/>
      <c r="AI4071" s="10"/>
    </row>
    <row r="4072" spans="28:35" ht="15" hidden="1" customHeight="1">
      <c r="AB4072" s="9"/>
      <c r="AC4072" s="9"/>
      <c r="AD4072" s="9"/>
      <c r="AF4072" s="10"/>
      <c r="AG4072" s="10"/>
      <c r="AH4072" s="10"/>
      <c r="AI4072" s="10"/>
    </row>
    <row r="4073" spans="28:35" ht="15" hidden="1" customHeight="1">
      <c r="AB4073" s="9"/>
      <c r="AC4073" s="9"/>
      <c r="AD4073" s="9"/>
      <c r="AF4073" s="10"/>
      <c r="AG4073" s="10"/>
      <c r="AH4073" s="10"/>
      <c r="AI4073" s="10"/>
    </row>
    <row r="4074" spans="28:35" ht="15" hidden="1" customHeight="1">
      <c r="AB4074" s="9"/>
      <c r="AC4074" s="9"/>
      <c r="AD4074" s="9"/>
      <c r="AF4074" s="10"/>
      <c r="AG4074" s="10"/>
      <c r="AH4074" s="10"/>
      <c r="AI4074" s="10"/>
    </row>
    <row r="4075" spans="28:35" ht="15" hidden="1" customHeight="1">
      <c r="AB4075" s="9"/>
      <c r="AC4075" s="9"/>
      <c r="AD4075" s="9"/>
      <c r="AF4075" s="10"/>
      <c r="AG4075" s="10"/>
      <c r="AH4075" s="10"/>
      <c r="AI4075" s="10"/>
    </row>
    <row r="4076" spans="28:35" ht="15" hidden="1" customHeight="1">
      <c r="AB4076" s="9"/>
      <c r="AC4076" s="9"/>
      <c r="AD4076" s="9"/>
      <c r="AF4076" s="10"/>
      <c r="AG4076" s="10"/>
      <c r="AH4076" s="10"/>
      <c r="AI4076" s="10"/>
    </row>
    <row r="4077" spans="28:35" ht="15" hidden="1" customHeight="1">
      <c r="AB4077" s="9"/>
      <c r="AC4077" s="9"/>
      <c r="AD4077" s="9"/>
      <c r="AF4077" s="10"/>
      <c r="AG4077" s="10"/>
      <c r="AH4077" s="10"/>
      <c r="AI4077" s="10"/>
    </row>
    <row r="4078" spans="28:35" ht="15" hidden="1" customHeight="1">
      <c r="AB4078" s="9"/>
      <c r="AC4078" s="9"/>
      <c r="AD4078" s="9"/>
      <c r="AF4078" s="10"/>
      <c r="AG4078" s="10"/>
      <c r="AH4078" s="10"/>
      <c r="AI4078" s="10"/>
    </row>
    <row r="4079" spans="28:35" ht="15" hidden="1" customHeight="1">
      <c r="AB4079" s="9"/>
      <c r="AC4079" s="9"/>
      <c r="AD4079" s="9"/>
      <c r="AF4079" s="10"/>
      <c r="AG4079" s="10"/>
      <c r="AH4079" s="10"/>
      <c r="AI4079" s="10"/>
    </row>
    <row r="4080" spans="28:35" ht="15" hidden="1" customHeight="1">
      <c r="AB4080" s="9"/>
      <c r="AC4080" s="9"/>
      <c r="AD4080" s="9"/>
      <c r="AF4080" s="10"/>
      <c r="AG4080" s="10"/>
      <c r="AH4080" s="10"/>
      <c r="AI4080" s="10"/>
    </row>
    <row r="4081" spans="28:35" ht="15" hidden="1" customHeight="1">
      <c r="AB4081" s="9"/>
      <c r="AC4081" s="9"/>
      <c r="AD4081" s="9"/>
      <c r="AF4081" s="10"/>
      <c r="AG4081" s="10"/>
      <c r="AH4081" s="10"/>
      <c r="AI4081" s="10"/>
    </row>
    <row r="4082" spans="28:35" ht="15" hidden="1" customHeight="1">
      <c r="AB4082" s="9"/>
      <c r="AC4082" s="9"/>
      <c r="AD4082" s="9"/>
      <c r="AF4082" s="10"/>
      <c r="AG4082" s="10"/>
      <c r="AH4082" s="10"/>
      <c r="AI4082" s="10"/>
    </row>
    <row r="4083" spans="28:35" ht="15" hidden="1" customHeight="1">
      <c r="AB4083" s="9"/>
      <c r="AC4083" s="9"/>
      <c r="AD4083" s="9"/>
      <c r="AF4083" s="10"/>
      <c r="AG4083" s="10"/>
      <c r="AH4083" s="10"/>
      <c r="AI4083" s="10"/>
    </row>
    <row r="4084" spans="28:35" ht="15" hidden="1" customHeight="1">
      <c r="AB4084" s="9"/>
      <c r="AC4084" s="9"/>
      <c r="AD4084" s="9"/>
      <c r="AF4084" s="10"/>
      <c r="AG4084" s="10"/>
      <c r="AH4084" s="10"/>
      <c r="AI4084" s="10"/>
    </row>
    <row r="4085" spans="28:35" ht="15" hidden="1" customHeight="1">
      <c r="AB4085" s="9"/>
      <c r="AC4085" s="9"/>
      <c r="AD4085" s="9"/>
      <c r="AF4085" s="10"/>
      <c r="AG4085" s="10"/>
      <c r="AH4085" s="10"/>
      <c r="AI4085" s="10"/>
    </row>
    <row r="4086" spans="28:35" ht="15" hidden="1" customHeight="1">
      <c r="AB4086" s="9"/>
      <c r="AC4086" s="9"/>
      <c r="AD4086" s="9"/>
      <c r="AF4086" s="10"/>
      <c r="AG4086" s="10"/>
      <c r="AH4086" s="10"/>
      <c r="AI4086" s="10"/>
    </row>
    <row r="4087" spans="28:35" ht="15" hidden="1" customHeight="1">
      <c r="AB4087" s="9"/>
      <c r="AC4087" s="9"/>
      <c r="AD4087" s="9"/>
      <c r="AF4087" s="10"/>
      <c r="AG4087" s="10"/>
      <c r="AH4087" s="10"/>
      <c r="AI4087" s="10"/>
    </row>
    <row r="4088" spans="28:35" ht="15" hidden="1" customHeight="1">
      <c r="AB4088" s="9"/>
      <c r="AC4088" s="9"/>
      <c r="AD4088" s="9"/>
      <c r="AF4088" s="10"/>
      <c r="AG4088" s="10"/>
      <c r="AH4088" s="10"/>
      <c r="AI4088" s="10"/>
    </row>
    <row r="4089" spans="28:35" ht="15" hidden="1" customHeight="1">
      <c r="AB4089" s="9"/>
      <c r="AC4089" s="9"/>
      <c r="AD4089" s="9"/>
      <c r="AF4089" s="10"/>
      <c r="AG4089" s="10"/>
      <c r="AH4089" s="10"/>
      <c r="AI4089" s="10"/>
    </row>
    <row r="4090" spans="28:35" ht="15" hidden="1" customHeight="1">
      <c r="AB4090" s="9"/>
      <c r="AC4090" s="9"/>
      <c r="AD4090" s="9"/>
      <c r="AF4090" s="10"/>
      <c r="AG4090" s="10"/>
      <c r="AH4090" s="10"/>
      <c r="AI4090" s="10"/>
    </row>
    <row r="4091" spans="28:35" ht="15" hidden="1" customHeight="1">
      <c r="AB4091" s="9"/>
      <c r="AC4091" s="9"/>
      <c r="AD4091" s="9"/>
      <c r="AF4091" s="10"/>
      <c r="AG4091" s="10"/>
      <c r="AH4091" s="10"/>
      <c r="AI4091" s="10"/>
    </row>
    <row r="4092" spans="28:35" ht="15" hidden="1" customHeight="1">
      <c r="AB4092" s="9"/>
      <c r="AC4092" s="9"/>
      <c r="AD4092" s="9"/>
      <c r="AF4092" s="10"/>
      <c r="AG4092" s="10"/>
      <c r="AH4092" s="10"/>
      <c r="AI4092" s="10"/>
    </row>
    <row r="4093" spans="28:35" ht="15" hidden="1" customHeight="1">
      <c r="AB4093" s="9"/>
      <c r="AC4093" s="9"/>
      <c r="AD4093" s="9"/>
      <c r="AF4093" s="10"/>
      <c r="AG4093" s="10"/>
      <c r="AH4093" s="10"/>
      <c r="AI4093" s="10"/>
    </row>
    <row r="4094" spans="28:35" ht="15" hidden="1" customHeight="1">
      <c r="AB4094" s="9"/>
      <c r="AC4094" s="9"/>
      <c r="AD4094" s="9"/>
      <c r="AF4094" s="10"/>
      <c r="AG4094" s="10"/>
      <c r="AH4094" s="10"/>
      <c r="AI4094" s="10"/>
    </row>
    <row r="4095" spans="28:35" ht="15" hidden="1" customHeight="1">
      <c r="AB4095" s="9"/>
      <c r="AC4095" s="9"/>
      <c r="AD4095" s="9"/>
      <c r="AF4095" s="10"/>
      <c r="AG4095" s="10"/>
      <c r="AH4095" s="10"/>
      <c r="AI4095" s="10"/>
    </row>
    <row r="4096" spans="28:35" ht="15" hidden="1" customHeight="1">
      <c r="AB4096" s="9"/>
      <c r="AC4096" s="9"/>
      <c r="AD4096" s="9"/>
      <c r="AF4096" s="10"/>
      <c r="AG4096" s="10"/>
      <c r="AH4096" s="10"/>
      <c r="AI4096" s="10"/>
    </row>
    <row r="4097" spans="28:35" ht="15" hidden="1" customHeight="1">
      <c r="AB4097" s="9"/>
      <c r="AC4097" s="9"/>
      <c r="AD4097" s="9"/>
      <c r="AF4097" s="10"/>
      <c r="AG4097" s="10"/>
      <c r="AH4097" s="10"/>
      <c r="AI4097" s="10"/>
    </row>
    <row r="4098" spans="28:35" ht="15" hidden="1" customHeight="1">
      <c r="AB4098" s="9"/>
      <c r="AC4098" s="9"/>
      <c r="AD4098" s="9"/>
      <c r="AF4098" s="10"/>
      <c r="AG4098" s="10"/>
      <c r="AH4098" s="10"/>
      <c r="AI4098" s="10"/>
    </row>
    <row r="4099" spans="28:35" ht="15" hidden="1" customHeight="1">
      <c r="AB4099" s="9"/>
      <c r="AC4099" s="9"/>
      <c r="AD4099" s="9"/>
      <c r="AF4099" s="10"/>
      <c r="AG4099" s="10"/>
      <c r="AH4099" s="10"/>
      <c r="AI4099" s="10"/>
    </row>
    <row r="4100" spans="28:35" ht="15" hidden="1" customHeight="1">
      <c r="AB4100" s="9"/>
      <c r="AC4100" s="9"/>
      <c r="AD4100" s="9"/>
      <c r="AF4100" s="10"/>
      <c r="AG4100" s="10"/>
      <c r="AH4100" s="10"/>
      <c r="AI4100" s="10"/>
    </row>
    <row r="4101" spans="28:35" ht="15" hidden="1" customHeight="1">
      <c r="AB4101" s="9"/>
      <c r="AC4101" s="9"/>
      <c r="AD4101" s="9"/>
      <c r="AF4101" s="10"/>
      <c r="AG4101" s="10"/>
      <c r="AH4101" s="10"/>
      <c r="AI4101" s="10"/>
    </row>
    <row r="4102" spans="28:35" ht="15" hidden="1" customHeight="1">
      <c r="AB4102" s="9"/>
      <c r="AC4102" s="9"/>
      <c r="AD4102" s="9"/>
      <c r="AF4102" s="10"/>
      <c r="AG4102" s="10"/>
      <c r="AH4102" s="10"/>
      <c r="AI4102" s="10"/>
    </row>
    <row r="4103" spans="28:35" ht="15" hidden="1" customHeight="1">
      <c r="AB4103" s="9"/>
      <c r="AC4103" s="9"/>
      <c r="AD4103" s="9"/>
      <c r="AF4103" s="10"/>
      <c r="AG4103" s="10"/>
      <c r="AH4103" s="10"/>
      <c r="AI4103" s="10"/>
    </row>
    <row r="4104" spans="28:35" ht="15" hidden="1" customHeight="1">
      <c r="AB4104" s="9"/>
      <c r="AC4104" s="9"/>
      <c r="AD4104" s="9"/>
      <c r="AF4104" s="10"/>
      <c r="AG4104" s="10"/>
      <c r="AH4104" s="10"/>
      <c r="AI4104" s="10"/>
    </row>
    <row r="4105" spans="28:35" ht="15" hidden="1" customHeight="1">
      <c r="AB4105" s="9"/>
      <c r="AC4105" s="9"/>
      <c r="AD4105" s="9"/>
      <c r="AF4105" s="10"/>
      <c r="AG4105" s="10"/>
      <c r="AH4105" s="10"/>
      <c r="AI4105" s="10"/>
    </row>
    <row r="4106" spans="28:35" ht="15" hidden="1" customHeight="1">
      <c r="AB4106" s="9"/>
      <c r="AC4106" s="9"/>
      <c r="AD4106" s="9"/>
      <c r="AF4106" s="10"/>
      <c r="AG4106" s="10"/>
      <c r="AH4106" s="10"/>
      <c r="AI4106" s="10"/>
    </row>
    <row r="4107" spans="28:35" ht="15" hidden="1" customHeight="1">
      <c r="AB4107" s="9"/>
      <c r="AC4107" s="9"/>
      <c r="AD4107" s="9"/>
      <c r="AF4107" s="10"/>
      <c r="AG4107" s="10"/>
      <c r="AH4107" s="10"/>
      <c r="AI4107" s="10"/>
    </row>
    <row r="4108" spans="28:35" ht="15" hidden="1" customHeight="1">
      <c r="AB4108" s="9"/>
      <c r="AC4108" s="9"/>
      <c r="AD4108" s="9"/>
      <c r="AF4108" s="10"/>
      <c r="AG4108" s="10"/>
      <c r="AH4108" s="10"/>
      <c r="AI4108" s="10"/>
    </row>
    <row r="4109" spans="28:35" ht="15" hidden="1" customHeight="1">
      <c r="AB4109" s="9"/>
      <c r="AC4109" s="9"/>
      <c r="AD4109" s="9"/>
      <c r="AF4109" s="10"/>
      <c r="AG4109" s="10"/>
      <c r="AH4109" s="10"/>
      <c r="AI4109" s="10"/>
    </row>
    <row r="4110" spans="28:35" ht="15" hidden="1" customHeight="1">
      <c r="AB4110" s="9"/>
      <c r="AC4110" s="9"/>
      <c r="AD4110" s="9"/>
      <c r="AF4110" s="10"/>
      <c r="AG4110" s="10"/>
      <c r="AH4110" s="10"/>
      <c r="AI4110" s="10"/>
    </row>
    <row r="4111" spans="28:35" ht="15" hidden="1" customHeight="1">
      <c r="AB4111" s="9"/>
      <c r="AC4111" s="9"/>
      <c r="AD4111" s="9"/>
      <c r="AF4111" s="10"/>
      <c r="AG4111" s="10"/>
      <c r="AH4111" s="10"/>
      <c r="AI4111" s="10"/>
    </row>
    <row r="4112" spans="28:35" ht="15" hidden="1" customHeight="1">
      <c r="AB4112" s="9"/>
      <c r="AC4112" s="9"/>
      <c r="AD4112" s="9"/>
      <c r="AF4112" s="10"/>
      <c r="AG4112" s="10"/>
      <c r="AH4112" s="10"/>
      <c r="AI4112" s="10"/>
    </row>
    <row r="4113" spans="28:35" ht="15" hidden="1" customHeight="1">
      <c r="AB4113" s="9"/>
      <c r="AC4113" s="9"/>
      <c r="AD4113" s="9"/>
      <c r="AF4113" s="10"/>
      <c r="AG4113" s="10"/>
      <c r="AH4113" s="10"/>
      <c r="AI4113" s="10"/>
    </row>
    <row r="4114" spans="28:35" ht="15" hidden="1" customHeight="1">
      <c r="AB4114" s="9"/>
      <c r="AC4114" s="9"/>
      <c r="AD4114" s="9"/>
      <c r="AF4114" s="10"/>
      <c r="AG4114" s="10"/>
      <c r="AH4114" s="10"/>
      <c r="AI4114" s="10"/>
    </row>
    <row r="4115" spans="28:35" ht="15" hidden="1" customHeight="1">
      <c r="AB4115" s="9"/>
      <c r="AC4115" s="9"/>
      <c r="AD4115" s="9"/>
      <c r="AF4115" s="10"/>
      <c r="AG4115" s="10"/>
      <c r="AH4115" s="10"/>
      <c r="AI4115" s="10"/>
    </row>
    <row r="4116" spans="28:35" ht="15" hidden="1" customHeight="1">
      <c r="AB4116" s="9"/>
      <c r="AC4116" s="9"/>
      <c r="AD4116" s="9"/>
      <c r="AF4116" s="10"/>
      <c r="AG4116" s="10"/>
      <c r="AH4116" s="10"/>
      <c r="AI4116" s="10"/>
    </row>
    <row r="4117" spans="28:35" ht="15" hidden="1" customHeight="1">
      <c r="AB4117" s="9"/>
      <c r="AC4117" s="9"/>
      <c r="AD4117" s="9"/>
      <c r="AF4117" s="10"/>
      <c r="AG4117" s="10"/>
      <c r="AH4117" s="10"/>
      <c r="AI4117" s="10"/>
    </row>
    <row r="4118" spans="28:35" ht="15" hidden="1" customHeight="1">
      <c r="AB4118" s="9"/>
      <c r="AC4118" s="9"/>
      <c r="AD4118" s="9"/>
      <c r="AF4118" s="10"/>
      <c r="AG4118" s="10"/>
      <c r="AH4118" s="10"/>
      <c r="AI4118" s="10"/>
    </row>
    <row r="4119" spans="28:35" ht="15" hidden="1" customHeight="1">
      <c r="AB4119" s="9"/>
      <c r="AC4119" s="9"/>
      <c r="AD4119" s="9"/>
      <c r="AF4119" s="10"/>
      <c r="AG4119" s="10"/>
      <c r="AH4119" s="10"/>
      <c r="AI4119" s="10"/>
    </row>
    <row r="4120" spans="28:35" ht="15" hidden="1" customHeight="1">
      <c r="AB4120" s="9"/>
      <c r="AC4120" s="9"/>
      <c r="AD4120" s="9"/>
      <c r="AF4120" s="10"/>
      <c r="AG4120" s="10"/>
      <c r="AH4120" s="10"/>
      <c r="AI4120" s="10"/>
    </row>
    <row r="4121" spans="28:35" ht="15" hidden="1" customHeight="1">
      <c r="AB4121" s="9"/>
      <c r="AC4121" s="9"/>
      <c r="AD4121" s="9"/>
      <c r="AF4121" s="10"/>
      <c r="AG4121" s="10"/>
      <c r="AH4121" s="10"/>
      <c r="AI4121" s="10"/>
    </row>
    <row r="4122" spans="28:35" ht="15" hidden="1" customHeight="1">
      <c r="AB4122" s="9"/>
      <c r="AC4122" s="9"/>
      <c r="AD4122" s="9"/>
      <c r="AF4122" s="10"/>
      <c r="AG4122" s="10"/>
      <c r="AH4122" s="10"/>
      <c r="AI4122" s="10"/>
    </row>
    <row r="4123" spans="28:35" ht="15" hidden="1" customHeight="1">
      <c r="AB4123" s="9"/>
      <c r="AC4123" s="9"/>
      <c r="AD4123" s="9"/>
      <c r="AF4123" s="10"/>
      <c r="AG4123" s="10"/>
      <c r="AH4123" s="10"/>
      <c r="AI4123" s="10"/>
    </row>
    <row r="4124" spans="28:35" ht="15" hidden="1" customHeight="1">
      <c r="AB4124" s="9"/>
      <c r="AC4124" s="9"/>
      <c r="AD4124" s="9"/>
      <c r="AF4124" s="10"/>
      <c r="AG4124" s="10"/>
      <c r="AH4124" s="10"/>
      <c r="AI4124" s="10"/>
    </row>
    <row r="4125" spans="28:35" ht="15" hidden="1" customHeight="1">
      <c r="AB4125" s="9"/>
      <c r="AC4125" s="9"/>
      <c r="AD4125" s="9"/>
      <c r="AF4125" s="10"/>
      <c r="AG4125" s="10"/>
      <c r="AH4125" s="10"/>
      <c r="AI4125" s="10"/>
    </row>
    <row r="4126" spans="28:35" ht="15" hidden="1" customHeight="1">
      <c r="AB4126" s="9"/>
      <c r="AC4126" s="9"/>
      <c r="AD4126" s="9"/>
      <c r="AF4126" s="10"/>
      <c r="AG4126" s="10"/>
      <c r="AH4126" s="10"/>
      <c r="AI4126" s="10"/>
    </row>
    <row r="4127" spans="28:35" ht="15" hidden="1" customHeight="1">
      <c r="AB4127" s="9"/>
      <c r="AC4127" s="9"/>
      <c r="AD4127" s="9"/>
      <c r="AF4127" s="10"/>
      <c r="AG4127" s="10"/>
      <c r="AH4127" s="10"/>
      <c r="AI4127" s="10"/>
    </row>
    <row r="4128" spans="28:35" ht="15" hidden="1" customHeight="1">
      <c r="AB4128" s="9"/>
      <c r="AC4128" s="9"/>
      <c r="AD4128" s="9"/>
      <c r="AF4128" s="10"/>
      <c r="AG4128" s="10"/>
      <c r="AH4128" s="10"/>
      <c r="AI4128" s="10"/>
    </row>
    <row r="4129" spans="28:35" ht="15" hidden="1" customHeight="1">
      <c r="AB4129" s="9"/>
      <c r="AC4129" s="9"/>
      <c r="AD4129" s="9"/>
      <c r="AF4129" s="10"/>
      <c r="AG4129" s="10"/>
      <c r="AH4129" s="10"/>
      <c r="AI4129" s="10"/>
    </row>
    <row r="4130" spans="28:35" ht="15" hidden="1" customHeight="1">
      <c r="AB4130" s="9"/>
      <c r="AC4130" s="9"/>
      <c r="AD4130" s="9"/>
      <c r="AF4130" s="10"/>
      <c r="AG4130" s="10"/>
      <c r="AH4130" s="10"/>
      <c r="AI4130" s="10"/>
    </row>
    <row r="4131" spans="28:35" ht="15" hidden="1" customHeight="1">
      <c r="AB4131" s="9"/>
      <c r="AC4131" s="9"/>
      <c r="AD4131" s="9"/>
      <c r="AF4131" s="10"/>
      <c r="AG4131" s="10"/>
      <c r="AH4131" s="10"/>
      <c r="AI4131" s="10"/>
    </row>
    <row r="4132" spans="28:35" ht="15" hidden="1" customHeight="1">
      <c r="AB4132" s="9"/>
      <c r="AC4132" s="9"/>
      <c r="AD4132" s="9"/>
      <c r="AF4132" s="10"/>
      <c r="AG4132" s="10"/>
      <c r="AH4132" s="10"/>
      <c r="AI4132" s="10"/>
    </row>
    <row r="4133" spans="28:35" ht="15" hidden="1" customHeight="1">
      <c r="AB4133" s="9"/>
      <c r="AC4133" s="9"/>
      <c r="AD4133" s="9"/>
      <c r="AF4133" s="10"/>
      <c r="AG4133" s="10"/>
      <c r="AH4133" s="10"/>
      <c r="AI4133" s="10"/>
    </row>
    <row r="4134" spans="28:35" ht="15" hidden="1" customHeight="1">
      <c r="AB4134" s="9"/>
      <c r="AC4134" s="9"/>
      <c r="AD4134" s="9"/>
      <c r="AF4134" s="10"/>
      <c r="AG4134" s="10"/>
      <c r="AH4134" s="10"/>
      <c r="AI4134" s="10"/>
    </row>
    <row r="4135" spans="28:35" ht="15" hidden="1" customHeight="1">
      <c r="AB4135" s="9"/>
      <c r="AC4135" s="9"/>
      <c r="AD4135" s="9"/>
      <c r="AF4135" s="10"/>
      <c r="AG4135" s="10"/>
      <c r="AH4135" s="10"/>
      <c r="AI4135" s="10"/>
    </row>
    <row r="4136" spans="28:35" ht="15" hidden="1" customHeight="1">
      <c r="AB4136" s="9"/>
      <c r="AC4136" s="9"/>
      <c r="AD4136" s="9"/>
      <c r="AF4136" s="10"/>
      <c r="AG4136" s="10"/>
      <c r="AH4136" s="10"/>
      <c r="AI4136" s="10"/>
    </row>
    <row r="4137" spans="28:35" ht="15" hidden="1" customHeight="1">
      <c r="AB4137" s="9"/>
      <c r="AC4137" s="9"/>
      <c r="AD4137" s="9"/>
      <c r="AF4137" s="10"/>
      <c r="AG4137" s="10"/>
      <c r="AH4137" s="10"/>
      <c r="AI4137" s="10"/>
    </row>
    <row r="4138" spans="28:35" ht="15" hidden="1" customHeight="1">
      <c r="AB4138" s="9"/>
      <c r="AC4138" s="9"/>
      <c r="AD4138" s="9"/>
      <c r="AF4138" s="10"/>
      <c r="AG4138" s="10"/>
      <c r="AH4138" s="10"/>
      <c r="AI4138" s="10"/>
    </row>
    <row r="4139" spans="28:35" ht="15" hidden="1" customHeight="1">
      <c r="AB4139" s="9"/>
      <c r="AC4139" s="9"/>
      <c r="AD4139" s="9"/>
      <c r="AF4139" s="10"/>
      <c r="AG4139" s="10"/>
      <c r="AH4139" s="10"/>
      <c r="AI4139" s="10"/>
    </row>
    <row r="4140" spans="28:35" ht="15" hidden="1" customHeight="1">
      <c r="AB4140" s="9"/>
      <c r="AC4140" s="9"/>
      <c r="AD4140" s="9"/>
      <c r="AF4140" s="10"/>
      <c r="AG4140" s="10"/>
      <c r="AH4140" s="10"/>
      <c r="AI4140" s="10"/>
    </row>
    <row r="4141" spans="28:35" ht="15" hidden="1" customHeight="1">
      <c r="AB4141" s="9"/>
      <c r="AC4141" s="9"/>
      <c r="AD4141" s="9"/>
      <c r="AF4141" s="10"/>
      <c r="AG4141" s="10"/>
      <c r="AH4141" s="10"/>
      <c r="AI4141" s="10"/>
    </row>
    <row r="4142" spans="28:35" ht="15" hidden="1" customHeight="1">
      <c r="AB4142" s="9"/>
      <c r="AC4142" s="9"/>
      <c r="AD4142" s="9"/>
      <c r="AF4142" s="10"/>
      <c r="AG4142" s="10"/>
      <c r="AH4142" s="10"/>
      <c r="AI4142" s="10"/>
    </row>
    <row r="4143" spans="28:35" ht="15" hidden="1" customHeight="1">
      <c r="AB4143" s="9"/>
      <c r="AC4143" s="9"/>
      <c r="AD4143" s="9"/>
      <c r="AF4143" s="10"/>
      <c r="AG4143" s="10"/>
      <c r="AH4143" s="10"/>
      <c r="AI4143" s="10"/>
    </row>
    <row r="4144" spans="28:35" ht="15" hidden="1" customHeight="1">
      <c r="AB4144" s="9"/>
      <c r="AC4144" s="9"/>
      <c r="AD4144" s="9"/>
      <c r="AF4144" s="10"/>
      <c r="AG4144" s="10"/>
      <c r="AH4144" s="10"/>
      <c r="AI4144" s="10"/>
    </row>
    <row r="4145" spans="28:35" ht="15" hidden="1" customHeight="1">
      <c r="AB4145" s="9"/>
      <c r="AC4145" s="9"/>
      <c r="AD4145" s="9"/>
      <c r="AF4145" s="10"/>
      <c r="AG4145" s="10"/>
      <c r="AH4145" s="10"/>
      <c r="AI4145" s="10"/>
    </row>
    <row r="4146" spans="28:35" ht="15" hidden="1" customHeight="1">
      <c r="AB4146" s="9"/>
      <c r="AC4146" s="9"/>
      <c r="AD4146" s="9"/>
      <c r="AF4146" s="10"/>
      <c r="AG4146" s="10"/>
      <c r="AH4146" s="10"/>
      <c r="AI4146" s="10"/>
    </row>
    <row r="4147" spans="28:35" ht="15" hidden="1" customHeight="1">
      <c r="AB4147" s="9"/>
      <c r="AC4147" s="9"/>
      <c r="AD4147" s="9"/>
      <c r="AF4147" s="10"/>
      <c r="AG4147" s="10"/>
      <c r="AH4147" s="10"/>
      <c r="AI4147" s="10"/>
    </row>
    <row r="4148" spans="28:35" ht="15" hidden="1" customHeight="1">
      <c r="AB4148" s="9"/>
      <c r="AC4148" s="9"/>
      <c r="AD4148" s="9"/>
      <c r="AF4148" s="10"/>
      <c r="AG4148" s="10"/>
      <c r="AH4148" s="10"/>
      <c r="AI4148" s="10"/>
    </row>
    <row r="4149" spans="28:35" ht="15" hidden="1" customHeight="1">
      <c r="AB4149" s="9"/>
      <c r="AC4149" s="9"/>
      <c r="AD4149" s="9"/>
      <c r="AF4149" s="10"/>
      <c r="AG4149" s="10"/>
      <c r="AH4149" s="10"/>
      <c r="AI4149" s="10"/>
    </row>
    <row r="4150" spans="28:35" ht="15" hidden="1" customHeight="1">
      <c r="AB4150" s="9"/>
      <c r="AC4150" s="9"/>
      <c r="AD4150" s="9"/>
      <c r="AF4150" s="10"/>
      <c r="AG4150" s="10"/>
      <c r="AH4150" s="10"/>
      <c r="AI4150" s="10"/>
    </row>
    <row r="4151" spans="28:35" ht="15" hidden="1" customHeight="1">
      <c r="AB4151" s="9"/>
      <c r="AC4151" s="9"/>
      <c r="AD4151" s="9"/>
      <c r="AF4151" s="10"/>
      <c r="AG4151" s="10"/>
      <c r="AH4151" s="10"/>
      <c r="AI4151" s="10"/>
    </row>
    <row r="4152" spans="28:35" ht="15" hidden="1" customHeight="1">
      <c r="AB4152" s="9"/>
      <c r="AC4152" s="9"/>
      <c r="AD4152" s="9"/>
      <c r="AF4152" s="10"/>
      <c r="AG4152" s="10"/>
      <c r="AH4152" s="10"/>
      <c r="AI4152" s="10"/>
    </row>
    <row r="4153" spans="28:35" ht="15" hidden="1" customHeight="1">
      <c r="AB4153" s="9"/>
      <c r="AC4153" s="9"/>
      <c r="AD4153" s="9"/>
      <c r="AF4153" s="10"/>
      <c r="AG4153" s="10"/>
      <c r="AH4153" s="10"/>
      <c r="AI4153" s="10"/>
    </row>
    <row r="4154" spans="28:35" ht="15" hidden="1" customHeight="1">
      <c r="AB4154" s="9"/>
      <c r="AC4154" s="9"/>
      <c r="AD4154" s="9"/>
      <c r="AF4154" s="10"/>
      <c r="AG4154" s="10"/>
      <c r="AH4154" s="10"/>
      <c r="AI4154" s="10"/>
    </row>
    <row r="4155" spans="28:35" ht="15" hidden="1" customHeight="1">
      <c r="AB4155" s="9"/>
      <c r="AC4155" s="9"/>
      <c r="AD4155" s="9"/>
      <c r="AF4155" s="10"/>
      <c r="AG4155" s="10"/>
      <c r="AH4155" s="10"/>
      <c r="AI4155" s="10"/>
    </row>
    <row r="4156" spans="28:35" ht="15" hidden="1" customHeight="1">
      <c r="AB4156" s="9"/>
      <c r="AC4156" s="9"/>
      <c r="AD4156" s="9"/>
      <c r="AF4156" s="10"/>
      <c r="AG4156" s="10"/>
      <c r="AH4156" s="10"/>
      <c r="AI4156" s="10"/>
    </row>
    <row r="4157" spans="28:35" ht="15" hidden="1" customHeight="1">
      <c r="AB4157" s="9"/>
      <c r="AC4157" s="9"/>
      <c r="AD4157" s="9"/>
      <c r="AF4157" s="10"/>
      <c r="AG4157" s="10"/>
      <c r="AH4157" s="10"/>
      <c r="AI4157" s="10"/>
    </row>
    <row r="4158" spans="28:35" ht="15" hidden="1" customHeight="1">
      <c r="AB4158" s="9"/>
      <c r="AC4158" s="9"/>
      <c r="AD4158" s="9"/>
      <c r="AF4158" s="10"/>
      <c r="AG4158" s="10"/>
      <c r="AH4158" s="10"/>
      <c r="AI4158" s="10"/>
    </row>
    <row r="4159" spans="28:35" ht="15" hidden="1" customHeight="1">
      <c r="AB4159" s="9"/>
      <c r="AC4159" s="9"/>
      <c r="AD4159" s="9"/>
      <c r="AF4159" s="10"/>
      <c r="AG4159" s="10"/>
      <c r="AH4159" s="10"/>
      <c r="AI4159" s="10"/>
    </row>
    <row r="4160" spans="28:35" ht="15" hidden="1" customHeight="1">
      <c r="AB4160" s="9"/>
      <c r="AC4160" s="9"/>
      <c r="AD4160" s="9"/>
      <c r="AF4160" s="10"/>
      <c r="AG4160" s="10"/>
      <c r="AH4160" s="10"/>
      <c r="AI4160" s="10"/>
    </row>
    <row r="4161" spans="28:35" ht="15" hidden="1" customHeight="1">
      <c r="AB4161" s="9"/>
      <c r="AC4161" s="9"/>
      <c r="AD4161" s="9"/>
      <c r="AF4161" s="10"/>
      <c r="AG4161" s="10"/>
      <c r="AH4161" s="10"/>
      <c r="AI4161" s="10"/>
    </row>
    <row r="4162" spans="28:35" ht="15" hidden="1" customHeight="1">
      <c r="AB4162" s="9"/>
      <c r="AC4162" s="9"/>
      <c r="AD4162" s="9"/>
      <c r="AF4162" s="10"/>
      <c r="AG4162" s="10"/>
      <c r="AH4162" s="10"/>
      <c r="AI4162" s="10"/>
    </row>
    <row r="4163" spans="28:35" ht="15" hidden="1" customHeight="1">
      <c r="AB4163" s="9"/>
      <c r="AC4163" s="9"/>
      <c r="AD4163" s="9"/>
      <c r="AF4163" s="10"/>
      <c r="AG4163" s="10"/>
      <c r="AH4163" s="10"/>
      <c r="AI4163" s="10"/>
    </row>
    <row r="4164" spans="28:35" ht="15" hidden="1" customHeight="1">
      <c r="AB4164" s="9"/>
      <c r="AC4164" s="9"/>
      <c r="AD4164" s="9"/>
      <c r="AF4164" s="10"/>
      <c r="AG4164" s="10"/>
      <c r="AH4164" s="10"/>
      <c r="AI4164" s="10"/>
    </row>
    <row r="4165" spans="28:35" ht="15" hidden="1" customHeight="1">
      <c r="AB4165" s="9"/>
      <c r="AC4165" s="9"/>
      <c r="AD4165" s="9"/>
      <c r="AF4165" s="10"/>
      <c r="AG4165" s="10"/>
      <c r="AH4165" s="10"/>
      <c r="AI4165" s="10"/>
    </row>
    <row r="4166" spans="28:35" ht="15" hidden="1" customHeight="1">
      <c r="AB4166" s="9"/>
      <c r="AC4166" s="9"/>
      <c r="AD4166" s="9"/>
      <c r="AF4166" s="10"/>
      <c r="AG4166" s="10"/>
      <c r="AH4166" s="10"/>
      <c r="AI4166" s="10"/>
    </row>
    <row r="4167" spans="28:35" ht="15" hidden="1" customHeight="1">
      <c r="AB4167" s="9"/>
      <c r="AC4167" s="9"/>
      <c r="AD4167" s="9"/>
      <c r="AF4167" s="10"/>
      <c r="AG4167" s="10"/>
      <c r="AH4167" s="10"/>
      <c r="AI4167" s="10"/>
    </row>
    <row r="4168" spans="28:35" ht="15" hidden="1" customHeight="1">
      <c r="AB4168" s="9"/>
      <c r="AC4168" s="9"/>
      <c r="AD4168" s="9"/>
      <c r="AF4168" s="10"/>
      <c r="AG4168" s="10"/>
      <c r="AH4168" s="10"/>
      <c r="AI4168" s="10"/>
    </row>
    <row r="4169" spans="28:35" ht="15" hidden="1" customHeight="1">
      <c r="AB4169" s="9"/>
      <c r="AC4169" s="9"/>
      <c r="AD4169" s="9"/>
      <c r="AF4169" s="10"/>
      <c r="AG4169" s="10"/>
      <c r="AH4169" s="10"/>
      <c r="AI4169" s="10"/>
    </row>
    <row r="4170" spans="28:35" ht="15" hidden="1" customHeight="1">
      <c r="AB4170" s="9"/>
      <c r="AC4170" s="9"/>
      <c r="AD4170" s="9"/>
      <c r="AF4170" s="10"/>
      <c r="AG4170" s="10"/>
      <c r="AH4170" s="10"/>
      <c r="AI4170" s="10"/>
    </row>
    <row r="4171" spans="28:35" ht="15" hidden="1" customHeight="1">
      <c r="AB4171" s="9"/>
      <c r="AC4171" s="9"/>
      <c r="AD4171" s="9"/>
      <c r="AF4171" s="10"/>
      <c r="AG4171" s="10"/>
      <c r="AH4171" s="10"/>
      <c r="AI4171" s="10"/>
    </row>
    <row r="4172" spans="28:35" ht="15" hidden="1" customHeight="1">
      <c r="AB4172" s="9"/>
      <c r="AC4172" s="9"/>
      <c r="AD4172" s="9"/>
      <c r="AF4172" s="10"/>
      <c r="AG4172" s="10"/>
      <c r="AH4172" s="10"/>
      <c r="AI4172" s="10"/>
    </row>
    <row r="4173" spans="28:35" ht="15" hidden="1" customHeight="1">
      <c r="AB4173" s="9"/>
      <c r="AC4173" s="9"/>
      <c r="AD4173" s="9"/>
      <c r="AF4173" s="10"/>
      <c r="AG4173" s="10"/>
      <c r="AH4173" s="10"/>
      <c r="AI4173" s="10"/>
    </row>
    <row r="4174" spans="28:35" ht="15" hidden="1" customHeight="1">
      <c r="AB4174" s="9"/>
      <c r="AC4174" s="9"/>
      <c r="AD4174" s="9"/>
      <c r="AF4174" s="10"/>
      <c r="AG4174" s="10"/>
      <c r="AH4174" s="10"/>
      <c r="AI4174" s="10"/>
    </row>
    <row r="4175" spans="28:35" ht="15" hidden="1" customHeight="1">
      <c r="AB4175" s="9"/>
      <c r="AC4175" s="9"/>
      <c r="AD4175" s="9"/>
      <c r="AF4175" s="10"/>
      <c r="AG4175" s="10"/>
      <c r="AH4175" s="10"/>
      <c r="AI4175" s="10"/>
    </row>
    <row r="4176" spans="28:35" ht="15" hidden="1" customHeight="1">
      <c r="AB4176" s="9"/>
      <c r="AC4176" s="9"/>
      <c r="AD4176" s="9"/>
      <c r="AF4176" s="10"/>
      <c r="AG4176" s="10"/>
      <c r="AH4176" s="10"/>
      <c r="AI4176" s="10"/>
    </row>
    <row r="4177" spans="28:35" ht="15" hidden="1" customHeight="1">
      <c r="AB4177" s="9"/>
      <c r="AC4177" s="9"/>
      <c r="AD4177" s="9"/>
      <c r="AF4177" s="10"/>
      <c r="AG4177" s="10"/>
      <c r="AH4177" s="10"/>
      <c r="AI4177" s="10"/>
    </row>
    <row r="4178" spans="28:35" ht="15" hidden="1" customHeight="1">
      <c r="AB4178" s="9"/>
      <c r="AC4178" s="9"/>
      <c r="AD4178" s="9"/>
      <c r="AF4178" s="10"/>
      <c r="AG4178" s="10"/>
      <c r="AH4178" s="10"/>
      <c r="AI4178" s="10"/>
    </row>
    <row r="4179" spans="28:35" ht="15" hidden="1" customHeight="1">
      <c r="AB4179" s="9"/>
      <c r="AC4179" s="9"/>
      <c r="AD4179" s="9"/>
      <c r="AF4179" s="10"/>
      <c r="AG4179" s="10"/>
      <c r="AH4179" s="10"/>
      <c r="AI4179" s="10"/>
    </row>
    <row r="4180" spans="28:35" ht="15" hidden="1" customHeight="1">
      <c r="AB4180" s="9"/>
      <c r="AC4180" s="9"/>
      <c r="AD4180" s="9"/>
      <c r="AF4180" s="10"/>
      <c r="AG4180" s="10"/>
      <c r="AH4180" s="10"/>
      <c r="AI4180" s="10"/>
    </row>
    <row r="4181" spans="28:35" ht="15" hidden="1" customHeight="1">
      <c r="AB4181" s="9"/>
      <c r="AC4181" s="9"/>
      <c r="AD4181" s="9"/>
      <c r="AF4181" s="10"/>
      <c r="AG4181" s="10"/>
      <c r="AH4181" s="10"/>
      <c r="AI4181" s="10"/>
    </row>
    <row r="4182" spans="28:35" ht="15" hidden="1" customHeight="1">
      <c r="AB4182" s="9"/>
      <c r="AC4182" s="9"/>
      <c r="AD4182" s="9"/>
      <c r="AF4182" s="10"/>
      <c r="AG4182" s="10"/>
      <c r="AH4182" s="10"/>
      <c r="AI4182" s="10"/>
    </row>
    <row r="4183" spans="28:35" ht="15" hidden="1" customHeight="1">
      <c r="AB4183" s="9"/>
      <c r="AC4183" s="9"/>
      <c r="AD4183" s="9"/>
      <c r="AF4183" s="10"/>
      <c r="AG4183" s="10"/>
      <c r="AH4183" s="10"/>
      <c r="AI4183" s="10"/>
    </row>
    <row r="4184" spans="28:35" ht="15" hidden="1" customHeight="1">
      <c r="AB4184" s="9"/>
      <c r="AC4184" s="9"/>
      <c r="AD4184" s="9"/>
      <c r="AF4184" s="10"/>
      <c r="AG4184" s="10"/>
      <c r="AH4184" s="10"/>
      <c r="AI4184" s="10"/>
    </row>
    <row r="4185" spans="28:35" ht="15" hidden="1" customHeight="1">
      <c r="AB4185" s="9"/>
      <c r="AC4185" s="9"/>
      <c r="AD4185" s="9"/>
      <c r="AF4185" s="10"/>
      <c r="AG4185" s="10"/>
      <c r="AH4185" s="10"/>
      <c r="AI4185" s="10"/>
    </row>
    <row r="4186" spans="28:35" ht="15" hidden="1" customHeight="1">
      <c r="AB4186" s="9"/>
      <c r="AC4186" s="9"/>
      <c r="AD4186" s="9"/>
      <c r="AF4186" s="10"/>
      <c r="AG4186" s="10"/>
      <c r="AH4186" s="10"/>
      <c r="AI4186" s="10"/>
    </row>
    <row r="4187" spans="28:35" ht="15" hidden="1" customHeight="1">
      <c r="AB4187" s="9"/>
      <c r="AC4187" s="9"/>
      <c r="AD4187" s="9"/>
      <c r="AF4187" s="10"/>
      <c r="AG4187" s="10"/>
      <c r="AH4187" s="10"/>
      <c r="AI4187" s="10"/>
    </row>
    <row r="4188" spans="28:35" ht="15" hidden="1" customHeight="1">
      <c r="AB4188" s="9"/>
      <c r="AC4188" s="9"/>
      <c r="AD4188" s="9"/>
      <c r="AF4188" s="10"/>
      <c r="AG4188" s="10"/>
      <c r="AH4188" s="10"/>
      <c r="AI4188" s="10"/>
    </row>
    <row r="4189" spans="28:35" ht="15" hidden="1" customHeight="1">
      <c r="AB4189" s="9"/>
      <c r="AC4189" s="9"/>
      <c r="AD4189" s="9"/>
      <c r="AF4189" s="10"/>
      <c r="AG4189" s="10"/>
      <c r="AH4189" s="10"/>
      <c r="AI4189" s="10"/>
    </row>
    <row r="4190" spans="28:35" ht="15" hidden="1" customHeight="1">
      <c r="AB4190" s="9"/>
      <c r="AC4190" s="9"/>
      <c r="AD4190" s="9"/>
      <c r="AF4190" s="10"/>
      <c r="AG4190" s="10"/>
      <c r="AH4190" s="10"/>
      <c r="AI4190" s="10"/>
    </row>
    <row r="4191" spans="28:35" ht="15" hidden="1" customHeight="1">
      <c r="AB4191" s="9"/>
      <c r="AC4191" s="9"/>
      <c r="AD4191" s="9"/>
      <c r="AF4191" s="10"/>
      <c r="AG4191" s="10"/>
      <c r="AH4191" s="10"/>
      <c r="AI4191" s="10"/>
    </row>
    <row r="4192" spans="28:35" ht="15" hidden="1" customHeight="1">
      <c r="AB4192" s="9"/>
      <c r="AC4192" s="9"/>
      <c r="AD4192" s="9"/>
      <c r="AF4192" s="10"/>
      <c r="AG4192" s="10"/>
      <c r="AH4192" s="10"/>
      <c r="AI4192" s="10"/>
    </row>
    <row r="4193" spans="28:35" ht="15" hidden="1" customHeight="1">
      <c r="AB4193" s="9"/>
      <c r="AC4193" s="9"/>
      <c r="AD4193" s="9"/>
      <c r="AF4193" s="10"/>
      <c r="AG4193" s="10"/>
      <c r="AH4193" s="10"/>
      <c r="AI4193" s="10"/>
    </row>
    <row r="4194" spans="28:35" ht="15" hidden="1" customHeight="1">
      <c r="AB4194" s="9"/>
      <c r="AC4194" s="9"/>
      <c r="AD4194" s="9"/>
      <c r="AF4194" s="10"/>
      <c r="AG4194" s="10"/>
      <c r="AH4194" s="10"/>
      <c r="AI4194" s="10"/>
    </row>
    <row r="4195" spans="28:35" ht="15" hidden="1" customHeight="1">
      <c r="AB4195" s="9"/>
      <c r="AC4195" s="9"/>
      <c r="AD4195" s="9"/>
      <c r="AF4195" s="10"/>
      <c r="AG4195" s="10"/>
      <c r="AH4195" s="10"/>
      <c r="AI4195" s="10"/>
    </row>
    <row r="4196" spans="28:35" ht="15" hidden="1" customHeight="1">
      <c r="AB4196" s="9"/>
      <c r="AC4196" s="9"/>
      <c r="AD4196" s="9"/>
      <c r="AF4196" s="10"/>
      <c r="AG4196" s="10"/>
      <c r="AH4196" s="10"/>
      <c r="AI4196" s="10"/>
    </row>
    <row r="4197" spans="28:35" ht="15" hidden="1" customHeight="1">
      <c r="AB4197" s="9"/>
      <c r="AC4197" s="9"/>
      <c r="AD4197" s="9"/>
      <c r="AF4197" s="10"/>
      <c r="AG4197" s="10"/>
      <c r="AH4197" s="10"/>
      <c r="AI4197" s="10"/>
    </row>
    <row r="4198" spans="28:35" ht="15" hidden="1" customHeight="1">
      <c r="AB4198" s="9"/>
      <c r="AC4198" s="9"/>
      <c r="AD4198" s="9"/>
      <c r="AF4198" s="10"/>
      <c r="AG4198" s="10"/>
      <c r="AH4198" s="10"/>
      <c r="AI4198" s="10"/>
    </row>
    <row r="4199" spans="28:35" ht="15" hidden="1" customHeight="1">
      <c r="AB4199" s="9"/>
      <c r="AC4199" s="9"/>
      <c r="AD4199" s="9"/>
      <c r="AF4199" s="10"/>
      <c r="AG4199" s="10"/>
      <c r="AH4199" s="10"/>
      <c r="AI4199" s="10"/>
    </row>
    <row r="4200" spans="28:35" ht="15" hidden="1" customHeight="1">
      <c r="AB4200" s="9"/>
      <c r="AC4200" s="9"/>
      <c r="AD4200" s="9"/>
      <c r="AF4200" s="10"/>
      <c r="AG4200" s="10"/>
      <c r="AH4200" s="10"/>
      <c r="AI4200" s="10"/>
    </row>
    <row r="4201" spans="28:35" ht="15" hidden="1" customHeight="1">
      <c r="AB4201" s="9"/>
      <c r="AC4201" s="9"/>
      <c r="AD4201" s="9"/>
      <c r="AF4201" s="10"/>
      <c r="AG4201" s="10"/>
      <c r="AH4201" s="10"/>
      <c r="AI4201" s="10"/>
    </row>
    <row r="4202" spans="28:35" ht="15" hidden="1" customHeight="1">
      <c r="AB4202" s="9"/>
      <c r="AC4202" s="9"/>
      <c r="AD4202" s="9"/>
      <c r="AF4202" s="10"/>
      <c r="AG4202" s="10"/>
      <c r="AH4202" s="10"/>
      <c r="AI4202" s="10"/>
    </row>
    <row r="4203" spans="28:35" ht="15" hidden="1" customHeight="1">
      <c r="AB4203" s="9"/>
      <c r="AC4203" s="9"/>
      <c r="AD4203" s="9"/>
      <c r="AF4203" s="10"/>
      <c r="AG4203" s="10"/>
      <c r="AH4203" s="10"/>
      <c r="AI4203" s="10"/>
    </row>
    <row r="4204" spans="28:35" ht="15" hidden="1" customHeight="1">
      <c r="AB4204" s="9"/>
      <c r="AC4204" s="9"/>
      <c r="AD4204" s="9"/>
      <c r="AF4204" s="10"/>
      <c r="AG4204" s="10"/>
      <c r="AH4204" s="10"/>
      <c r="AI4204" s="10"/>
    </row>
    <row r="4205" spans="28:35" ht="15" hidden="1" customHeight="1">
      <c r="AB4205" s="9"/>
      <c r="AC4205" s="9"/>
      <c r="AD4205" s="9"/>
      <c r="AF4205" s="10"/>
      <c r="AG4205" s="10"/>
      <c r="AH4205" s="10"/>
      <c r="AI4205" s="10"/>
    </row>
    <row r="4206" spans="28:35" ht="15" hidden="1" customHeight="1">
      <c r="AB4206" s="9"/>
      <c r="AC4206" s="9"/>
      <c r="AD4206" s="9"/>
      <c r="AF4206" s="10"/>
      <c r="AG4206" s="10"/>
      <c r="AH4206" s="10"/>
      <c r="AI4206" s="10"/>
    </row>
    <row r="4207" spans="28:35" ht="15" hidden="1" customHeight="1">
      <c r="AB4207" s="9"/>
      <c r="AC4207" s="9"/>
      <c r="AD4207" s="9"/>
      <c r="AF4207" s="10"/>
      <c r="AG4207" s="10"/>
      <c r="AH4207" s="10"/>
      <c r="AI4207" s="10"/>
    </row>
    <row r="4208" spans="28:35" ht="15" hidden="1" customHeight="1">
      <c r="AB4208" s="9"/>
      <c r="AC4208" s="9"/>
      <c r="AD4208" s="9"/>
      <c r="AF4208" s="10"/>
      <c r="AG4208" s="10"/>
      <c r="AH4208" s="10"/>
      <c r="AI4208" s="10"/>
    </row>
    <row r="4209" spans="28:35" ht="15" hidden="1" customHeight="1">
      <c r="AB4209" s="9"/>
      <c r="AC4209" s="9"/>
      <c r="AD4209" s="9"/>
      <c r="AF4209" s="10"/>
      <c r="AG4209" s="10"/>
      <c r="AH4209" s="10"/>
      <c r="AI4209" s="10"/>
    </row>
    <row r="4210" spans="28:35" ht="15" hidden="1" customHeight="1">
      <c r="AB4210" s="9"/>
      <c r="AC4210" s="9"/>
      <c r="AD4210" s="9"/>
      <c r="AF4210" s="10"/>
      <c r="AG4210" s="10"/>
      <c r="AH4210" s="10"/>
      <c r="AI4210" s="10"/>
    </row>
    <row r="4211" spans="28:35" ht="15" hidden="1" customHeight="1">
      <c r="AB4211" s="9"/>
      <c r="AC4211" s="9"/>
      <c r="AD4211" s="9"/>
      <c r="AF4211" s="10"/>
      <c r="AG4211" s="10"/>
      <c r="AH4211" s="10"/>
      <c r="AI4211" s="10"/>
    </row>
    <row r="4212" spans="28:35" ht="15" hidden="1" customHeight="1">
      <c r="AB4212" s="9"/>
      <c r="AC4212" s="9"/>
      <c r="AD4212" s="9"/>
      <c r="AF4212" s="10"/>
      <c r="AG4212" s="10"/>
      <c r="AH4212" s="10"/>
      <c r="AI4212" s="10"/>
    </row>
    <row r="4213" spans="28:35" ht="15" hidden="1" customHeight="1">
      <c r="AB4213" s="9"/>
      <c r="AC4213" s="9"/>
      <c r="AD4213" s="9"/>
      <c r="AF4213" s="10"/>
      <c r="AG4213" s="10"/>
      <c r="AH4213" s="10"/>
      <c r="AI4213" s="10"/>
    </row>
    <row r="4214" spans="28:35" ht="15" hidden="1" customHeight="1">
      <c r="AB4214" s="9"/>
      <c r="AC4214" s="9"/>
      <c r="AD4214" s="9"/>
      <c r="AF4214" s="10"/>
      <c r="AG4214" s="10"/>
      <c r="AH4214" s="10"/>
      <c r="AI4214" s="10"/>
    </row>
    <row r="4215" spans="28:35" ht="15" hidden="1" customHeight="1">
      <c r="AB4215" s="9"/>
      <c r="AC4215" s="9"/>
      <c r="AD4215" s="9"/>
      <c r="AF4215" s="10"/>
      <c r="AG4215" s="10"/>
      <c r="AH4215" s="10"/>
      <c r="AI4215" s="10"/>
    </row>
    <row r="4216" spans="28:35" ht="15" hidden="1" customHeight="1">
      <c r="AB4216" s="9"/>
      <c r="AC4216" s="9"/>
      <c r="AD4216" s="9"/>
      <c r="AF4216" s="10"/>
      <c r="AG4216" s="10"/>
      <c r="AH4216" s="10"/>
      <c r="AI4216" s="10"/>
    </row>
    <row r="4217" spans="28:35" ht="15" hidden="1" customHeight="1">
      <c r="AB4217" s="9"/>
      <c r="AC4217" s="9"/>
      <c r="AD4217" s="9"/>
      <c r="AF4217" s="10"/>
      <c r="AG4217" s="10"/>
      <c r="AH4217" s="10"/>
      <c r="AI4217" s="10"/>
    </row>
    <row r="4218" spans="28:35" ht="15" hidden="1" customHeight="1">
      <c r="AB4218" s="9"/>
      <c r="AC4218" s="9"/>
      <c r="AD4218" s="9"/>
      <c r="AF4218" s="10"/>
      <c r="AG4218" s="10"/>
      <c r="AH4218" s="10"/>
      <c r="AI4218" s="10"/>
    </row>
    <row r="4219" spans="28:35" ht="15" hidden="1" customHeight="1">
      <c r="AB4219" s="9"/>
      <c r="AC4219" s="9"/>
      <c r="AD4219" s="9"/>
      <c r="AF4219" s="10"/>
      <c r="AG4219" s="10"/>
      <c r="AH4219" s="10"/>
      <c r="AI4219" s="10"/>
    </row>
    <row r="4220" spans="28:35" ht="15" hidden="1" customHeight="1">
      <c r="AB4220" s="9"/>
      <c r="AC4220" s="9"/>
      <c r="AD4220" s="9"/>
      <c r="AF4220" s="10"/>
      <c r="AG4220" s="10"/>
      <c r="AH4220" s="10"/>
      <c r="AI4220" s="10"/>
    </row>
    <row r="4221" spans="28:35" ht="15" hidden="1" customHeight="1">
      <c r="AB4221" s="9"/>
      <c r="AC4221" s="9"/>
      <c r="AD4221" s="9"/>
      <c r="AF4221" s="10"/>
      <c r="AG4221" s="10"/>
      <c r="AH4221" s="10"/>
      <c r="AI4221" s="10"/>
    </row>
    <row r="4222" spans="28:35" ht="15" hidden="1" customHeight="1">
      <c r="AB4222" s="9"/>
      <c r="AC4222" s="9"/>
      <c r="AD4222" s="9"/>
      <c r="AF4222" s="10"/>
      <c r="AG4222" s="10"/>
      <c r="AH4222" s="10"/>
      <c r="AI4222" s="10"/>
    </row>
    <row r="4223" spans="28:35" ht="15" hidden="1" customHeight="1">
      <c r="AB4223" s="9"/>
      <c r="AC4223" s="9"/>
      <c r="AD4223" s="9"/>
      <c r="AF4223" s="10"/>
      <c r="AG4223" s="10"/>
      <c r="AH4223" s="10"/>
      <c r="AI4223" s="10"/>
    </row>
    <row r="4224" spans="28:35" ht="15" hidden="1" customHeight="1">
      <c r="AB4224" s="9"/>
      <c r="AC4224" s="9"/>
      <c r="AD4224" s="9"/>
      <c r="AF4224" s="10"/>
      <c r="AG4224" s="10"/>
      <c r="AH4224" s="10"/>
      <c r="AI4224" s="10"/>
    </row>
    <row r="4225" spans="28:35" ht="15" hidden="1" customHeight="1">
      <c r="AB4225" s="9"/>
      <c r="AC4225" s="9"/>
      <c r="AD4225" s="9"/>
      <c r="AF4225" s="10"/>
      <c r="AG4225" s="10"/>
      <c r="AH4225" s="10"/>
      <c r="AI4225" s="10"/>
    </row>
    <row r="4226" spans="28:35" ht="15" hidden="1" customHeight="1">
      <c r="AB4226" s="9"/>
      <c r="AC4226" s="9"/>
      <c r="AD4226" s="9"/>
      <c r="AF4226" s="10"/>
      <c r="AG4226" s="10"/>
      <c r="AH4226" s="10"/>
      <c r="AI4226" s="10"/>
    </row>
    <row r="4227" spans="28:35" ht="15" hidden="1" customHeight="1">
      <c r="AB4227" s="9"/>
      <c r="AC4227" s="9"/>
      <c r="AD4227" s="9"/>
      <c r="AF4227" s="10"/>
      <c r="AG4227" s="10"/>
      <c r="AH4227" s="10"/>
      <c r="AI4227" s="10"/>
    </row>
    <row r="4228" spans="28:35" ht="15" hidden="1" customHeight="1">
      <c r="AB4228" s="9"/>
      <c r="AC4228" s="9"/>
      <c r="AD4228" s="9"/>
      <c r="AF4228" s="10"/>
      <c r="AG4228" s="10"/>
      <c r="AH4228" s="10"/>
      <c r="AI4228" s="10"/>
    </row>
    <row r="4229" spans="28:35" ht="15" hidden="1" customHeight="1">
      <c r="AB4229" s="9"/>
      <c r="AC4229" s="9"/>
      <c r="AD4229" s="9"/>
      <c r="AF4229" s="10"/>
      <c r="AG4229" s="10"/>
      <c r="AH4229" s="10"/>
      <c r="AI4229" s="10"/>
    </row>
    <row r="4230" spans="28:35" ht="15" hidden="1" customHeight="1">
      <c r="AB4230" s="9"/>
      <c r="AC4230" s="9"/>
      <c r="AD4230" s="9"/>
      <c r="AF4230" s="10"/>
      <c r="AG4230" s="10"/>
      <c r="AH4230" s="10"/>
      <c r="AI4230" s="10"/>
    </row>
    <row r="4231" spans="28:35" ht="15" hidden="1" customHeight="1">
      <c r="AB4231" s="9"/>
      <c r="AC4231" s="9"/>
      <c r="AD4231" s="9"/>
      <c r="AF4231" s="10"/>
      <c r="AG4231" s="10"/>
      <c r="AH4231" s="10"/>
      <c r="AI4231" s="10"/>
    </row>
    <row r="4232" spans="28:35" ht="15" hidden="1" customHeight="1">
      <c r="AB4232" s="9"/>
      <c r="AC4232" s="9"/>
      <c r="AD4232" s="9"/>
      <c r="AF4232" s="10"/>
      <c r="AG4232" s="10"/>
      <c r="AH4232" s="10"/>
      <c r="AI4232" s="10"/>
    </row>
    <row r="4233" spans="28:35" ht="15" hidden="1" customHeight="1">
      <c r="AB4233" s="9"/>
      <c r="AC4233" s="9"/>
      <c r="AD4233" s="9"/>
      <c r="AF4233" s="10"/>
      <c r="AG4233" s="10"/>
      <c r="AH4233" s="10"/>
      <c r="AI4233" s="10"/>
    </row>
    <row r="4234" spans="28:35" ht="15" hidden="1" customHeight="1">
      <c r="AB4234" s="9"/>
      <c r="AC4234" s="9"/>
      <c r="AD4234" s="9"/>
      <c r="AF4234" s="10"/>
      <c r="AG4234" s="10"/>
      <c r="AH4234" s="10"/>
      <c r="AI4234" s="10"/>
    </row>
    <row r="4235" spans="28:35" ht="15" hidden="1" customHeight="1">
      <c r="AB4235" s="9"/>
      <c r="AC4235" s="9"/>
      <c r="AD4235" s="9"/>
      <c r="AF4235" s="10"/>
      <c r="AG4235" s="10"/>
      <c r="AH4235" s="10"/>
      <c r="AI4235" s="10"/>
    </row>
    <row r="4236" spans="28:35" ht="15" hidden="1" customHeight="1">
      <c r="AB4236" s="9"/>
      <c r="AC4236" s="9"/>
      <c r="AD4236" s="9"/>
      <c r="AF4236" s="10"/>
      <c r="AG4236" s="10"/>
      <c r="AH4236" s="10"/>
      <c r="AI4236" s="10"/>
    </row>
    <row r="4237" spans="28:35" ht="15" hidden="1" customHeight="1">
      <c r="AB4237" s="9"/>
      <c r="AC4237" s="9"/>
      <c r="AD4237" s="9"/>
      <c r="AF4237" s="10"/>
      <c r="AG4237" s="10"/>
      <c r="AH4237" s="10"/>
      <c r="AI4237" s="10"/>
    </row>
    <row r="4238" spans="28:35" ht="15" hidden="1" customHeight="1">
      <c r="AB4238" s="9"/>
      <c r="AC4238" s="9"/>
      <c r="AD4238" s="9"/>
      <c r="AF4238" s="10"/>
      <c r="AG4238" s="10"/>
      <c r="AH4238" s="10"/>
      <c r="AI4238" s="10"/>
    </row>
    <row r="4239" spans="28:35" ht="15" hidden="1" customHeight="1">
      <c r="AB4239" s="9"/>
      <c r="AC4239" s="9"/>
      <c r="AD4239" s="9"/>
      <c r="AF4239" s="10"/>
      <c r="AG4239" s="10"/>
      <c r="AH4239" s="10"/>
      <c r="AI4239" s="10"/>
    </row>
    <row r="4240" spans="28:35" ht="15" hidden="1" customHeight="1">
      <c r="AB4240" s="9"/>
      <c r="AC4240" s="9"/>
      <c r="AD4240" s="9"/>
      <c r="AF4240" s="10"/>
      <c r="AG4240" s="10"/>
      <c r="AH4240" s="10"/>
      <c r="AI4240" s="10"/>
    </row>
    <row r="4241" spans="28:35" ht="15" hidden="1" customHeight="1">
      <c r="AB4241" s="9"/>
      <c r="AC4241" s="9"/>
      <c r="AD4241" s="9"/>
      <c r="AF4241" s="10"/>
      <c r="AG4241" s="10"/>
      <c r="AH4241" s="10"/>
      <c r="AI4241" s="10"/>
    </row>
    <row r="4242" spans="28:35" ht="15" hidden="1" customHeight="1">
      <c r="AB4242" s="9"/>
      <c r="AC4242" s="9"/>
      <c r="AD4242" s="9"/>
      <c r="AF4242" s="10"/>
      <c r="AG4242" s="10"/>
      <c r="AH4242" s="10"/>
      <c r="AI4242" s="10"/>
    </row>
    <row r="4243" spans="28:35" ht="15" hidden="1" customHeight="1">
      <c r="AB4243" s="9"/>
      <c r="AC4243" s="9"/>
      <c r="AD4243" s="9"/>
      <c r="AF4243" s="10"/>
      <c r="AG4243" s="10"/>
      <c r="AH4243" s="10"/>
      <c r="AI4243" s="10"/>
    </row>
    <row r="4244" spans="28:35" ht="15" hidden="1" customHeight="1">
      <c r="AB4244" s="9"/>
      <c r="AC4244" s="9"/>
      <c r="AD4244" s="9"/>
      <c r="AF4244" s="10"/>
      <c r="AG4244" s="10"/>
      <c r="AH4244" s="10"/>
      <c r="AI4244" s="10"/>
    </row>
    <row r="4245" spans="28:35" ht="15" hidden="1" customHeight="1">
      <c r="AB4245" s="9"/>
      <c r="AC4245" s="9"/>
      <c r="AD4245" s="9"/>
      <c r="AF4245" s="10"/>
      <c r="AG4245" s="10"/>
      <c r="AH4245" s="10"/>
      <c r="AI4245" s="10"/>
    </row>
    <row r="4246" spans="28:35" ht="15" hidden="1" customHeight="1">
      <c r="AB4246" s="9"/>
      <c r="AC4246" s="9"/>
      <c r="AD4246" s="9"/>
      <c r="AF4246" s="10"/>
      <c r="AG4246" s="10"/>
      <c r="AH4246" s="10"/>
      <c r="AI4246" s="10"/>
    </row>
    <row r="4247" spans="28:35" ht="15" hidden="1" customHeight="1">
      <c r="AB4247" s="9"/>
      <c r="AC4247" s="9"/>
      <c r="AD4247" s="9"/>
      <c r="AF4247" s="10"/>
      <c r="AG4247" s="10"/>
      <c r="AH4247" s="10"/>
      <c r="AI4247" s="10"/>
    </row>
    <row r="4248" spans="28:35" ht="15" hidden="1" customHeight="1">
      <c r="AB4248" s="9"/>
      <c r="AC4248" s="9"/>
      <c r="AD4248" s="9"/>
      <c r="AF4248" s="10"/>
      <c r="AG4248" s="10"/>
      <c r="AH4248" s="10"/>
      <c r="AI4248" s="10"/>
    </row>
    <row r="4249" spans="28:35" ht="15" hidden="1" customHeight="1">
      <c r="AB4249" s="9"/>
      <c r="AC4249" s="9"/>
      <c r="AD4249" s="9"/>
      <c r="AF4249" s="10"/>
      <c r="AG4249" s="10"/>
      <c r="AH4249" s="10"/>
      <c r="AI4249" s="10"/>
    </row>
    <row r="4250" spans="28:35" ht="15" hidden="1" customHeight="1">
      <c r="AB4250" s="9"/>
      <c r="AC4250" s="9"/>
      <c r="AD4250" s="9"/>
      <c r="AF4250" s="10"/>
      <c r="AG4250" s="10"/>
      <c r="AH4250" s="10"/>
      <c r="AI4250" s="10"/>
    </row>
    <row r="4251" spans="28:35" ht="15" hidden="1" customHeight="1">
      <c r="AB4251" s="9"/>
      <c r="AC4251" s="9"/>
      <c r="AD4251" s="9"/>
      <c r="AF4251" s="10"/>
      <c r="AG4251" s="10"/>
      <c r="AH4251" s="10"/>
      <c r="AI4251" s="10"/>
    </row>
    <row r="4252" spans="28:35" ht="15" hidden="1" customHeight="1">
      <c r="AB4252" s="9"/>
      <c r="AC4252" s="9"/>
      <c r="AD4252" s="9"/>
      <c r="AF4252" s="10"/>
      <c r="AG4252" s="10"/>
      <c r="AH4252" s="10"/>
      <c r="AI4252" s="10"/>
    </row>
    <row r="4253" spans="28:35" ht="15" hidden="1" customHeight="1">
      <c r="AB4253" s="9"/>
      <c r="AC4253" s="9"/>
      <c r="AD4253" s="9"/>
      <c r="AF4253" s="10"/>
      <c r="AG4253" s="10"/>
      <c r="AH4253" s="10"/>
      <c r="AI4253" s="10"/>
    </row>
    <row r="4254" spans="28:35" ht="15" hidden="1" customHeight="1">
      <c r="AB4254" s="9"/>
      <c r="AC4254" s="9"/>
      <c r="AD4254" s="9"/>
      <c r="AF4254" s="10"/>
      <c r="AG4254" s="10"/>
      <c r="AH4254" s="10"/>
      <c r="AI4254" s="10"/>
    </row>
    <row r="4255" spans="28:35" ht="15" hidden="1" customHeight="1">
      <c r="AB4255" s="9"/>
      <c r="AC4255" s="9"/>
      <c r="AD4255" s="9"/>
      <c r="AF4255" s="10"/>
      <c r="AG4255" s="10"/>
      <c r="AH4255" s="10"/>
      <c r="AI4255" s="10"/>
    </row>
    <row r="4256" spans="28:35" ht="15" hidden="1" customHeight="1">
      <c r="AB4256" s="9"/>
      <c r="AC4256" s="9"/>
      <c r="AD4256" s="9"/>
      <c r="AF4256" s="10"/>
      <c r="AG4256" s="10"/>
      <c r="AH4256" s="10"/>
      <c r="AI4256" s="10"/>
    </row>
    <row r="4257" spans="28:35" ht="15" hidden="1" customHeight="1">
      <c r="AB4257" s="9"/>
      <c r="AC4257" s="9"/>
      <c r="AD4257" s="9"/>
      <c r="AF4257" s="10"/>
      <c r="AG4257" s="10"/>
      <c r="AH4257" s="10"/>
      <c r="AI4257" s="10"/>
    </row>
    <row r="4258" spans="28:35" ht="15" hidden="1" customHeight="1">
      <c r="AB4258" s="9"/>
      <c r="AC4258" s="9"/>
      <c r="AD4258" s="9"/>
      <c r="AF4258" s="10"/>
      <c r="AG4258" s="10"/>
      <c r="AH4258" s="10"/>
      <c r="AI4258" s="10"/>
    </row>
    <row r="4259" spans="28:35" ht="15" hidden="1" customHeight="1">
      <c r="AB4259" s="9"/>
      <c r="AC4259" s="9"/>
      <c r="AD4259" s="9"/>
      <c r="AF4259" s="10"/>
      <c r="AG4259" s="10"/>
      <c r="AH4259" s="10"/>
      <c r="AI4259" s="10"/>
    </row>
    <row r="4260" spans="28:35" ht="15" hidden="1" customHeight="1">
      <c r="AB4260" s="9"/>
      <c r="AC4260" s="9"/>
      <c r="AD4260" s="9"/>
      <c r="AF4260" s="10"/>
      <c r="AG4260" s="10"/>
      <c r="AH4260" s="10"/>
      <c r="AI4260" s="10"/>
    </row>
    <row r="4261" spans="28:35" ht="15" hidden="1" customHeight="1">
      <c r="AB4261" s="9"/>
      <c r="AC4261" s="9"/>
      <c r="AD4261" s="9"/>
      <c r="AF4261" s="10"/>
      <c r="AG4261" s="10"/>
      <c r="AH4261" s="10"/>
      <c r="AI4261" s="10"/>
    </row>
    <row r="4262" spans="28:35" ht="15" hidden="1" customHeight="1">
      <c r="AB4262" s="9"/>
      <c r="AC4262" s="9"/>
      <c r="AD4262" s="9"/>
      <c r="AF4262" s="10"/>
      <c r="AG4262" s="10"/>
      <c r="AH4262" s="10"/>
      <c r="AI4262" s="10"/>
    </row>
    <row r="4263" spans="28:35" ht="15" hidden="1" customHeight="1">
      <c r="AB4263" s="9"/>
      <c r="AC4263" s="9"/>
      <c r="AD4263" s="9"/>
      <c r="AF4263" s="10"/>
      <c r="AG4263" s="10"/>
      <c r="AH4263" s="10"/>
      <c r="AI4263" s="10"/>
    </row>
    <row r="4264" spans="28:35" ht="15" hidden="1" customHeight="1">
      <c r="AB4264" s="9"/>
      <c r="AC4264" s="9"/>
      <c r="AD4264" s="9"/>
      <c r="AF4264" s="10"/>
      <c r="AG4264" s="10"/>
      <c r="AH4264" s="10"/>
      <c r="AI4264" s="10"/>
    </row>
    <row r="4265" spans="28:35" ht="15" hidden="1" customHeight="1">
      <c r="AB4265" s="9"/>
      <c r="AC4265" s="9"/>
      <c r="AD4265" s="9"/>
      <c r="AF4265" s="10"/>
      <c r="AG4265" s="10"/>
      <c r="AH4265" s="10"/>
      <c r="AI4265" s="10"/>
    </row>
    <row r="4266" spans="28:35" ht="15" hidden="1" customHeight="1">
      <c r="AB4266" s="9"/>
      <c r="AC4266" s="9"/>
      <c r="AD4266" s="9"/>
      <c r="AF4266" s="10"/>
      <c r="AG4266" s="10"/>
      <c r="AH4266" s="10"/>
      <c r="AI4266" s="10"/>
    </row>
    <row r="4267" spans="28:35" ht="15" hidden="1" customHeight="1">
      <c r="AB4267" s="9"/>
      <c r="AC4267" s="9"/>
      <c r="AD4267" s="9"/>
      <c r="AF4267" s="10"/>
      <c r="AG4267" s="10"/>
      <c r="AH4267" s="10"/>
      <c r="AI4267" s="10"/>
    </row>
    <row r="4268" spans="28:35" ht="15" hidden="1" customHeight="1">
      <c r="AB4268" s="9"/>
      <c r="AC4268" s="9"/>
      <c r="AD4268" s="9"/>
      <c r="AF4268" s="10"/>
      <c r="AG4268" s="10"/>
      <c r="AH4268" s="10"/>
      <c r="AI4268" s="10"/>
    </row>
    <row r="4269" spans="28:35" ht="15" hidden="1" customHeight="1">
      <c r="AB4269" s="9"/>
      <c r="AC4269" s="9"/>
      <c r="AD4269" s="9"/>
      <c r="AF4269" s="10"/>
      <c r="AG4269" s="10"/>
      <c r="AH4269" s="10"/>
      <c r="AI4269" s="10"/>
    </row>
    <row r="4270" spans="28:35" ht="15" hidden="1" customHeight="1">
      <c r="AB4270" s="9"/>
      <c r="AC4270" s="9"/>
      <c r="AD4270" s="9"/>
      <c r="AF4270" s="10"/>
      <c r="AG4270" s="10"/>
      <c r="AH4270" s="10"/>
      <c r="AI4270" s="10"/>
    </row>
    <row r="4271" spans="28:35" ht="15" hidden="1" customHeight="1">
      <c r="AB4271" s="9"/>
      <c r="AC4271" s="9"/>
      <c r="AD4271" s="9"/>
      <c r="AF4271" s="10"/>
      <c r="AG4271" s="10"/>
      <c r="AH4271" s="10"/>
      <c r="AI4271" s="10"/>
    </row>
    <row r="4272" spans="28:35" ht="15" hidden="1" customHeight="1">
      <c r="AB4272" s="9"/>
      <c r="AC4272" s="9"/>
      <c r="AD4272" s="9"/>
      <c r="AF4272" s="10"/>
      <c r="AG4272" s="10"/>
      <c r="AH4272" s="10"/>
      <c r="AI4272" s="10"/>
    </row>
    <row r="4273" spans="28:35" ht="15" hidden="1" customHeight="1">
      <c r="AB4273" s="9"/>
      <c r="AC4273" s="9"/>
      <c r="AD4273" s="9"/>
      <c r="AF4273" s="10"/>
      <c r="AG4273" s="10"/>
      <c r="AH4273" s="10"/>
      <c r="AI4273" s="10"/>
    </row>
    <row r="4274" spans="28:35" ht="15" hidden="1" customHeight="1">
      <c r="AB4274" s="9"/>
      <c r="AC4274" s="9"/>
      <c r="AD4274" s="9"/>
      <c r="AF4274" s="10"/>
      <c r="AG4274" s="10"/>
      <c r="AH4274" s="10"/>
      <c r="AI4274" s="10"/>
    </row>
    <row r="4275" spans="28:35" ht="15" hidden="1" customHeight="1">
      <c r="AB4275" s="9"/>
      <c r="AC4275" s="9"/>
      <c r="AD4275" s="9"/>
      <c r="AF4275" s="10"/>
      <c r="AG4275" s="10"/>
      <c r="AH4275" s="10"/>
      <c r="AI4275" s="10"/>
    </row>
    <row r="4276" spans="28:35" ht="15" hidden="1" customHeight="1">
      <c r="AB4276" s="9"/>
      <c r="AC4276" s="9"/>
      <c r="AD4276" s="9"/>
      <c r="AF4276" s="10"/>
      <c r="AG4276" s="10"/>
      <c r="AH4276" s="10"/>
      <c r="AI4276" s="10"/>
    </row>
    <row r="4277" spans="28:35" ht="15" hidden="1" customHeight="1">
      <c r="AB4277" s="9"/>
      <c r="AC4277" s="9"/>
      <c r="AD4277" s="9"/>
      <c r="AF4277" s="10"/>
      <c r="AG4277" s="10"/>
      <c r="AH4277" s="10"/>
      <c r="AI4277" s="10"/>
    </row>
    <row r="4278" spans="28:35" ht="15" hidden="1" customHeight="1">
      <c r="AB4278" s="9"/>
      <c r="AC4278" s="9"/>
      <c r="AD4278" s="9"/>
      <c r="AF4278" s="10"/>
      <c r="AG4278" s="10"/>
      <c r="AH4278" s="10"/>
      <c r="AI4278" s="10"/>
    </row>
    <row r="4279" spans="28:35" ht="15" hidden="1" customHeight="1">
      <c r="AB4279" s="9"/>
      <c r="AC4279" s="9"/>
      <c r="AD4279" s="9"/>
      <c r="AF4279" s="10"/>
      <c r="AG4279" s="10"/>
      <c r="AH4279" s="10"/>
      <c r="AI4279" s="10"/>
    </row>
    <row r="4280" spans="28:35" ht="15" hidden="1" customHeight="1">
      <c r="AB4280" s="9"/>
      <c r="AC4280" s="9"/>
      <c r="AD4280" s="9"/>
      <c r="AF4280" s="10"/>
      <c r="AG4280" s="10"/>
      <c r="AH4280" s="10"/>
      <c r="AI4280" s="10"/>
    </row>
    <row r="4281" spans="28:35" ht="15" hidden="1" customHeight="1">
      <c r="AB4281" s="9"/>
      <c r="AC4281" s="9"/>
      <c r="AD4281" s="9"/>
      <c r="AF4281" s="10"/>
      <c r="AG4281" s="10"/>
      <c r="AH4281" s="10"/>
      <c r="AI4281" s="10"/>
    </row>
    <row r="4282" spans="28:35" ht="15" hidden="1" customHeight="1">
      <c r="AB4282" s="9"/>
      <c r="AC4282" s="9"/>
      <c r="AD4282" s="9"/>
      <c r="AF4282" s="10"/>
      <c r="AG4282" s="10"/>
      <c r="AH4282" s="10"/>
      <c r="AI4282" s="10"/>
    </row>
    <row r="4283" spans="28:35" ht="15" hidden="1" customHeight="1">
      <c r="AB4283" s="9"/>
      <c r="AC4283" s="9"/>
      <c r="AD4283" s="9"/>
      <c r="AF4283" s="10"/>
      <c r="AG4283" s="10"/>
      <c r="AH4283" s="10"/>
      <c r="AI4283" s="10"/>
    </row>
    <row r="4284" spans="28:35" ht="15" hidden="1" customHeight="1">
      <c r="AB4284" s="9"/>
      <c r="AC4284" s="9"/>
      <c r="AD4284" s="9"/>
      <c r="AF4284" s="10"/>
      <c r="AG4284" s="10"/>
      <c r="AH4284" s="10"/>
      <c r="AI4284" s="10"/>
    </row>
    <row r="4285" spans="28:35" ht="15" hidden="1" customHeight="1">
      <c r="AB4285" s="9"/>
      <c r="AC4285" s="9"/>
      <c r="AD4285" s="9"/>
      <c r="AF4285" s="10"/>
      <c r="AG4285" s="10"/>
      <c r="AH4285" s="10"/>
      <c r="AI4285" s="10"/>
    </row>
    <row r="4286" spans="28:35" ht="15" hidden="1" customHeight="1">
      <c r="AB4286" s="9"/>
      <c r="AC4286" s="9"/>
      <c r="AD4286" s="9"/>
      <c r="AF4286" s="10"/>
      <c r="AG4286" s="10"/>
      <c r="AH4286" s="10"/>
      <c r="AI4286" s="10"/>
    </row>
    <row r="4287" spans="28:35" ht="15" hidden="1" customHeight="1">
      <c r="AB4287" s="9"/>
      <c r="AC4287" s="9"/>
      <c r="AD4287" s="9"/>
      <c r="AF4287" s="10"/>
      <c r="AG4287" s="10"/>
      <c r="AH4287" s="10"/>
      <c r="AI4287" s="10"/>
    </row>
    <row r="4288" spans="28:35" ht="15" hidden="1" customHeight="1">
      <c r="AB4288" s="9"/>
      <c r="AC4288" s="9"/>
      <c r="AD4288" s="9"/>
      <c r="AF4288" s="10"/>
      <c r="AG4288" s="10"/>
      <c r="AH4288" s="10"/>
      <c r="AI4288" s="10"/>
    </row>
    <row r="4289" spans="28:35" ht="15" hidden="1" customHeight="1">
      <c r="AB4289" s="9"/>
      <c r="AC4289" s="9"/>
      <c r="AD4289" s="9"/>
      <c r="AF4289" s="10"/>
      <c r="AG4289" s="10"/>
      <c r="AH4289" s="10"/>
      <c r="AI4289" s="10"/>
    </row>
    <row r="4290" spans="28:35" ht="15" hidden="1" customHeight="1">
      <c r="AB4290" s="9"/>
      <c r="AC4290" s="9"/>
      <c r="AD4290" s="9"/>
      <c r="AF4290" s="10"/>
      <c r="AG4290" s="10"/>
      <c r="AH4290" s="10"/>
      <c r="AI4290" s="10"/>
    </row>
    <row r="4291" spans="28:35" ht="15" hidden="1" customHeight="1">
      <c r="AB4291" s="9"/>
      <c r="AC4291" s="9"/>
      <c r="AD4291" s="9"/>
      <c r="AF4291" s="10"/>
      <c r="AG4291" s="10"/>
      <c r="AH4291" s="10"/>
      <c r="AI4291" s="10"/>
    </row>
    <row r="4292" spans="28:35" ht="15" hidden="1" customHeight="1">
      <c r="AB4292" s="9"/>
      <c r="AC4292" s="9"/>
      <c r="AD4292" s="9"/>
      <c r="AF4292" s="10"/>
      <c r="AG4292" s="10"/>
      <c r="AH4292" s="10"/>
      <c r="AI4292" s="10"/>
    </row>
    <row r="4293" spans="28:35" ht="15" hidden="1" customHeight="1">
      <c r="AB4293" s="9"/>
      <c r="AC4293" s="9"/>
      <c r="AD4293" s="9"/>
      <c r="AF4293" s="10"/>
      <c r="AG4293" s="10"/>
      <c r="AH4293" s="10"/>
      <c r="AI4293" s="10"/>
    </row>
    <row r="4294" spans="28:35" ht="15" hidden="1" customHeight="1">
      <c r="AB4294" s="9"/>
      <c r="AC4294" s="9"/>
      <c r="AD4294" s="9"/>
      <c r="AF4294" s="10"/>
      <c r="AG4294" s="10"/>
      <c r="AH4294" s="10"/>
      <c r="AI4294" s="10"/>
    </row>
    <row r="4295" spans="28:35" ht="15" hidden="1" customHeight="1">
      <c r="AB4295" s="9"/>
      <c r="AC4295" s="9"/>
      <c r="AD4295" s="9"/>
      <c r="AF4295" s="10"/>
      <c r="AG4295" s="10"/>
      <c r="AH4295" s="10"/>
      <c r="AI4295" s="10"/>
    </row>
    <row r="4296" spans="28:35" ht="15" hidden="1" customHeight="1">
      <c r="AB4296" s="9"/>
      <c r="AC4296" s="9"/>
      <c r="AD4296" s="9"/>
      <c r="AF4296" s="10"/>
      <c r="AG4296" s="10"/>
      <c r="AH4296" s="10"/>
      <c r="AI4296" s="10"/>
    </row>
    <row r="4297" spans="28:35" ht="15" hidden="1" customHeight="1">
      <c r="AB4297" s="9"/>
      <c r="AC4297" s="9"/>
      <c r="AD4297" s="9"/>
      <c r="AF4297" s="10"/>
      <c r="AG4297" s="10"/>
      <c r="AH4297" s="10"/>
      <c r="AI4297" s="10"/>
    </row>
    <row r="4298" spans="28:35" ht="15" hidden="1" customHeight="1">
      <c r="AB4298" s="9"/>
      <c r="AC4298" s="9"/>
      <c r="AD4298" s="9"/>
      <c r="AF4298" s="10"/>
      <c r="AG4298" s="10"/>
      <c r="AH4298" s="10"/>
      <c r="AI4298" s="10"/>
    </row>
    <row r="4299" spans="28:35" ht="15" hidden="1" customHeight="1">
      <c r="AB4299" s="9"/>
      <c r="AC4299" s="9"/>
      <c r="AD4299" s="9"/>
      <c r="AF4299" s="10"/>
      <c r="AG4299" s="10"/>
      <c r="AH4299" s="10"/>
      <c r="AI4299" s="10"/>
    </row>
    <row r="4300" spans="28:35" ht="15" hidden="1" customHeight="1">
      <c r="AB4300" s="9"/>
      <c r="AC4300" s="9"/>
      <c r="AD4300" s="9"/>
      <c r="AF4300" s="10"/>
      <c r="AG4300" s="10"/>
      <c r="AH4300" s="10"/>
      <c r="AI4300" s="10"/>
    </row>
    <row r="4301" spans="28:35" ht="15" hidden="1" customHeight="1">
      <c r="AB4301" s="9"/>
      <c r="AC4301" s="9"/>
      <c r="AD4301" s="9"/>
      <c r="AF4301" s="10"/>
      <c r="AG4301" s="10"/>
      <c r="AH4301" s="10"/>
      <c r="AI4301" s="10"/>
    </row>
    <row r="4302" spans="28:35" ht="15" hidden="1" customHeight="1">
      <c r="AB4302" s="9"/>
      <c r="AC4302" s="9"/>
      <c r="AD4302" s="9"/>
      <c r="AF4302" s="10"/>
      <c r="AG4302" s="10"/>
      <c r="AH4302" s="10"/>
      <c r="AI4302" s="10"/>
    </row>
    <row r="4303" spans="28:35" ht="15" hidden="1" customHeight="1">
      <c r="AB4303" s="9"/>
      <c r="AC4303" s="9"/>
      <c r="AD4303" s="9"/>
      <c r="AF4303" s="10"/>
      <c r="AG4303" s="10"/>
      <c r="AH4303" s="10"/>
      <c r="AI4303" s="10"/>
    </row>
    <row r="4304" spans="28:35" ht="15" hidden="1" customHeight="1">
      <c r="AB4304" s="9"/>
      <c r="AC4304" s="9"/>
      <c r="AD4304" s="9"/>
      <c r="AF4304" s="10"/>
      <c r="AG4304" s="10"/>
      <c r="AH4304" s="10"/>
      <c r="AI4304" s="10"/>
    </row>
    <row r="4305" spans="28:35" ht="15" hidden="1" customHeight="1">
      <c r="AB4305" s="9"/>
      <c r="AC4305" s="9"/>
      <c r="AD4305" s="9"/>
      <c r="AF4305" s="10"/>
      <c r="AG4305" s="10"/>
      <c r="AH4305" s="10"/>
      <c r="AI4305" s="10"/>
    </row>
    <row r="4306" spans="28:35" ht="15" hidden="1" customHeight="1">
      <c r="AB4306" s="9"/>
      <c r="AC4306" s="9"/>
      <c r="AD4306" s="9"/>
      <c r="AF4306" s="10"/>
      <c r="AG4306" s="10"/>
      <c r="AH4306" s="10"/>
      <c r="AI4306" s="10"/>
    </row>
    <row r="4307" spans="28:35" ht="15" hidden="1" customHeight="1">
      <c r="AB4307" s="9"/>
      <c r="AC4307" s="9"/>
      <c r="AD4307" s="9"/>
      <c r="AF4307" s="10"/>
      <c r="AG4307" s="10"/>
      <c r="AH4307" s="10"/>
      <c r="AI4307" s="10"/>
    </row>
    <row r="4308" spans="28:35" ht="15" hidden="1" customHeight="1">
      <c r="AB4308" s="9"/>
      <c r="AC4308" s="9"/>
      <c r="AD4308" s="9"/>
      <c r="AF4308" s="10"/>
      <c r="AG4308" s="10"/>
      <c r="AH4308" s="10"/>
      <c r="AI4308" s="10"/>
    </row>
    <row r="4309" spans="28:35" ht="15" hidden="1" customHeight="1">
      <c r="AB4309" s="9"/>
      <c r="AC4309" s="9"/>
      <c r="AD4309" s="9"/>
      <c r="AF4309" s="10"/>
      <c r="AG4309" s="10"/>
      <c r="AH4309" s="10"/>
      <c r="AI4309" s="10"/>
    </row>
    <row r="4310" spans="28:35" ht="15" hidden="1" customHeight="1">
      <c r="AB4310" s="9"/>
      <c r="AC4310" s="9"/>
      <c r="AD4310" s="9"/>
      <c r="AF4310" s="10"/>
      <c r="AG4310" s="10"/>
      <c r="AH4310" s="10"/>
      <c r="AI4310" s="10"/>
    </row>
    <row r="4311" spans="28:35" ht="15" hidden="1" customHeight="1">
      <c r="AB4311" s="9"/>
      <c r="AC4311" s="9"/>
      <c r="AD4311" s="9"/>
      <c r="AF4311" s="10"/>
      <c r="AG4311" s="10"/>
      <c r="AH4311" s="10"/>
      <c r="AI4311" s="10"/>
    </row>
    <row r="4312" spans="28:35" ht="15" hidden="1" customHeight="1">
      <c r="AB4312" s="9"/>
      <c r="AC4312" s="9"/>
      <c r="AD4312" s="9"/>
      <c r="AF4312" s="10"/>
      <c r="AG4312" s="10"/>
      <c r="AH4312" s="10"/>
      <c r="AI4312" s="10"/>
    </row>
    <row r="4313" spans="28:35" ht="15" hidden="1" customHeight="1">
      <c r="AB4313" s="9"/>
      <c r="AC4313" s="9"/>
      <c r="AD4313" s="9"/>
      <c r="AF4313" s="10"/>
      <c r="AG4313" s="10"/>
      <c r="AH4313" s="10"/>
      <c r="AI4313" s="10"/>
    </row>
    <row r="4314" spans="28:35" ht="15" hidden="1" customHeight="1">
      <c r="AB4314" s="9"/>
      <c r="AC4314" s="9"/>
      <c r="AD4314" s="9"/>
      <c r="AF4314" s="10"/>
      <c r="AG4314" s="10"/>
      <c r="AH4314" s="10"/>
      <c r="AI4314" s="10"/>
    </row>
    <row r="4315" spans="28:35" ht="15" hidden="1" customHeight="1">
      <c r="AB4315" s="9"/>
      <c r="AC4315" s="9"/>
      <c r="AD4315" s="9"/>
      <c r="AF4315" s="10"/>
      <c r="AG4315" s="10"/>
      <c r="AH4315" s="10"/>
      <c r="AI4315" s="10"/>
    </row>
    <row r="4316" spans="28:35" ht="15" hidden="1" customHeight="1">
      <c r="AB4316" s="9"/>
      <c r="AC4316" s="9"/>
      <c r="AD4316" s="9"/>
      <c r="AF4316" s="10"/>
      <c r="AG4316" s="10"/>
      <c r="AH4316" s="10"/>
      <c r="AI4316" s="10"/>
    </row>
    <row r="4317" spans="28:35" ht="15" hidden="1" customHeight="1">
      <c r="AB4317" s="9"/>
      <c r="AC4317" s="9"/>
      <c r="AD4317" s="9"/>
      <c r="AF4317" s="10"/>
      <c r="AG4317" s="10"/>
      <c r="AH4317" s="10"/>
      <c r="AI4317" s="10"/>
    </row>
    <row r="4318" spans="28:35" ht="15" hidden="1" customHeight="1">
      <c r="AB4318" s="9"/>
      <c r="AC4318" s="9"/>
      <c r="AD4318" s="9"/>
      <c r="AF4318" s="10"/>
      <c r="AG4318" s="10"/>
      <c r="AH4318" s="10"/>
      <c r="AI4318" s="10"/>
    </row>
    <row r="4319" spans="28:35" ht="15" hidden="1" customHeight="1">
      <c r="AB4319" s="9"/>
      <c r="AC4319" s="9"/>
      <c r="AD4319" s="9"/>
      <c r="AF4319" s="10"/>
      <c r="AG4319" s="10"/>
      <c r="AH4319" s="10"/>
      <c r="AI4319" s="10"/>
    </row>
    <row r="4320" spans="28:35" ht="15" hidden="1" customHeight="1">
      <c r="AB4320" s="9"/>
      <c r="AC4320" s="9"/>
      <c r="AD4320" s="9"/>
      <c r="AF4320" s="10"/>
      <c r="AG4320" s="10"/>
      <c r="AH4320" s="10"/>
      <c r="AI4320" s="10"/>
    </row>
    <row r="4321" spans="28:35" ht="15" hidden="1" customHeight="1">
      <c r="AB4321" s="9"/>
      <c r="AC4321" s="9"/>
      <c r="AD4321" s="9"/>
      <c r="AF4321" s="10"/>
      <c r="AG4321" s="10"/>
      <c r="AH4321" s="10"/>
      <c r="AI4321" s="10"/>
    </row>
    <row r="4322" spans="28:35" ht="15" hidden="1" customHeight="1">
      <c r="AB4322" s="9"/>
      <c r="AC4322" s="9"/>
      <c r="AD4322" s="9"/>
      <c r="AF4322" s="10"/>
      <c r="AG4322" s="10"/>
      <c r="AH4322" s="10"/>
      <c r="AI4322" s="10"/>
    </row>
    <row r="4323" spans="28:35" ht="15" hidden="1" customHeight="1">
      <c r="AB4323" s="9"/>
      <c r="AC4323" s="9"/>
      <c r="AD4323" s="9"/>
      <c r="AF4323" s="10"/>
      <c r="AG4323" s="10"/>
      <c r="AH4323" s="10"/>
      <c r="AI4323" s="10"/>
    </row>
    <row r="4324" spans="28:35" ht="15" hidden="1" customHeight="1">
      <c r="AB4324" s="9"/>
      <c r="AC4324" s="9"/>
      <c r="AD4324" s="9"/>
      <c r="AF4324" s="10"/>
      <c r="AG4324" s="10"/>
      <c r="AH4324" s="10"/>
      <c r="AI4324" s="10"/>
    </row>
    <row r="4325" spans="28:35" ht="15" hidden="1" customHeight="1">
      <c r="AB4325" s="9"/>
      <c r="AC4325" s="9"/>
      <c r="AD4325" s="9"/>
      <c r="AF4325" s="10"/>
      <c r="AG4325" s="10"/>
      <c r="AH4325" s="10"/>
      <c r="AI4325" s="10"/>
    </row>
    <row r="4326" spans="28:35" ht="15" hidden="1" customHeight="1">
      <c r="AB4326" s="9"/>
      <c r="AC4326" s="9"/>
      <c r="AD4326" s="9"/>
      <c r="AF4326" s="10"/>
      <c r="AG4326" s="10"/>
      <c r="AH4326" s="10"/>
      <c r="AI4326" s="10"/>
    </row>
    <row r="4327" spans="28:35" ht="15" hidden="1" customHeight="1">
      <c r="AB4327" s="9"/>
      <c r="AC4327" s="9"/>
      <c r="AD4327" s="9"/>
      <c r="AF4327" s="10"/>
      <c r="AG4327" s="10"/>
      <c r="AH4327" s="10"/>
      <c r="AI4327" s="10"/>
    </row>
    <row r="4328" spans="28:35" ht="15" hidden="1" customHeight="1">
      <c r="AB4328" s="9"/>
      <c r="AC4328" s="9"/>
      <c r="AD4328" s="9"/>
      <c r="AF4328" s="10"/>
      <c r="AG4328" s="10"/>
      <c r="AH4328" s="10"/>
      <c r="AI4328" s="10"/>
    </row>
    <row r="4329" spans="28:35" ht="15" hidden="1" customHeight="1">
      <c r="AB4329" s="9"/>
      <c r="AC4329" s="9"/>
      <c r="AD4329" s="9"/>
      <c r="AF4329" s="10"/>
      <c r="AG4329" s="10"/>
      <c r="AH4329" s="10"/>
      <c r="AI4329" s="10"/>
    </row>
    <row r="4330" spans="28:35" ht="15" hidden="1" customHeight="1">
      <c r="AB4330" s="9"/>
      <c r="AC4330" s="9"/>
      <c r="AD4330" s="9"/>
      <c r="AF4330" s="10"/>
      <c r="AG4330" s="10"/>
      <c r="AH4330" s="10"/>
      <c r="AI4330" s="10"/>
    </row>
    <row r="4331" spans="28:35" ht="15" hidden="1" customHeight="1">
      <c r="AB4331" s="9"/>
      <c r="AC4331" s="9"/>
      <c r="AD4331" s="9"/>
      <c r="AF4331" s="10"/>
      <c r="AG4331" s="10"/>
      <c r="AH4331" s="10"/>
      <c r="AI4331" s="10"/>
    </row>
    <row r="4332" spans="28:35" ht="15" hidden="1" customHeight="1">
      <c r="AB4332" s="9"/>
      <c r="AC4332" s="9"/>
      <c r="AD4332" s="9"/>
      <c r="AF4332" s="10"/>
      <c r="AG4332" s="10"/>
      <c r="AH4332" s="10"/>
      <c r="AI4332" s="10"/>
    </row>
    <row r="4333" spans="28:35" ht="15" hidden="1" customHeight="1">
      <c r="AB4333" s="9"/>
      <c r="AC4333" s="9"/>
      <c r="AD4333" s="9"/>
      <c r="AF4333" s="10"/>
      <c r="AG4333" s="10"/>
      <c r="AH4333" s="10"/>
      <c r="AI4333" s="10"/>
    </row>
    <row r="4334" spans="28:35" ht="15" hidden="1" customHeight="1">
      <c r="AB4334" s="9"/>
      <c r="AC4334" s="9"/>
      <c r="AD4334" s="9"/>
      <c r="AF4334" s="10"/>
      <c r="AG4334" s="10"/>
      <c r="AH4334" s="10"/>
      <c r="AI4334" s="10"/>
    </row>
    <row r="4335" spans="28:35" ht="15" hidden="1" customHeight="1">
      <c r="AB4335" s="9"/>
      <c r="AC4335" s="9"/>
      <c r="AD4335" s="9"/>
      <c r="AF4335" s="10"/>
      <c r="AG4335" s="10"/>
      <c r="AH4335" s="10"/>
      <c r="AI4335" s="10"/>
    </row>
    <row r="4336" spans="28:35" ht="15" hidden="1" customHeight="1">
      <c r="AB4336" s="9"/>
      <c r="AC4336" s="9"/>
      <c r="AD4336" s="9"/>
      <c r="AF4336" s="10"/>
      <c r="AG4336" s="10"/>
      <c r="AH4336" s="10"/>
      <c r="AI4336" s="10"/>
    </row>
    <row r="4337" spans="28:35" ht="15" hidden="1" customHeight="1">
      <c r="AB4337" s="9"/>
      <c r="AC4337" s="9"/>
      <c r="AD4337" s="9"/>
      <c r="AF4337" s="10"/>
      <c r="AG4337" s="10"/>
      <c r="AH4337" s="10"/>
      <c r="AI4337" s="10"/>
    </row>
    <row r="4338" spans="28:35" ht="15" hidden="1" customHeight="1">
      <c r="AB4338" s="9"/>
      <c r="AC4338" s="9"/>
      <c r="AD4338" s="9"/>
      <c r="AF4338" s="10"/>
      <c r="AG4338" s="10"/>
      <c r="AH4338" s="10"/>
      <c r="AI4338" s="10"/>
    </row>
    <row r="4339" spans="28:35" ht="15" hidden="1" customHeight="1">
      <c r="AB4339" s="9"/>
      <c r="AC4339" s="9"/>
      <c r="AD4339" s="9"/>
      <c r="AF4339" s="10"/>
      <c r="AG4339" s="10"/>
      <c r="AH4339" s="10"/>
      <c r="AI4339" s="10"/>
    </row>
    <row r="4340" spans="28:35" ht="15" hidden="1" customHeight="1">
      <c r="AB4340" s="9"/>
      <c r="AC4340" s="9"/>
      <c r="AD4340" s="9"/>
      <c r="AF4340" s="10"/>
      <c r="AG4340" s="10"/>
      <c r="AH4340" s="10"/>
      <c r="AI4340" s="10"/>
    </row>
    <row r="4341" spans="28:35" ht="15" hidden="1" customHeight="1">
      <c r="AB4341" s="9"/>
      <c r="AC4341" s="9"/>
      <c r="AD4341" s="9"/>
      <c r="AF4341" s="10"/>
      <c r="AG4341" s="10"/>
      <c r="AH4341" s="10"/>
      <c r="AI4341" s="10"/>
    </row>
    <row r="4342" spans="28:35" ht="15" hidden="1" customHeight="1">
      <c r="AB4342" s="9"/>
      <c r="AC4342" s="9"/>
      <c r="AD4342" s="9"/>
      <c r="AF4342" s="10"/>
      <c r="AG4342" s="10"/>
      <c r="AH4342" s="10"/>
      <c r="AI4342" s="10"/>
    </row>
    <row r="4343" spans="28:35" ht="15" hidden="1" customHeight="1">
      <c r="AB4343" s="9"/>
      <c r="AC4343" s="9"/>
      <c r="AD4343" s="9"/>
      <c r="AF4343" s="10"/>
      <c r="AG4343" s="10"/>
      <c r="AH4343" s="10"/>
      <c r="AI4343" s="10"/>
    </row>
    <row r="4344" spans="28:35" ht="15" hidden="1" customHeight="1">
      <c r="AB4344" s="9"/>
      <c r="AC4344" s="9"/>
      <c r="AD4344" s="9"/>
      <c r="AF4344" s="10"/>
      <c r="AG4344" s="10"/>
      <c r="AH4344" s="10"/>
      <c r="AI4344" s="10"/>
    </row>
    <row r="4345" spans="28:35" ht="15" hidden="1" customHeight="1">
      <c r="AB4345" s="9"/>
      <c r="AC4345" s="9"/>
      <c r="AD4345" s="9"/>
      <c r="AF4345" s="10"/>
      <c r="AG4345" s="10"/>
      <c r="AH4345" s="10"/>
      <c r="AI4345" s="10"/>
    </row>
    <row r="4346" spans="28:35" ht="15" hidden="1" customHeight="1">
      <c r="AB4346" s="9"/>
      <c r="AC4346" s="9"/>
      <c r="AD4346" s="9"/>
      <c r="AF4346" s="10"/>
      <c r="AG4346" s="10"/>
      <c r="AH4346" s="10"/>
      <c r="AI4346" s="10"/>
    </row>
    <row r="4347" spans="28:35" ht="15" hidden="1" customHeight="1">
      <c r="AB4347" s="9"/>
      <c r="AC4347" s="9"/>
      <c r="AD4347" s="9"/>
      <c r="AF4347" s="10"/>
      <c r="AG4347" s="10"/>
      <c r="AH4347" s="10"/>
      <c r="AI4347" s="10"/>
    </row>
    <row r="4348" spans="28:35" ht="15" hidden="1" customHeight="1">
      <c r="AB4348" s="9"/>
      <c r="AC4348" s="9"/>
      <c r="AD4348" s="9"/>
      <c r="AF4348" s="10"/>
      <c r="AG4348" s="10"/>
      <c r="AH4348" s="10"/>
      <c r="AI4348" s="10"/>
    </row>
    <row r="4349" spans="28:35" ht="15" hidden="1" customHeight="1">
      <c r="AB4349" s="9"/>
      <c r="AC4349" s="9"/>
      <c r="AD4349" s="9"/>
      <c r="AF4349" s="10"/>
      <c r="AG4349" s="10"/>
      <c r="AH4349" s="10"/>
      <c r="AI4349" s="10"/>
    </row>
    <row r="4350" spans="28:35" ht="15" hidden="1" customHeight="1">
      <c r="AB4350" s="9"/>
      <c r="AC4350" s="9"/>
      <c r="AD4350" s="9"/>
      <c r="AF4350" s="10"/>
      <c r="AG4350" s="10"/>
      <c r="AH4350" s="10"/>
      <c r="AI4350" s="10"/>
    </row>
    <row r="4351" spans="28:35" ht="15" hidden="1" customHeight="1">
      <c r="AB4351" s="9"/>
      <c r="AC4351" s="9"/>
      <c r="AD4351" s="9"/>
      <c r="AF4351" s="10"/>
      <c r="AG4351" s="10"/>
      <c r="AH4351" s="10"/>
      <c r="AI4351" s="10"/>
    </row>
    <row r="4352" spans="28:35" ht="15" hidden="1" customHeight="1">
      <c r="AB4352" s="9"/>
      <c r="AC4352" s="9"/>
      <c r="AD4352" s="9"/>
      <c r="AF4352" s="10"/>
      <c r="AG4352" s="10"/>
      <c r="AH4352" s="10"/>
      <c r="AI4352" s="10"/>
    </row>
    <row r="4353" spans="28:35" ht="15" hidden="1" customHeight="1">
      <c r="AB4353" s="9"/>
      <c r="AC4353" s="9"/>
      <c r="AD4353" s="9"/>
      <c r="AF4353" s="10"/>
      <c r="AG4353" s="10"/>
      <c r="AH4353" s="10"/>
      <c r="AI4353" s="10"/>
    </row>
    <row r="4354" spans="28:35" ht="15" hidden="1" customHeight="1">
      <c r="AB4354" s="9"/>
      <c r="AC4354" s="9"/>
      <c r="AD4354" s="9"/>
      <c r="AF4354" s="10"/>
      <c r="AG4354" s="10"/>
      <c r="AH4354" s="10"/>
      <c r="AI4354" s="10"/>
    </row>
    <row r="4355" spans="28:35" ht="15" hidden="1" customHeight="1">
      <c r="AB4355" s="9"/>
      <c r="AC4355" s="9"/>
      <c r="AD4355" s="9"/>
      <c r="AF4355" s="10"/>
      <c r="AG4355" s="10"/>
      <c r="AH4355" s="10"/>
      <c r="AI4355" s="10"/>
    </row>
    <row r="4356" spans="28:35" ht="15" hidden="1" customHeight="1">
      <c r="AB4356" s="9"/>
      <c r="AC4356" s="9"/>
      <c r="AD4356" s="9"/>
      <c r="AF4356" s="10"/>
      <c r="AG4356" s="10"/>
      <c r="AH4356" s="10"/>
      <c r="AI4356" s="10"/>
    </row>
    <row r="4357" spans="28:35" ht="15" hidden="1" customHeight="1">
      <c r="AB4357" s="9"/>
      <c r="AC4357" s="9"/>
      <c r="AD4357" s="9"/>
      <c r="AF4357" s="10"/>
      <c r="AG4357" s="10"/>
      <c r="AH4357" s="10"/>
      <c r="AI4357" s="10"/>
    </row>
    <row r="4358" spans="28:35" ht="15" hidden="1" customHeight="1">
      <c r="AB4358" s="9"/>
      <c r="AC4358" s="9"/>
      <c r="AD4358" s="9"/>
      <c r="AF4358" s="10"/>
      <c r="AG4358" s="10"/>
      <c r="AH4358" s="10"/>
      <c r="AI4358" s="10"/>
    </row>
    <row r="4359" spans="28:35" ht="15" hidden="1" customHeight="1">
      <c r="AB4359" s="9"/>
      <c r="AC4359" s="9"/>
      <c r="AD4359" s="9"/>
      <c r="AF4359" s="10"/>
      <c r="AG4359" s="10"/>
      <c r="AH4359" s="10"/>
      <c r="AI4359" s="10"/>
    </row>
    <row r="4360" spans="28:35" ht="15" hidden="1" customHeight="1">
      <c r="AB4360" s="9"/>
      <c r="AC4360" s="9"/>
      <c r="AD4360" s="9"/>
      <c r="AF4360" s="10"/>
      <c r="AG4360" s="10"/>
      <c r="AH4360" s="10"/>
      <c r="AI4360" s="10"/>
    </row>
    <row r="4361" spans="28:35" ht="15" hidden="1" customHeight="1">
      <c r="AB4361" s="9"/>
      <c r="AC4361" s="9"/>
      <c r="AD4361" s="9"/>
      <c r="AF4361" s="10"/>
      <c r="AG4361" s="10"/>
      <c r="AH4361" s="10"/>
      <c r="AI4361" s="10"/>
    </row>
    <row r="4362" spans="28:35" ht="15" hidden="1" customHeight="1">
      <c r="AB4362" s="9"/>
      <c r="AC4362" s="9"/>
      <c r="AD4362" s="9"/>
      <c r="AF4362" s="10"/>
      <c r="AG4362" s="10"/>
      <c r="AH4362" s="10"/>
      <c r="AI4362" s="10"/>
    </row>
    <row r="4363" spans="28:35" ht="15" hidden="1" customHeight="1">
      <c r="AB4363" s="9"/>
      <c r="AC4363" s="9"/>
      <c r="AD4363" s="9"/>
      <c r="AF4363" s="10"/>
      <c r="AG4363" s="10"/>
      <c r="AH4363" s="10"/>
      <c r="AI4363" s="10"/>
    </row>
    <row r="4364" spans="28:35" ht="15" hidden="1" customHeight="1">
      <c r="AB4364" s="9"/>
      <c r="AC4364" s="9"/>
      <c r="AD4364" s="9"/>
      <c r="AF4364" s="10"/>
      <c r="AG4364" s="10"/>
      <c r="AH4364" s="10"/>
      <c r="AI4364" s="10"/>
    </row>
    <row r="4365" spans="28:35" ht="15" hidden="1" customHeight="1">
      <c r="AB4365" s="9"/>
      <c r="AC4365" s="9"/>
      <c r="AD4365" s="9"/>
      <c r="AF4365" s="10"/>
      <c r="AG4365" s="10"/>
      <c r="AH4365" s="10"/>
      <c r="AI4365" s="10"/>
    </row>
    <row r="4366" spans="28:35" ht="15" hidden="1" customHeight="1">
      <c r="AB4366" s="9"/>
      <c r="AC4366" s="9"/>
      <c r="AD4366" s="9"/>
      <c r="AF4366" s="10"/>
      <c r="AG4366" s="10"/>
      <c r="AH4366" s="10"/>
      <c r="AI4366" s="10"/>
    </row>
    <row r="4367" spans="28:35" ht="15" hidden="1" customHeight="1">
      <c r="AB4367" s="9"/>
      <c r="AC4367" s="9"/>
      <c r="AD4367" s="9"/>
      <c r="AF4367" s="10"/>
      <c r="AG4367" s="10"/>
      <c r="AH4367" s="10"/>
      <c r="AI4367" s="10"/>
    </row>
    <row r="4368" spans="28:35" ht="15" hidden="1" customHeight="1">
      <c r="AB4368" s="9"/>
      <c r="AC4368" s="9"/>
      <c r="AD4368" s="9"/>
      <c r="AF4368" s="10"/>
      <c r="AG4368" s="10"/>
      <c r="AH4368" s="10"/>
      <c r="AI4368" s="10"/>
    </row>
    <row r="4369" spans="28:35" ht="15" hidden="1" customHeight="1">
      <c r="AB4369" s="9"/>
      <c r="AC4369" s="9"/>
      <c r="AD4369" s="9"/>
      <c r="AF4369" s="10"/>
      <c r="AG4369" s="10"/>
      <c r="AH4369" s="10"/>
      <c r="AI4369" s="10"/>
    </row>
    <row r="4370" spans="28:35" ht="15" hidden="1" customHeight="1">
      <c r="AB4370" s="9"/>
      <c r="AC4370" s="9"/>
      <c r="AD4370" s="9"/>
      <c r="AF4370" s="10"/>
      <c r="AG4370" s="10"/>
      <c r="AH4370" s="10"/>
      <c r="AI4370" s="10"/>
    </row>
    <row r="4371" spans="28:35" ht="15" hidden="1" customHeight="1">
      <c r="AB4371" s="9"/>
      <c r="AC4371" s="9"/>
      <c r="AD4371" s="9"/>
      <c r="AF4371" s="10"/>
      <c r="AG4371" s="10"/>
      <c r="AH4371" s="10"/>
      <c r="AI4371" s="10"/>
    </row>
    <row r="4372" spans="28:35" ht="15" hidden="1" customHeight="1">
      <c r="AB4372" s="9"/>
      <c r="AC4372" s="9"/>
      <c r="AD4372" s="9"/>
      <c r="AF4372" s="10"/>
      <c r="AG4372" s="10"/>
      <c r="AH4372" s="10"/>
      <c r="AI4372" s="10"/>
    </row>
    <row r="4373" spans="28:35" ht="15" hidden="1" customHeight="1">
      <c r="AB4373" s="9"/>
      <c r="AC4373" s="9"/>
      <c r="AD4373" s="9"/>
      <c r="AF4373" s="10"/>
      <c r="AG4373" s="10"/>
      <c r="AH4373" s="10"/>
      <c r="AI4373" s="10"/>
    </row>
    <row r="4374" spans="28:35" ht="15" hidden="1" customHeight="1">
      <c r="AB4374" s="9"/>
      <c r="AC4374" s="9"/>
      <c r="AD4374" s="9"/>
      <c r="AF4374" s="10"/>
      <c r="AG4374" s="10"/>
      <c r="AH4374" s="10"/>
      <c r="AI4374" s="10"/>
    </row>
    <row r="4375" spans="28:35" ht="15" hidden="1" customHeight="1">
      <c r="AB4375" s="9"/>
      <c r="AC4375" s="9"/>
      <c r="AD4375" s="9"/>
      <c r="AF4375" s="10"/>
      <c r="AG4375" s="10"/>
      <c r="AH4375" s="10"/>
      <c r="AI4375" s="10"/>
    </row>
    <row r="4376" spans="28:35" ht="15" hidden="1" customHeight="1">
      <c r="AB4376" s="9"/>
      <c r="AC4376" s="9"/>
      <c r="AD4376" s="9"/>
      <c r="AF4376" s="10"/>
      <c r="AG4376" s="10"/>
      <c r="AH4376" s="10"/>
      <c r="AI4376" s="10"/>
    </row>
    <row r="4377" spans="28:35" ht="15" hidden="1" customHeight="1">
      <c r="AB4377" s="9"/>
      <c r="AC4377" s="9"/>
      <c r="AD4377" s="9"/>
      <c r="AF4377" s="10"/>
      <c r="AG4377" s="10"/>
      <c r="AH4377" s="10"/>
      <c r="AI4377" s="10"/>
    </row>
    <row r="4378" spans="28:35" ht="15" hidden="1" customHeight="1">
      <c r="AB4378" s="9"/>
      <c r="AC4378" s="9"/>
      <c r="AD4378" s="9"/>
      <c r="AF4378" s="10"/>
      <c r="AG4378" s="10"/>
      <c r="AH4378" s="10"/>
      <c r="AI4378" s="10"/>
    </row>
    <row r="4379" spans="28:35" ht="15" hidden="1" customHeight="1">
      <c r="AB4379" s="9"/>
      <c r="AC4379" s="9"/>
      <c r="AD4379" s="9"/>
      <c r="AF4379" s="10"/>
      <c r="AG4379" s="10"/>
      <c r="AH4379" s="10"/>
      <c r="AI4379" s="10"/>
    </row>
    <row r="4380" spans="28:35" ht="15" hidden="1" customHeight="1">
      <c r="AB4380" s="9"/>
      <c r="AC4380" s="9"/>
      <c r="AD4380" s="9"/>
      <c r="AF4380" s="10"/>
      <c r="AG4380" s="10"/>
      <c r="AH4380" s="10"/>
      <c r="AI4380" s="10"/>
    </row>
    <row r="4381" spans="28:35" ht="15" hidden="1" customHeight="1">
      <c r="AB4381" s="9"/>
      <c r="AC4381" s="9"/>
      <c r="AD4381" s="9"/>
      <c r="AF4381" s="10"/>
      <c r="AG4381" s="10"/>
      <c r="AH4381" s="10"/>
      <c r="AI4381" s="10"/>
    </row>
    <row r="4382" spans="28:35" ht="15" hidden="1" customHeight="1">
      <c r="AB4382" s="9"/>
      <c r="AC4382" s="9"/>
      <c r="AD4382" s="9"/>
      <c r="AF4382" s="10"/>
      <c r="AG4382" s="10"/>
      <c r="AH4382" s="10"/>
      <c r="AI4382" s="10"/>
    </row>
    <row r="4383" spans="28:35" ht="15" hidden="1" customHeight="1">
      <c r="AB4383" s="9"/>
      <c r="AC4383" s="9"/>
      <c r="AD4383" s="9"/>
      <c r="AF4383" s="10"/>
      <c r="AG4383" s="10"/>
      <c r="AH4383" s="10"/>
      <c r="AI4383" s="10"/>
    </row>
    <row r="4384" spans="28:35" ht="15" hidden="1" customHeight="1">
      <c r="AB4384" s="9"/>
      <c r="AC4384" s="9"/>
      <c r="AD4384" s="9"/>
      <c r="AF4384" s="10"/>
      <c r="AG4384" s="10"/>
      <c r="AH4384" s="10"/>
      <c r="AI4384" s="10"/>
    </row>
    <row r="4385" spans="28:35" ht="15" hidden="1" customHeight="1">
      <c r="AB4385" s="9"/>
      <c r="AC4385" s="9"/>
      <c r="AD4385" s="9"/>
      <c r="AF4385" s="10"/>
      <c r="AG4385" s="10"/>
      <c r="AH4385" s="10"/>
      <c r="AI4385" s="10"/>
    </row>
    <row r="4386" spans="28:35" ht="15" hidden="1" customHeight="1">
      <c r="AB4386" s="9"/>
      <c r="AC4386" s="9"/>
      <c r="AD4386" s="9"/>
      <c r="AF4386" s="10"/>
      <c r="AG4386" s="10"/>
      <c r="AH4386" s="10"/>
      <c r="AI4386" s="10"/>
    </row>
    <row r="4387" spans="28:35" ht="15" hidden="1" customHeight="1">
      <c r="AB4387" s="9"/>
      <c r="AC4387" s="9"/>
      <c r="AD4387" s="9"/>
      <c r="AF4387" s="10"/>
      <c r="AG4387" s="10"/>
      <c r="AH4387" s="10"/>
      <c r="AI4387" s="10"/>
    </row>
    <row r="4388" spans="28:35" ht="15" hidden="1" customHeight="1">
      <c r="AB4388" s="9"/>
      <c r="AC4388" s="9"/>
      <c r="AD4388" s="9"/>
      <c r="AF4388" s="10"/>
      <c r="AG4388" s="10"/>
      <c r="AH4388" s="10"/>
      <c r="AI4388" s="10"/>
    </row>
    <row r="4389" spans="28:35" ht="15" hidden="1" customHeight="1">
      <c r="AB4389" s="9"/>
      <c r="AC4389" s="9"/>
      <c r="AD4389" s="9"/>
      <c r="AF4389" s="10"/>
      <c r="AG4389" s="10"/>
      <c r="AH4389" s="10"/>
      <c r="AI4389" s="10"/>
    </row>
    <row r="4390" spans="28:35" ht="15" hidden="1" customHeight="1">
      <c r="AB4390" s="9"/>
      <c r="AC4390" s="9"/>
      <c r="AD4390" s="9"/>
      <c r="AF4390" s="10"/>
      <c r="AG4390" s="10"/>
      <c r="AH4390" s="10"/>
      <c r="AI4390" s="10"/>
    </row>
    <row r="4391" spans="28:35" ht="15" hidden="1" customHeight="1">
      <c r="AB4391" s="9"/>
      <c r="AC4391" s="9"/>
      <c r="AD4391" s="9"/>
      <c r="AF4391" s="10"/>
      <c r="AG4391" s="10"/>
      <c r="AH4391" s="10"/>
      <c r="AI4391" s="10"/>
    </row>
    <row r="4392" spans="28:35" ht="15" hidden="1" customHeight="1">
      <c r="AB4392" s="9"/>
      <c r="AC4392" s="9"/>
      <c r="AD4392" s="9"/>
      <c r="AF4392" s="10"/>
      <c r="AG4392" s="10"/>
      <c r="AH4392" s="10"/>
      <c r="AI4392" s="10"/>
    </row>
    <row r="4393" spans="28:35" ht="15" hidden="1" customHeight="1">
      <c r="AB4393" s="9"/>
      <c r="AC4393" s="9"/>
      <c r="AD4393" s="9"/>
      <c r="AF4393" s="10"/>
      <c r="AG4393" s="10"/>
      <c r="AH4393" s="10"/>
      <c r="AI4393" s="10"/>
    </row>
    <row r="4394" spans="28:35" ht="15" hidden="1" customHeight="1">
      <c r="AB4394" s="9"/>
      <c r="AC4394" s="9"/>
      <c r="AD4394" s="9"/>
      <c r="AF4394" s="10"/>
      <c r="AG4394" s="10"/>
      <c r="AH4394" s="10"/>
      <c r="AI4394" s="10"/>
    </row>
    <row r="4395" spans="28:35" ht="15" hidden="1" customHeight="1">
      <c r="AB4395" s="9"/>
      <c r="AC4395" s="9"/>
      <c r="AD4395" s="9"/>
      <c r="AF4395" s="10"/>
      <c r="AG4395" s="10"/>
      <c r="AH4395" s="10"/>
      <c r="AI4395" s="10"/>
    </row>
    <row r="4396" spans="28:35" ht="15" hidden="1" customHeight="1">
      <c r="AB4396" s="9"/>
      <c r="AC4396" s="9"/>
      <c r="AD4396" s="9"/>
      <c r="AF4396" s="10"/>
      <c r="AG4396" s="10"/>
      <c r="AH4396" s="10"/>
      <c r="AI4396" s="10"/>
    </row>
    <row r="4397" spans="28:35" ht="15" hidden="1" customHeight="1">
      <c r="AB4397" s="9"/>
      <c r="AC4397" s="9"/>
      <c r="AD4397" s="9"/>
      <c r="AF4397" s="10"/>
      <c r="AG4397" s="10"/>
      <c r="AH4397" s="10"/>
      <c r="AI4397" s="10"/>
    </row>
    <row r="4398" spans="28:35" ht="15" hidden="1" customHeight="1">
      <c r="AB4398" s="9"/>
      <c r="AC4398" s="9"/>
      <c r="AD4398" s="9"/>
      <c r="AF4398" s="10"/>
      <c r="AG4398" s="10"/>
      <c r="AH4398" s="10"/>
      <c r="AI4398" s="10"/>
    </row>
    <row r="4399" spans="28:35" ht="15" hidden="1" customHeight="1">
      <c r="AB4399" s="9"/>
      <c r="AC4399" s="9"/>
      <c r="AD4399" s="9"/>
      <c r="AF4399" s="10"/>
      <c r="AG4399" s="10"/>
      <c r="AH4399" s="10"/>
      <c r="AI4399" s="10"/>
    </row>
    <row r="4400" spans="28:35" ht="15" hidden="1" customHeight="1">
      <c r="AB4400" s="9"/>
      <c r="AC4400" s="9"/>
      <c r="AD4400" s="9"/>
      <c r="AF4400" s="10"/>
      <c r="AG4400" s="10"/>
      <c r="AH4400" s="10"/>
      <c r="AI4400" s="10"/>
    </row>
    <row r="4401" spans="28:35" ht="15" hidden="1" customHeight="1">
      <c r="AB4401" s="9"/>
      <c r="AC4401" s="9"/>
      <c r="AD4401" s="9"/>
      <c r="AF4401" s="10"/>
      <c r="AG4401" s="10"/>
      <c r="AH4401" s="10"/>
      <c r="AI4401" s="10"/>
    </row>
    <row r="4402" spans="28:35" ht="15" hidden="1" customHeight="1">
      <c r="AB4402" s="9"/>
      <c r="AC4402" s="9"/>
      <c r="AD4402" s="9"/>
      <c r="AF4402" s="10"/>
      <c r="AG4402" s="10"/>
      <c r="AH4402" s="10"/>
      <c r="AI4402" s="10"/>
    </row>
    <row r="4403" spans="28:35" ht="15" hidden="1" customHeight="1">
      <c r="AB4403" s="9"/>
      <c r="AC4403" s="9"/>
      <c r="AD4403" s="9"/>
      <c r="AF4403" s="10"/>
      <c r="AG4403" s="10"/>
      <c r="AH4403" s="10"/>
      <c r="AI4403" s="10"/>
    </row>
    <row r="4404" spans="28:35" ht="15" hidden="1" customHeight="1">
      <c r="AB4404" s="9"/>
      <c r="AC4404" s="9"/>
      <c r="AD4404" s="9"/>
      <c r="AF4404" s="10"/>
      <c r="AG4404" s="10"/>
      <c r="AH4404" s="10"/>
      <c r="AI4404" s="10"/>
    </row>
    <row r="4405" spans="28:35" ht="15" hidden="1" customHeight="1">
      <c r="AB4405" s="9"/>
      <c r="AC4405" s="9"/>
      <c r="AD4405" s="9"/>
      <c r="AF4405" s="10"/>
      <c r="AG4405" s="10"/>
      <c r="AH4405" s="10"/>
      <c r="AI4405" s="10"/>
    </row>
    <row r="4406" spans="28:35" ht="15" hidden="1" customHeight="1">
      <c r="AB4406" s="9"/>
      <c r="AC4406" s="9"/>
      <c r="AD4406" s="9"/>
      <c r="AF4406" s="10"/>
      <c r="AG4406" s="10"/>
      <c r="AH4406" s="10"/>
      <c r="AI4406" s="10"/>
    </row>
    <row r="4407" spans="28:35" ht="15" hidden="1" customHeight="1">
      <c r="AB4407" s="9"/>
      <c r="AC4407" s="9"/>
      <c r="AD4407" s="9"/>
      <c r="AF4407" s="10"/>
      <c r="AG4407" s="10"/>
      <c r="AH4407" s="10"/>
      <c r="AI4407" s="10"/>
    </row>
    <row r="4408" spans="28:35" ht="15" hidden="1" customHeight="1">
      <c r="AB4408" s="9"/>
      <c r="AC4408" s="9"/>
      <c r="AD4408" s="9"/>
      <c r="AF4408" s="10"/>
      <c r="AG4408" s="10"/>
      <c r="AH4408" s="10"/>
      <c r="AI4408" s="10"/>
    </row>
    <row r="4409" spans="28:35" ht="15" hidden="1" customHeight="1">
      <c r="AB4409" s="9"/>
      <c r="AC4409" s="9"/>
      <c r="AD4409" s="9"/>
      <c r="AF4409" s="10"/>
      <c r="AG4409" s="10"/>
      <c r="AH4409" s="10"/>
      <c r="AI4409" s="10"/>
    </row>
    <row r="4410" spans="28:35" ht="15" hidden="1" customHeight="1">
      <c r="AB4410" s="9"/>
      <c r="AC4410" s="9"/>
      <c r="AD4410" s="9"/>
      <c r="AF4410" s="10"/>
      <c r="AG4410" s="10"/>
      <c r="AH4410" s="10"/>
      <c r="AI4410" s="10"/>
    </row>
    <row r="4411" spans="28:35" ht="15" hidden="1" customHeight="1">
      <c r="AB4411" s="9"/>
      <c r="AC4411" s="9"/>
      <c r="AD4411" s="9"/>
      <c r="AF4411" s="10"/>
      <c r="AG4411" s="10"/>
      <c r="AH4411" s="10"/>
      <c r="AI4411" s="10"/>
    </row>
    <row r="4412" spans="28:35" ht="15" hidden="1" customHeight="1">
      <c r="AB4412" s="9"/>
      <c r="AC4412" s="9"/>
      <c r="AD4412" s="9"/>
      <c r="AF4412" s="10"/>
      <c r="AG4412" s="10"/>
      <c r="AH4412" s="10"/>
      <c r="AI4412" s="10"/>
    </row>
    <row r="4413" spans="28:35" ht="15" hidden="1" customHeight="1">
      <c r="AB4413" s="9"/>
      <c r="AC4413" s="9"/>
      <c r="AD4413" s="9"/>
      <c r="AF4413" s="10"/>
      <c r="AG4413" s="10"/>
      <c r="AH4413" s="10"/>
      <c r="AI4413" s="10"/>
    </row>
    <row r="4414" spans="28:35" ht="15" hidden="1" customHeight="1">
      <c r="AB4414" s="9"/>
      <c r="AC4414" s="9"/>
      <c r="AD4414" s="9"/>
      <c r="AF4414" s="10"/>
      <c r="AG4414" s="10"/>
      <c r="AH4414" s="10"/>
      <c r="AI4414" s="10"/>
    </row>
    <row r="4415" spans="28:35" ht="15" hidden="1" customHeight="1">
      <c r="AB4415" s="9"/>
      <c r="AC4415" s="9"/>
      <c r="AD4415" s="9"/>
      <c r="AF4415" s="10"/>
      <c r="AG4415" s="10"/>
      <c r="AH4415" s="10"/>
      <c r="AI4415" s="10"/>
    </row>
    <row r="4416" spans="28:35" ht="15" hidden="1" customHeight="1">
      <c r="AB4416" s="9"/>
      <c r="AC4416" s="9"/>
      <c r="AD4416" s="9"/>
      <c r="AF4416" s="10"/>
      <c r="AG4416" s="10"/>
      <c r="AH4416" s="10"/>
      <c r="AI4416" s="10"/>
    </row>
    <row r="4417" spans="28:35" ht="15" hidden="1" customHeight="1">
      <c r="AB4417" s="9"/>
      <c r="AC4417" s="9"/>
      <c r="AD4417" s="9"/>
      <c r="AF4417" s="10"/>
      <c r="AG4417" s="10"/>
      <c r="AH4417" s="10"/>
      <c r="AI4417" s="10"/>
    </row>
    <row r="4418" spans="28:35" ht="15" hidden="1" customHeight="1">
      <c r="AB4418" s="9"/>
      <c r="AC4418" s="9"/>
      <c r="AD4418" s="9"/>
      <c r="AF4418" s="10"/>
      <c r="AG4418" s="10"/>
      <c r="AH4418" s="10"/>
      <c r="AI4418" s="10"/>
    </row>
    <row r="4419" spans="28:35" ht="15" hidden="1" customHeight="1">
      <c r="AB4419" s="9"/>
      <c r="AC4419" s="9"/>
      <c r="AD4419" s="9"/>
      <c r="AF4419" s="10"/>
      <c r="AG4419" s="10"/>
      <c r="AH4419" s="10"/>
      <c r="AI4419" s="10"/>
    </row>
    <row r="4420" spans="28:35" ht="15" hidden="1" customHeight="1">
      <c r="AB4420" s="9"/>
      <c r="AC4420" s="9"/>
      <c r="AD4420" s="9"/>
      <c r="AF4420" s="10"/>
      <c r="AG4420" s="10"/>
      <c r="AH4420" s="10"/>
      <c r="AI4420" s="10"/>
    </row>
    <row r="4421" spans="28:35" ht="15" hidden="1" customHeight="1">
      <c r="AB4421" s="9"/>
      <c r="AC4421" s="9"/>
      <c r="AD4421" s="9"/>
      <c r="AF4421" s="10"/>
      <c r="AG4421" s="10"/>
      <c r="AH4421" s="10"/>
      <c r="AI4421" s="10"/>
    </row>
    <row r="4422" spans="28:35" ht="15" hidden="1" customHeight="1">
      <c r="AB4422" s="9"/>
      <c r="AC4422" s="9"/>
      <c r="AD4422" s="9"/>
      <c r="AF4422" s="10"/>
      <c r="AG4422" s="10"/>
      <c r="AH4422" s="10"/>
      <c r="AI4422" s="10"/>
    </row>
    <row r="4423" spans="28:35" ht="15" hidden="1" customHeight="1">
      <c r="AB4423" s="9"/>
      <c r="AC4423" s="9"/>
      <c r="AD4423" s="9"/>
      <c r="AF4423" s="10"/>
      <c r="AG4423" s="10"/>
      <c r="AH4423" s="10"/>
      <c r="AI4423" s="10"/>
    </row>
    <row r="4424" spans="28:35" ht="15" hidden="1" customHeight="1">
      <c r="AB4424" s="9"/>
      <c r="AC4424" s="9"/>
      <c r="AD4424" s="9"/>
      <c r="AF4424" s="10"/>
      <c r="AG4424" s="10"/>
      <c r="AH4424" s="10"/>
      <c r="AI4424" s="10"/>
    </row>
    <row r="4425" spans="28:35" ht="15" hidden="1" customHeight="1">
      <c r="AB4425" s="9"/>
      <c r="AC4425" s="9"/>
      <c r="AD4425" s="9"/>
      <c r="AF4425" s="10"/>
      <c r="AG4425" s="10"/>
      <c r="AH4425" s="10"/>
      <c r="AI4425" s="10"/>
    </row>
    <row r="4426" spans="28:35" ht="15" hidden="1" customHeight="1">
      <c r="AB4426" s="9"/>
      <c r="AC4426" s="9"/>
      <c r="AD4426" s="9"/>
      <c r="AF4426" s="10"/>
      <c r="AG4426" s="10"/>
      <c r="AH4426" s="10"/>
      <c r="AI4426" s="10"/>
    </row>
    <row r="4427" spans="28:35" ht="15" hidden="1" customHeight="1">
      <c r="AB4427" s="9"/>
      <c r="AC4427" s="9"/>
      <c r="AD4427" s="9"/>
      <c r="AF4427" s="10"/>
      <c r="AG4427" s="10"/>
      <c r="AH4427" s="10"/>
      <c r="AI4427" s="10"/>
    </row>
    <row r="4428" spans="28:35" ht="15" hidden="1" customHeight="1">
      <c r="AB4428" s="9"/>
      <c r="AC4428" s="9"/>
      <c r="AD4428" s="9"/>
      <c r="AF4428" s="10"/>
      <c r="AG4428" s="10"/>
      <c r="AH4428" s="10"/>
      <c r="AI4428" s="10"/>
    </row>
    <row r="4429" spans="28:35" ht="15" hidden="1" customHeight="1">
      <c r="AB4429" s="9"/>
      <c r="AC4429" s="9"/>
      <c r="AD4429" s="9"/>
      <c r="AF4429" s="10"/>
      <c r="AG4429" s="10"/>
      <c r="AH4429" s="10"/>
      <c r="AI4429" s="10"/>
    </row>
    <row r="4430" spans="28:35" ht="15" hidden="1" customHeight="1">
      <c r="AB4430" s="9"/>
      <c r="AC4430" s="9"/>
      <c r="AD4430" s="9"/>
      <c r="AF4430" s="10"/>
      <c r="AG4430" s="10"/>
      <c r="AH4430" s="10"/>
      <c r="AI4430" s="10"/>
    </row>
    <row r="4431" spans="28:35" ht="15" hidden="1" customHeight="1">
      <c r="AB4431" s="9"/>
      <c r="AC4431" s="9"/>
      <c r="AD4431" s="9"/>
      <c r="AF4431" s="10"/>
      <c r="AG4431" s="10"/>
      <c r="AH4431" s="10"/>
      <c r="AI4431" s="10"/>
    </row>
    <row r="4432" spans="28:35" ht="15" hidden="1" customHeight="1">
      <c r="AB4432" s="9"/>
      <c r="AC4432" s="9"/>
      <c r="AD4432" s="9"/>
      <c r="AF4432" s="10"/>
      <c r="AG4432" s="10"/>
      <c r="AH4432" s="10"/>
      <c r="AI4432" s="10"/>
    </row>
    <row r="4433" spans="28:35" ht="15" hidden="1" customHeight="1">
      <c r="AB4433" s="9"/>
      <c r="AC4433" s="9"/>
      <c r="AD4433" s="9"/>
      <c r="AF4433" s="10"/>
      <c r="AG4433" s="10"/>
      <c r="AH4433" s="10"/>
      <c r="AI4433" s="10"/>
    </row>
    <row r="4434" spans="28:35" ht="15" hidden="1" customHeight="1">
      <c r="AB4434" s="9"/>
      <c r="AC4434" s="9"/>
      <c r="AD4434" s="9"/>
      <c r="AF4434" s="10"/>
      <c r="AG4434" s="10"/>
      <c r="AH4434" s="10"/>
      <c r="AI4434" s="10"/>
    </row>
    <row r="4435" spans="28:35" ht="15" hidden="1" customHeight="1">
      <c r="AB4435" s="9"/>
      <c r="AC4435" s="9"/>
      <c r="AD4435" s="9"/>
      <c r="AF4435" s="10"/>
      <c r="AG4435" s="10"/>
      <c r="AH4435" s="10"/>
      <c r="AI4435" s="10"/>
    </row>
    <row r="4436" spans="28:35" ht="15" hidden="1" customHeight="1">
      <c r="AB4436" s="9"/>
      <c r="AC4436" s="9"/>
      <c r="AD4436" s="9"/>
      <c r="AF4436" s="10"/>
      <c r="AG4436" s="10"/>
      <c r="AH4436" s="10"/>
      <c r="AI4436" s="10"/>
    </row>
    <row r="4437" spans="28:35" ht="15" hidden="1" customHeight="1">
      <c r="AB4437" s="9"/>
      <c r="AC4437" s="9"/>
      <c r="AD4437" s="9"/>
      <c r="AF4437" s="10"/>
      <c r="AG4437" s="10"/>
      <c r="AH4437" s="10"/>
      <c r="AI4437" s="10"/>
    </row>
    <row r="4438" spans="28:35" ht="15" hidden="1" customHeight="1">
      <c r="AB4438" s="9"/>
      <c r="AC4438" s="9"/>
      <c r="AD4438" s="9"/>
      <c r="AF4438" s="10"/>
      <c r="AG4438" s="10"/>
      <c r="AH4438" s="10"/>
      <c r="AI4438" s="10"/>
    </row>
    <row r="4439" spans="28:35" ht="15" hidden="1" customHeight="1">
      <c r="AB4439" s="9"/>
      <c r="AC4439" s="9"/>
      <c r="AD4439" s="9"/>
      <c r="AF4439" s="10"/>
      <c r="AG4439" s="10"/>
      <c r="AH4439" s="10"/>
      <c r="AI4439" s="10"/>
    </row>
    <row r="4440" spans="28:35" ht="15" hidden="1" customHeight="1">
      <c r="AB4440" s="9"/>
      <c r="AC4440" s="9"/>
      <c r="AD4440" s="9"/>
      <c r="AF4440" s="10"/>
      <c r="AG4440" s="10"/>
      <c r="AH4440" s="10"/>
      <c r="AI4440" s="10"/>
    </row>
    <row r="4441" spans="28:35" ht="15" hidden="1" customHeight="1">
      <c r="AB4441" s="9"/>
      <c r="AC4441" s="9"/>
      <c r="AD4441" s="9"/>
      <c r="AF4441" s="10"/>
      <c r="AG4441" s="10"/>
      <c r="AH4441" s="10"/>
      <c r="AI4441" s="10"/>
    </row>
    <row r="4442" spans="28:35" ht="15" hidden="1" customHeight="1">
      <c r="AB4442" s="9"/>
      <c r="AC4442" s="9"/>
      <c r="AD4442" s="9"/>
      <c r="AF4442" s="10"/>
      <c r="AG4442" s="10"/>
      <c r="AH4442" s="10"/>
      <c r="AI4442" s="10"/>
    </row>
    <row r="4443" spans="28:35" ht="15" hidden="1" customHeight="1">
      <c r="AB4443" s="9"/>
      <c r="AC4443" s="9"/>
      <c r="AD4443" s="9"/>
      <c r="AF4443" s="10"/>
      <c r="AG4443" s="10"/>
      <c r="AH4443" s="10"/>
      <c r="AI4443" s="10"/>
    </row>
    <row r="4444" spans="28:35" ht="15" hidden="1" customHeight="1">
      <c r="AB4444" s="9"/>
      <c r="AC4444" s="9"/>
      <c r="AD4444" s="9"/>
      <c r="AF4444" s="10"/>
      <c r="AG4444" s="10"/>
      <c r="AH4444" s="10"/>
      <c r="AI4444" s="10"/>
    </row>
    <row r="4445" spans="28:35" ht="15" hidden="1" customHeight="1">
      <c r="AB4445" s="9"/>
      <c r="AC4445" s="9"/>
      <c r="AD4445" s="9"/>
      <c r="AF4445" s="10"/>
      <c r="AG4445" s="10"/>
      <c r="AH4445" s="10"/>
      <c r="AI4445" s="10"/>
    </row>
    <row r="4446" spans="28:35" ht="15" hidden="1" customHeight="1">
      <c r="AB4446" s="9"/>
      <c r="AC4446" s="9"/>
      <c r="AD4446" s="9"/>
      <c r="AF4446" s="10"/>
      <c r="AG4446" s="10"/>
      <c r="AH4446" s="10"/>
      <c r="AI4446" s="10"/>
    </row>
    <row r="4447" spans="28:35" ht="15" hidden="1" customHeight="1">
      <c r="AB4447" s="9"/>
      <c r="AC4447" s="9"/>
      <c r="AD4447" s="9"/>
      <c r="AF4447" s="10"/>
      <c r="AG4447" s="10"/>
      <c r="AH4447" s="10"/>
      <c r="AI4447" s="10"/>
    </row>
    <row r="4448" spans="28:35" ht="15" hidden="1" customHeight="1">
      <c r="AB4448" s="9"/>
      <c r="AC4448" s="9"/>
      <c r="AD4448" s="9"/>
      <c r="AF4448" s="10"/>
      <c r="AG4448" s="10"/>
      <c r="AH4448" s="10"/>
      <c r="AI4448" s="10"/>
    </row>
    <row r="4449" spans="28:35" ht="15" hidden="1" customHeight="1">
      <c r="AB4449" s="9"/>
      <c r="AC4449" s="9"/>
      <c r="AD4449" s="9"/>
      <c r="AF4449" s="10"/>
      <c r="AG4449" s="10"/>
      <c r="AH4449" s="10"/>
      <c r="AI4449" s="10"/>
    </row>
    <row r="4450" spans="28:35" ht="15" hidden="1" customHeight="1">
      <c r="AB4450" s="9"/>
      <c r="AC4450" s="9"/>
      <c r="AD4450" s="9"/>
      <c r="AF4450" s="10"/>
      <c r="AG4450" s="10"/>
      <c r="AH4450" s="10"/>
      <c r="AI4450" s="10"/>
    </row>
    <row r="4451" spans="28:35" ht="15" hidden="1" customHeight="1">
      <c r="AB4451" s="9"/>
      <c r="AC4451" s="9"/>
      <c r="AD4451" s="9"/>
      <c r="AF4451" s="10"/>
      <c r="AG4451" s="10"/>
      <c r="AH4451" s="10"/>
      <c r="AI4451" s="10"/>
    </row>
    <row r="4452" spans="28:35" ht="15" hidden="1" customHeight="1">
      <c r="AB4452" s="9"/>
      <c r="AC4452" s="9"/>
      <c r="AD4452" s="9"/>
      <c r="AF4452" s="10"/>
      <c r="AG4452" s="10"/>
      <c r="AH4452" s="10"/>
      <c r="AI4452" s="10"/>
    </row>
    <row r="4453" spans="28:35" ht="15" hidden="1" customHeight="1">
      <c r="AB4453" s="9"/>
      <c r="AC4453" s="9"/>
      <c r="AD4453" s="9"/>
      <c r="AF4453" s="10"/>
      <c r="AG4453" s="10"/>
      <c r="AH4453" s="10"/>
      <c r="AI4453" s="10"/>
    </row>
    <row r="4454" spans="28:35" ht="15" hidden="1" customHeight="1">
      <c r="AB4454" s="9"/>
      <c r="AC4454" s="9"/>
      <c r="AD4454" s="9"/>
      <c r="AF4454" s="10"/>
      <c r="AG4454" s="10"/>
      <c r="AH4454" s="10"/>
      <c r="AI4454" s="10"/>
    </row>
    <row r="4455" spans="28:35" ht="15" hidden="1" customHeight="1">
      <c r="AB4455" s="9"/>
      <c r="AC4455" s="9"/>
      <c r="AD4455" s="9"/>
      <c r="AF4455" s="10"/>
      <c r="AG4455" s="10"/>
      <c r="AH4455" s="10"/>
      <c r="AI4455" s="10"/>
    </row>
    <row r="4456" spans="28:35" ht="15" hidden="1" customHeight="1">
      <c r="AB4456" s="9"/>
      <c r="AC4456" s="9"/>
      <c r="AD4456" s="9"/>
      <c r="AF4456" s="10"/>
      <c r="AG4456" s="10"/>
      <c r="AH4456" s="10"/>
      <c r="AI4456" s="10"/>
    </row>
    <row r="4457" spans="28:35" ht="15" hidden="1" customHeight="1">
      <c r="AB4457" s="9"/>
      <c r="AC4457" s="9"/>
      <c r="AD4457" s="9"/>
      <c r="AF4457" s="10"/>
      <c r="AG4457" s="10"/>
      <c r="AH4457" s="10"/>
      <c r="AI4457" s="10"/>
    </row>
    <row r="4458" spans="28:35" ht="15" hidden="1" customHeight="1">
      <c r="AB4458" s="9"/>
      <c r="AC4458" s="9"/>
      <c r="AD4458" s="9"/>
      <c r="AF4458" s="10"/>
      <c r="AG4458" s="10"/>
      <c r="AH4458" s="10"/>
      <c r="AI4458" s="10"/>
    </row>
    <row r="4459" spans="28:35" ht="15" hidden="1" customHeight="1">
      <c r="AB4459" s="9"/>
      <c r="AC4459" s="9"/>
      <c r="AD4459" s="9"/>
      <c r="AF4459" s="10"/>
      <c r="AG4459" s="10"/>
      <c r="AH4459" s="10"/>
      <c r="AI4459" s="10"/>
    </row>
    <row r="4460" spans="28:35" ht="15" hidden="1" customHeight="1">
      <c r="AB4460" s="9"/>
      <c r="AC4460" s="9"/>
      <c r="AD4460" s="9"/>
      <c r="AF4460" s="10"/>
      <c r="AG4460" s="10"/>
      <c r="AH4460" s="10"/>
      <c r="AI4460" s="10"/>
    </row>
    <row r="4461" spans="28:35" ht="15" hidden="1" customHeight="1">
      <c r="AB4461" s="9"/>
      <c r="AC4461" s="9"/>
      <c r="AD4461" s="9"/>
      <c r="AF4461" s="10"/>
      <c r="AG4461" s="10"/>
      <c r="AH4461" s="10"/>
      <c r="AI4461" s="10"/>
    </row>
    <row r="4462" spans="28:35" ht="15" hidden="1" customHeight="1">
      <c r="AB4462" s="9"/>
      <c r="AC4462" s="9"/>
      <c r="AD4462" s="9"/>
      <c r="AF4462" s="10"/>
      <c r="AG4462" s="10"/>
      <c r="AH4462" s="10"/>
      <c r="AI4462" s="10"/>
    </row>
    <row r="4463" spans="28:35" ht="15" hidden="1" customHeight="1">
      <c r="AB4463" s="9"/>
      <c r="AC4463" s="9"/>
      <c r="AD4463" s="9"/>
      <c r="AF4463" s="10"/>
      <c r="AG4463" s="10"/>
      <c r="AH4463" s="10"/>
      <c r="AI4463" s="10"/>
    </row>
    <row r="4464" spans="28:35" ht="15" hidden="1" customHeight="1">
      <c r="AB4464" s="9"/>
      <c r="AC4464" s="9"/>
      <c r="AD4464" s="9"/>
      <c r="AF4464" s="10"/>
      <c r="AG4464" s="10"/>
      <c r="AH4464" s="10"/>
      <c r="AI4464" s="10"/>
    </row>
    <row r="4465" spans="28:35" ht="15" hidden="1" customHeight="1">
      <c r="AB4465" s="9"/>
      <c r="AC4465" s="9"/>
      <c r="AD4465" s="9"/>
      <c r="AF4465" s="10"/>
      <c r="AG4465" s="10"/>
      <c r="AH4465" s="10"/>
      <c r="AI4465" s="10"/>
    </row>
    <row r="4466" spans="28:35" ht="15" hidden="1" customHeight="1">
      <c r="AB4466" s="9"/>
      <c r="AC4466" s="9"/>
      <c r="AD4466" s="9"/>
      <c r="AF4466" s="10"/>
      <c r="AG4466" s="10"/>
      <c r="AH4466" s="10"/>
      <c r="AI4466" s="10"/>
    </row>
    <row r="4467" spans="28:35" ht="15" hidden="1" customHeight="1">
      <c r="AB4467" s="9"/>
      <c r="AC4467" s="9"/>
      <c r="AD4467" s="9"/>
      <c r="AF4467" s="10"/>
      <c r="AG4467" s="10"/>
      <c r="AH4467" s="10"/>
      <c r="AI4467" s="10"/>
    </row>
    <row r="4468" spans="28:35" ht="15" hidden="1" customHeight="1">
      <c r="AB4468" s="9"/>
      <c r="AC4468" s="9"/>
      <c r="AD4468" s="9"/>
      <c r="AF4468" s="10"/>
      <c r="AG4468" s="10"/>
      <c r="AH4468" s="10"/>
      <c r="AI4468" s="10"/>
    </row>
    <row r="4469" spans="28:35" ht="15" hidden="1" customHeight="1">
      <c r="AB4469" s="9"/>
      <c r="AC4469" s="9"/>
      <c r="AD4469" s="9"/>
      <c r="AF4469" s="10"/>
      <c r="AG4469" s="10"/>
      <c r="AH4469" s="10"/>
      <c r="AI4469" s="10"/>
    </row>
    <row r="4470" spans="28:35" ht="15" hidden="1" customHeight="1">
      <c r="AB4470" s="9"/>
      <c r="AC4470" s="9"/>
      <c r="AD4470" s="9"/>
      <c r="AF4470" s="10"/>
      <c r="AG4470" s="10"/>
      <c r="AH4470" s="10"/>
      <c r="AI4470" s="10"/>
    </row>
    <row r="4471" spans="28:35" ht="15" hidden="1" customHeight="1">
      <c r="AB4471" s="9"/>
      <c r="AC4471" s="9"/>
      <c r="AD4471" s="9"/>
      <c r="AF4471" s="10"/>
      <c r="AG4471" s="10"/>
      <c r="AH4471" s="10"/>
      <c r="AI4471" s="10"/>
    </row>
    <row r="4472" spans="28:35" ht="15" hidden="1" customHeight="1">
      <c r="AB4472" s="9"/>
      <c r="AC4472" s="9"/>
      <c r="AD4472" s="9"/>
      <c r="AF4472" s="10"/>
      <c r="AG4472" s="10"/>
      <c r="AH4472" s="10"/>
      <c r="AI4472" s="10"/>
    </row>
    <row r="4473" spans="28:35" ht="15" hidden="1" customHeight="1">
      <c r="AB4473" s="9"/>
      <c r="AC4473" s="9"/>
      <c r="AD4473" s="9"/>
      <c r="AF4473" s="10"/>
      <c r="AG4473" s="10"/>
      <c r="AH4473" s="10"/>
      <c r="AI4473" s="10"/>
    </row>
    <row r="4474" spans="28:35" ht="15" hidden="1" customHeight="1">
      <c r="AB4474" s="9"/>
      <c r="AC4474" s="9"/>
      <c r="AD4474" s="9"/>
      <c r="AF4474" s="10"/>
      <c r="AG4474" s="10"/>
      <c r="AH4474" s="10"/>
      <c r="AI4474" s="10"/>
    </row>
    <row r="4475" spans="28:35" ht="15" hidden="1" customHeight="1">
      <c r="AB4475" s="9"/>
      <c r="AC4475" s="9"/>
      <c r="AD4475" s="9"/>
      <c r="AF4475" s="10"/>
      <c r="AG4475" s="10"/>
      <c r="AH4475" s="10"/>
      <c r="AI4475" s="10"/>
    </row>
    <row r="4476" spans="28:35" ht="15" hidden="1" customHeight="1">
      <c r="AB4476" s="9"/>
      <c r="AC4476" s="9"/>
      <c r="AD4476" s="9"/>
      <c r="AF4476" s="10"/>
      <c r="AG4476" s="10"/>
      <c r="AH4476" s="10"/>
      <c r="AI4476" s="10"/>
    </row>
    <row r="4477" spans="28:35" ht="15" hidden="1" customHeight="1">
      <c r="AB4477" s="9"/>
      <c r="AC4477" s="9"/>
      <c r="AD4477" s="9"/>
      <c r="AF4477" s="10"/>
      <c r="AG4477" s="10"/>
      <c r="AH4477" s="10"/>
      <c r="AI4477" s="10"/>
    </row>
    <row r="4478" spans="28:35" ht="15" hidden="1" customHeight="1">
      <c r="AB4478" s="9"/>
      <c r="AC4478" s="9"/>
      <c r="AD4478" s="9"/>
      <c r="AF4478" s="10"/>
      <c r="AG4478" s="10"/>
      <c r="AH4478" s="10"/>
      <c r="AI4478" s="10"/>
    </row>
    <row r="4479" spans="28:35" ht="15" hidden="1" customHeight="1">
      <c r="AB4479" s="9"/>
      <c r="AC4479" s="9"/>
      <c r="AD4479" s="9"/>
      <c r="AF4479" s="10"/>
      <c r="AG4479" s="10"/>
      <c r="AH4479" s="10"/>
      <c r="AI4479" s="10"/>
    </row>
    <row r="4480" spans="28:35" ht="15" hidden="1" customHeight="1">
      <c r="AB4480" s="9"/>
      <c r="AC4480" s="9"/>
      <c r="AD4480" s="9"/>
      <c r="AF4480" s="10"/>
      <c r="AG4480" s="10"/>
      <c r="AH4480" s="10"/>
      <c r="AI4480" s="10"/>
    </row>
    <row r="4481" spans="28:35" ht="15" hidden="1" customHeight="1">
      <c r="AB4481" s="9"/>
      <c r="AC4481" s="9"/>
      <c r="AD4481" s="9"/>
      <c r="AF4481" s="10"/>
      <c r="AG4481" s="10"/>
      <c r="AH4481" s="10"/>
      <c r="AI4481" s="10"/>
    </row>
    <row r="4482" spans="28:35" ht="15" hidden="1" customHeight="1">
      <c r="AB4482" s="9"/>
      <c r="AC4482" s="9"/>
      <c r="AD4482" s="9"/>
      <c r="AF4482" s="10"/>
      <c r="AG4482" s="10"/>
      <c r="AH4482" s="10"/>
      <c r="AI4482" s="10"/>
    </row>
    <row r="4483" spans="28:35" ht="15" hidden="1" customHeight="1">
      <c r="AB4483" s="9"/>
      <c r="AC4483" s="9"/>
      <c r="AD4483" s="9"/>
      <c r="AF4483" s="10"/>
      <c r="AG4483" s="10"/>
      <c r="AH4483" s="10"/>
      <c r="AI4483" s="10"/>
    </row>
    <row r="4484" spans="28:35" ht="15" hidden="1" customHeight="1">
      <c r="AB4484" s="9"/>
      <c r="AC4484" s="9"/>
      <c r="AD4484" s="9"/>
      <c r="AF4484" s="10"/>
      <c r="AG4484" s="10"/>
      <c r="AH4484" s="10"/>
      <c r="AI4484" s="10"/>
    </row>
    <row r="4485" spans="28:35" ht="15" hidden="1" customHeight="1">
      <c r="AB4485" s="9"/>
      <c r="AC4485" s="9"/>
      <c r="AD4485" s="9"/>
      <c r="AF4485" s="10"/>
      <c r="AG4485" s="10"/>
      <c r="AH4485" s="10"/>
      <c r="AI4485" s="10"/>
    </row>
    <row r="4486" spans="28:35" ht="15" hidden="1" customHeight="1">
      <c r="AB4486" s="9"/>
      <c r="AC4486" s="9"/>
      <c r="AD4486" s="9"/>
      <c r="AF4486" s="10"/>
      <c r="AG4486" s="10"/>
      <c r="AH4486" s="10"/>
      <c r="AI4486" s="10"/>
    </row>
    <row r="4487" spans="28:35" ht="15" hidden="1" customHeight="1">
      <c r="AB4487" s="9"/>
      <c r="AC4487" s="9"/>
      <c r="AD4487" s="9"/>
      <c r="AF4487" s="10"/>
      <c r="AG4487" s="10"/>
      <c r="AH4487" s="10"/>
      <c r="AI4487" s="10"/>
    </row>
    <row r="4488" spans="28:35" ht="15" hidden="1" customHeight="1">
      <c r="AB4488" s="9"/>
      <c r="AC4488" s="9"/>
      <c r="AD4488" s="9"/>
      <c r="AF4488" s="10"/>
      <c r="AG4488" s="10"/>
      <c r="AH4488" s="10"/>
      <c r="AI4488" s="10"/>
    </row>
    <row r="4489" spans="28:35" ht="15" hidden="1" customHeight="1">
      <c r="AB4489" s="9"/>
      <c r="AC4489" s="9"/>
      <c r="AD4489" s="9"/>
      <c r="AF4489" s="10"/>
      <c r="AG4489" s="10"/>
      <c r="AH4489" s="10"/>
      <c r="AI4489" s="10"/>
    </row>
    <row r="4490" spans="28:35" ht="15" hidden="1" customHeight="1">
      <c r="AB4490" s="9"/>
      <c r="AC4490" s="9"/>
      <c r="AD4490" s="9"/>
      <c r="AF4490" s="10"/>
      <c r="AG4490" s="10"/>
      <c r="AH4490" s="10"/>
      <c r="AI4490" s="10"/>
    </row>
    <row r="4491" spans="28:35" ht="15" hidden="1" customHeight="1">
      <c r="AB4491" s="9"/>
      <c r="AC4491" s="9"/>
      <c r="AD4491" s="9"/>
      <c r="AF4491" s="10"/>
      <c r="AG4491" s="10"/>
      <c r="AH4491" s="10"/>
      <c r="AI4491" s="10"/>
    </row>
    <row r="4492" spans="28:35" ht="15" hidden="1" customHeight="1">
      <c r="AB4492" s="9"/>
      <c r="AC4492" s="9"/>
      <c r="AD4492" s="9"/>
      <c r="AF4492" s="10"/>
      <c r="AG4492" s="10"/>
      <c r="AH4492" s="10"/>
      <c r="AI4492" s="10"/>
    </row>
    <row r="4493" spans="28:35" ht="15" hidden="1" customHeight="1">
      <c r="AB4493" s="9"/>
      <c r="AC4493" s="9"/>
      <c r="AD4493" s="9"/>
      <c r="AF4493" s="10"/>
      <c r="AG4493" s="10"/>
      <c r="AH4493" s="10"/>
      <c r="AI4493" s="10"/>
    </row>
    <row r="4494" spans="28:35" ht="15" hidden="1" customHeight="1">
      <c r="AB4494" s="9"/>
      <c r="AC4494" s="9"/>
      <c r="AD4494" s="9"/>
      <c r="AF4494" s="10"/>
      <c r="AG4494" s="10"/>
      <c r="AH4494" s="10"/>
      <c r="AI4494" s="10"/>
    </row>
    <row r="4495" spans="28:35" ht="15" hidden="1" customHeight="1">
      <c r="AB4495" s="9"/>
      <c r="AC4495" s="9"/>
      <c r="AD4495" s="9"/>
      <c r="AF4495" s="10"/>
      <c r="AG4495" s="10"/>
      <c r="AH4495" s="10"/>
      <c r="AI4495" s="10"/>
    </row>
    <row r="4496" spans="28:35" ht="15" hidden="1" customHeight="1">
      <c r="AB4496" s="9"/>
      <c r="AC4496" s="9"/>
      <c r="AD4496" s="9"/>
      <c r="AF4496" s="10"/>
      <c r="AG4496" s="10"/>
      <c r="AH4496" s="10"/>
      <c r="AI4496" s="10"/>
    </row>
    <row r="4497" spans="28:35" ht="15" hidden="1" customHeight="1">
      <c r="AB4497" s="9"/>
      <c r="AC4497" s="9"/>
      <c r="AD4497" s="9"/>
      <c r="AF4497" s="10"/>
      <c r="AG4497" s="10"/>
      <c r="AH4497" s="10"/>
      <c r="AI4497" s="10"/>
    </row>
    <row r="4498" spans="28:35" ht="15" hidden="1" customHeight="1">
      <c r="AB4498" s="9"/>
      <c r="AC4498" s="9"/>
      <c r="AD4498" s="9"/>
      <c r="AF4498" s="10"/>
      <c r="AG4498" s="10"/>
      <c r="AH4498" s="10"/>
      <c r="AI4498" s="10"/>
    </row>
    <row r="4499" spans="28:35" ht="15" hidden="1" customHeight="1">
      <c r="AB4499" s="9"/>
      <c r="AC4499" s="9"/>
      <c r="AD4499" s="9"/>
      <c r="AF4499" s="10"/>
      <c r="AG4499" s="10"/>
      <c r="AH4499" s="10"/>
      <c r="AI4499" s="10"/>
    </row>
    <row r="4500" spans="28:35" ht="15" hidden="1" customHeight="1">
      <c r="AB4500" s="9"/>
      <c r="AC4500" s="9"/>
      <c r="AD4500" s="9"/>
      <c r="AF4500" s="10"/>
      <c r="AG4500" s="10"/>
      <c r="AH4500" s="10"/>
      <c r="AI4500" s="10"/>
    </row>
    <row r="4501" spans="28:35" ht="15" hidden="1" customHeight="1">
      <c r="AB4501" s="9"/>
      <c r="AC4501" s="9"/>
      <c r="AD4501" s="9"/>
      <c r="AF4501" s="10"/>
      <c r="AG4501" s="10"/>
      <c r="AH4501" s="10"/>
      <c r="AI4501" s="10"/>
    </row>
    <row r="4502" spans="28:35" ht="15" hidden="1" customHeight="1">
      <c r="AB4502" s="9"/>
      <c r="AC4502" s="9"/>
      <c r="AD4502" s="9"/>
      <c r="AF4502" s="10"/>
      <c r="AG4502" s="10"/>
      <c r="AH4502" s="10"/>
      <c r="AI4502" s="10"/>
    </row>
    <row r="4503" spans="28:35" ht="15" hidden="1" customHeight="1">
      <c r="AB4503" s="9"/>
      <c r="AC4503" s="9"/>
      <c r="AD4503" s="9"/>
      <c r="AF4503" s="10"/>
      <c r="AG4503" s="10"/>
      <c r="AH4503" s="10"/>
      <c r="AI4503" s="10"/>
    </row>
    <row r="4504" spans="28:35" ht="15" hidden="1" customHeight="1">
      <c r="AB4504" s="9"/>
      <c r="AC4504" s="9"/>
      <c r="AD4504" s="9"/>
      <c r="AF4504" s="10"/>
      <c r="AG4504" s="10"/>
      <c r="AH4504" s="10"/>
      <c r="AI4504" s="10"/>
    </row>
    <row r="4505" spans="28:35" ht="15" hidden="1" customHeight="1">
      <c r="AB4505" s="9"/>
      <c r="AC4505" s="9"/>
      <c r="AD4505" s="9"/>
      <c r="AF4505" s="10"/>
      <c r="AG4505" s="10"/>
      <c r="AH4505" s="10"/>
      <c r="AI4505" s="10"/>
    </row>
    <row r="4506" spans="28:35" ht="15" hidden="1" customHeight="1">
      <c r="AB4506" s="9"/>
      <c r="AC4506" s="9"/>
      <c r="AD4506" s="9"/>
      <c r="AF4506" s="10"/>
      <c r="AG4506" s="10"/>
      <c r="AH4506" s="10"/>
      <c r="AI4506" s="10"/>
    </row>
    <row r="4507" spans="28:35" ht="15" hidden="1" customHeight="1">
      <c r="AB4507" s="9"/>
      <c r="AC4507" s="9"/>
      <c r="AD4507" s="9"/>
      <c r="AF4507" s="10"/>
      <c r="AG4507" s="10"/>
      <c r="AH4507" s="10"/>
      <c r="AI4507" s="10"/>
    </row>
    <row r="4508" spans="28:35" ht="15" hidden="1" customHeight="1">
      <c r="AB4508" s="9"/>
      <c r="AC4508" s="9"/>
      <c r="AD4508" s="9"/>
      <c r="AF4508" s="10"/>
      <c r="AG4508" s="10"/>
      <c r="AH4508" s="10"/>
      <c r="AI4508" s="10"/>
    </row>
    <row r="4509" spans="28:35" ht="15" hidden="1" customHeight="1">
      <c r="AB4509" s="9"/>
      <c r="AC4509" s="9"/>
      <c r="AD4509" s="9"/>
      <c r="AF4509" s="10"/>
      <c r="AG4509" s="10"/>
      <c r="AH4509" s="10"/>
      <c r="AI4509" s="10"/>
    </row>
    <row r="4510" spans="28:35" ht="15" hidden="1" customHeight="1">
      <c r="AB4510" s="9"/>
      <c r="AC4510" s="9"/>
      <c r="AD4510" s="9"/>
      <c r="AF4510" s="10"/>
      <c r="AG4510" s="10"/>
      <c r="AH4510" s="10"/>
      <c r="AI4510" s="10"/>
    </row>
    <row r="4511" spans="28:35" ht="15" hidden="1" customHeight="1">
      <c r="AB4511" s="9"/>
      <c r="AC4511" s="9"/>
      <c r="AD4511" s="9"/>
      <c r="AF4511" s="10"/>
      <c r="AG4511" s="10"/>
      <c r="AH4511" s="10"/>
      <c r="AI4511" s="10"/>
    </row>
    <row r="4512" spans="28:35" ht="15" hidden="1" customHeight="1">
      <c r="AB4512" s="9"/>
      <c r="AC4512" s="9"/>
      <c r="AD4512" s="9"/>
      <c r="AF4512" s="10"/>
      <c r="AG4512" s="10"/>
      <c r="AH4512" s="10"/>
      <c r="AI4512" s="10"/>
    </row>
    <row r="4513" spans="28:35" ht="15" hidden="1" customHeight="1">
      <c r="AB4513" s="9"/>
      <c r="AC4513" s="9"/>
      <c r="AD4513" s="9"/>
      <c r="AF4513" s="10"/>
      <c r="AG4513" s="10"/>
      <c r="AH4513" s="10"/>
      <c r="AI4513" s="10"/>
    </row>
    <row r="4514" spans="28:35" ht="15" hidden="1" customHeight="1">
      <c r="AB4514" s="9"/>
      <c r="AC4514" s="9"/>
      <c r="AD4514" s="9"/>
      <c r="AF4514" s="10"/>
      <c r="AG4514" s="10"/>
      <c r="AH4514" s="10"/>
      <c r="AI4514" s="10"/>
    </row>
    <row r="4515" spans="28:35" ht="15" hidden="1" customHeight="1">
      <c r="AB4515" s="9"/>
      <c r="AC4515" s="9"/>
      <c r="AD4515" s="9"/>
      <c r="AF4515" s="10"/>
      <c r="AG4515" s="10"/>
      <c r="AH4515" s="10"/>
      <c r="AI4515" s="10"/>
    </row>
    <row r="4516" spans="28:35" ht="15" hidden="1" customHeight="1">
      <c r="AB4516" s="9"/>
      <c r="AC4516" s="9"/>
      <c r="AD4516" s="9"/>
      <c r="AF4516" s="10"/>
      <c r="AG4516" s="10"/>
      <c r="AH4516" s="10"/>
      <c r="AI4516" s="10"/>
    </row>
    <row r="4517" spans="28:35" ht="15" hidden="1" customHeight="1">
      <c r="AB4517" s="9"/>
      <c r="AC4517" s="9"/>
      <c r="AD4517" s="9"/>
      <c r="AF4517" s="10"/>
      <c r="AG4517" s="10"/>
      <c r="AH4517" s="10"/>
      <c r="AI4517" s="10"/>
    </row>
    <row r="4518" spans="28:35" ht="15" hidden="1" customHeight="1">
      <c r="AB4518" s="9"/>
      <c r="AC4518" s="9"/>
      <c r="AD4518" s="9"/>
      <c r="AF4518" s="10"/>
      <c r="AG4518" s="10"/>
      <c r="AH4518" s="10"/>
      <c r="AI4518" s="10"/>
    </row>
    <row r="4519" spans="28:35" ht="15" hidden="1" customHeight="1">
      <c r="AB4519" s="9"/>
      <c r="AC4519" s="9"/>
      <c r="AD4519" s="9"/>
      <c r="AF4519" s="10"/>
      <c r="AG4519" s="10"/>
      <c r="AH4519" s="10"/>
      <c r="AI4519" s="10"/>
    </row>
    <row r="4520" spans="28:35" ht="15" hidden="1" customHeight="1">
      <c r="AB4520" s="9"/>
      <c r="AC4520" s="9"/>
      <c r="AD4520" s="9"/>
      <c r="AF4520" s="10"/>
      <c r="AG4520" s="10"/>
      <c r="AH4520" s="10"/>
      <c r="AI4520" s="10"/>
    </row>
    <row r="4521" spans="28:35" ht="15" hidden="1" customHeight="1">
      <c r="AB4521" s="9"/>
      <c r="AC4521" s="9"/>
      <c r="AD4521" s="9"/>
      <c r="AF4521" s="10"/>
      <c r="AG4521" s="10"/>
      <c r="AH4521" s="10"/>
      <c r="AI4521" s="10"/>
    </row>
    <row r="4522" spans="28:35" ht="15" hidden="1" customHeight="1">
      <c r="AB4522" s="9"/>
      <c r="AC4522" s="9"/>
      <c r="AD4522" s="9"/>
      <c r="AF4522" s="10"/>
      <c r="AG4522" s="10"/>
      <c r="AH4522" s="10"/>
      <c r="AI4522" s="10"/>
    </row>
    <row r="4523" spans="28:35" ht="15" hidden="1" customHeight="1">
      <c r="AB4523" s="9"/>
      <c r="AC4523" s="9"/>
      <c r="AD4523" s="9"/>
      <c r="AF4523" s="10"/>
      <c r="AG4523" s="10"/>
      <c r="AH4523" s="10"/>
      <c r="AI4523" s="10"/>
    </row>
    <row r="4524" spans="28:35" ht="15" hidden="1" customHeight="1">
      <c r="AB4524" s="9"/>
      <c r="AC4524" s="9"/>
      <c r="AD4524" s="9"/>
      <c r="AF4524" s="10"/>
      <c r="AG4524" s="10"/>
      <c r="AH4524" s="10"/>
      <c r="AI4524" s="10"/>
    </row>
    <row r="4525" spans="28:35" ht="15" hidden="1" customHeight="1">
      <c r="AB4525" s="9"/>
      <c r="AC4525" s="9"/>
      <c r="AD4525" s="9"/>
      <c r="AF4525" s="10"/>
      <c r="AG4525" s="10"/>
      <c r="AH4525" s="10"/>
      <c r="AI4525" s="10"/>
    </row>
    <row r="4526" spans="28:35" ht="15" hidden="1" customHeight="1">
      <c r="AB4526" s="9"/>
      <c r="AC4526" s="9"/>
      <c r="AD4526" s="9"/>
      <c r="AF4526" s="10"/>
      <c r="AG4526" s="10"/>
      <c r="AH4526" s="10"/>
      <c r="AI4526" s="10"/>
    </row>
    <row r="4527" spans="28:35" ht="15" hidden="1" customHeight="1">
      <c r="AB4527" s="9"/>
      <c r="AC4527" s="9"/>
      <c r="AD4527" s="9"/>
      <c r="AF4527" s="10"/>
      <c r="AG4527" s="10"/>
      <c r="AH4527" s="10"/>
      <c r="AI4527" s="10"/>
    </row>
    <row r="4528" spans="28:35" ht="15" hidden="1" customHeight="1">
      <c r="AB4528" s="9"/>
      <c r="AC4528" s="9"/>
      <c r="AD4528" s="9"/>
      <c r="AF4528" s="10"/>
      <c r="AG4528" s="10"/>
      <c r="AH4528" s="10"/>
      <c r="AI4528" s="10"/>
    </row>
    <row r="4529" spans="28:35" ht="15" hidden="1" customHeight="1">
      <c r="AB4529" s="9"/>
      <c r="AC4529" s="9"/>
      <c r="AD4529" s="9"/>
      <c r="AF4529" s="10"/>
      <c r="AG4529" s="10"/>
      <c r="AH4529" s="10"/>
      <c r="AI4529" s="10"/>
    </row>
    <row r="4530" spans="28:35" ht="15" hidden="1" customHeight="1">
      <c r="AB4530" s="9"/>
      <c r="AC4530" s="9"/>
      <c r="AD4530" s="9"/>
      <c r="AF4530" s="10"/>
      <c r="AG4530" s="10"/>
      <c r="AH4530" s="10"/>
      <c r="AI4530" s="10"/>
    </row>
    <row r="4531" spans="28:35" ht="15" hidden="1" customHeight="1">
      <c r="AB4531" s="9"/>
      <c r="AC4531" s="9"/>
      <c r="AD4531" s="9"/>
      <c r="AF4531" s="10"/>
      <c r="AG4531" s="10"/>
      <c r="AH4531" s="10"/>
      <c r="AI4531" s="10"/>
    </row>
    <row r="4532" spans="28:35" ht="15" hidden="1" customHeight="1">
      <c r="AB4532" s="9"/>
      <c r="AC4532" s="9"/>
      <c r="AD4532" s="9"/>
      <c r="AF4532" s="10"/>
      <c r="AG4532" s="10"/>
      <c r="AH4532" s="10"/>
      <c r="AI4532" s="10"/>
    </row>
    <row r="4533" spans="28:35" ht="15" hidden="1" customHeight="1">
      <c r="AB4533" s="9"/>
      <c r="AC4533" s="9"/>
      <c r="AD4533" s="9"/>
      <c r="AF4533" s="10"/>
      <c r="AG4533" s="10"/>
      <c r="AH4533" s="10"/>
      <c r="AI4533" s="10"/>
    </row>
    <row r="4534" spans="28:35" ht="15" hidden="1" customHeight="1">
      <c r="AB4534" s="9"/>
      <c r="AC4534" s="9"/>
      <c r="AD4534" s="9"/>
      <c r="AF4534" s="10"/>
      <c r="AG4534" s="10"/>
      <c r="AH4534" s="10"/>
      <c r="AI4534" s="10"/>
    </row>
    <row r="4535" spans="28:35" ht="15" hidden="1" customHeight="1">
      <c r="AB4535" s="9"/>
      <c r="AC4535" s="9"/>
      <c r="AD4535" s="9"/>
      <c r="AF4535" s="10"/>
      <c r="AG4535" s="10"/>
      <c r="AH4535" s="10"/>
      <c r="AI4535" s="10"/>
    </row>
    <row r="4536" spans="28:35" ht="15" hidden="1" customHeight="1">
      <c r="AB4536" s="9"/>
      <c r="AC4536" s="9"/>
      <c r="AD4536" s="9"/>
      <c r="AF4536" s="10"/>
      <c r="AG4536" s="10"/>
      <c r="AH4536" s="10"/>
      <c r="AI4536" s="10"/>
    </row>
    <row r="4537" spans="28:35" ht="15" hidden="1" customHeight="1">
      <c r="AB4537" s="9"/>
      <c r="AC4537" s="9"/>
      <c r="AD4537" s="9"/>
      <c r="AF4537" s="10"/>
      <c r="AG4537" s="10"/>
      <c r="AH4537" s="10"/>
      <c r="AI4537" s="10"/>
    </row>
    <row r="4538" spans="28:35" ht="15" hidden="1" customHeight="1">
      <c r="AB4538" s="9"/>
      <c r="AC4538" s="9"/>
      <c r="AD4538" s="9"/>
      <c r="AF4538" s="10"/>
      <c r="AG4538" s="10"/>
      <c r="AH4538" s="10"/>
      <c r="AI4538" s="10"/>
    </row>
    <row r="4539" spans="28:35" ht="15" hidden="1" customHeight="1">
      <c r="AB4539" s="9"/>
      <c r="AC4539" s="9"/>
      <c r="AD4539" s="9"/>
      <c r="AF4539" s="10"/>
      <c r="AG4539" s="10"/>
      <c r="AH4539" s="10"/>
      <c r="AI4539" s="10"/>
    </row>
    <row r="4540" spans="28:35" ht="15" hidden="1" customHeight="1">
      <c r="AB4540" s="9"/>
      <c r="AC4540" s="9"/>
      <c r="AD4540" s="9"/>
      <c r="AF4540" s="10"/>
      <c r="AG4540" s="10"/>
      <c r="AH4540" s="10"/>
      <c r="AI4540" s="10"/>
    </row>
    <row r="4541" spans="28:35" ht="15" hidden="1" customHeight="1">
      <c r="AB4541" s="9"/>
      <c r="AC4541" s="9"/>
      <c r="AD4541" s="9"/>
      <c r="AF4541" s="10"/>
      <c r="AG4541" s="10"/>
      <c r="AH4541" s="10"/>
      <c r="AI4541" s="10"/>
    </row>
    <row r="4542" spans="28:35" ht="15" hidden="1" customHeight="1">
      <c r="AB4542" s="9"/>
      <c r="AC4542" s="9"/>
      <c r="AD4542" s="9"/>
      <c r="AF4542" s="10"/>
      <c r="AG4542" s="10"/>
      <c r="AH4542" s="10"/>
      <c r="AI4542" s="10"/>
    </row>
    <row r="4543" spans="28:35" ht="15" hidden="1" customHeight="1">
      <c r="AB4543" s="9"/>
      <c r="AC4543" s="9"/>
      <c r="AD4543" s="9"/>
      <c r="AF4543" s="10"/>
      <c r="AG4543" s="10"/>
      <c r="AH4543" s="10"/>
      <c r="AI4543" s="10"/>
    </row>
    <row r="4544" spans="28:35" ht="15" hidden="1" customHeight="1">
      <c r="AB4544" s="9"/>
      <c r="AC4544" s="9"/>
      <c r="AD4544" s="9"/>
      <c r="AF4544" s="10"/>
      <c r="AG4544" s="10"/>
      <c r="AH4544" s="10"/>
      <c r="AI4544" s="10"/>
    </row>
    <row r="4545" spans="28:35" ht="15" hidden="1" customHeight="1">
      <c r="AB4545" s="9"/>
      <c r="AC4545" s="9"/>
      <c r="AD4545" s="9"/>
      <c r="AF4545" s="10"/>
      <c r="AG4545" s="10"/>
      <c r="AH4545" s="10"/>
      <c r="AI4545" s="10"/>
    </row>
    <row r="4546" spans="28:35" ht="15" hidden="1" customHeight="1">
      <c r="AB4546" s="9"/>
      <c r="AC4546" s="9"/>
      <c r="AD4546" s="9"/>
      <c r="AF4546" s="10"/>
      <c r="AG4546" s="10"/>
      <c r="AH4546" s="10"/>
      <c r="AI4546" s="10"/>
    </row>
    <row r="4547" spans="28:35" ht="15" hidden="1" customHeight="1">
      <c r="AB4547" s="9"/>
      <c r="AC4547" s="9"/>
      <c r="AD4547" s="9"/>
      <c r="AF4547" s="10"/>
      <c r="AG4547" s="10"/>
      <c r="AH4547" s="10"/>
      <c r="AI4547" s="10"/>
    </row>
    <row r="4548" spans="28:35" ht="15" hidden="1" customHeight="1">
      <c r="AB4548" s="9"/>
      <c r="AC4548" s="9"/>
      <c r="AD4548" s="9"/>
      <c r="AF4548" s="10"/>
      <c r="AG4548" s="10"/>
      <c r="AH4548" s="10"/>
      <c r="AI4548" s="10"/>
    </row>
    <row r="4549" spans="28:35" ht="15" hidden="1" customHeight="1">
      <c r="AB4549" s="9"/>
      <c r="AC4549" s="9"/>
      <c r="AD4549" s="9"/>
      <c r="AF4549" s="10"/>
      <c r="AG4549" s="10"/>
      <c r="AH4549" s="10"/>
      <c r="AI4549" s="10"/>
    </row>
    <row r="4550" spans="28:35" ht="15" hidden="1" customHeight="1">
      <c r="AB4550" s="9"/>
      <c r="AC4550" s="9"/>
      <c r="AD4550" s="9"/>
      <c r="AF4550" s="10"/>
      <c r="AG4550" s="10"/>
      <c r="AH4550" s="10"/>
      <c r="AI4550" s="10"/>
    </row>
    <row r="4551" spans="28:35" ht="15" hidden="1" customHeight="1">
      <c r="AB4551" s="9"/>
      <c r="AC4551" s="9"/>
      <c r="AD4551" s="9"/>
      <c r="AF4551" s="10"/>
      <c r="AG4551" s="10"/>
      <c r="AH4551" s="10"/>
      <c r="AI4551" s="10"/>
    </row>
    <row r="4552" spans="28:35" ht="15" hidden="1" customHeight="1">
      <c r="AB4552" s="9"/>
      <c r="AC4552" s="9"/>
      <c r="AD4552" s="9"/>
      <c r="AF4552" s="10"/>
      <c r="AG4552" s="10"/>
      <c r="AH4552" s="10"/>
      <c r="AI4552" s="10"/>
    </row>
    <row r="4553" spans="28:35" ht="15" hidden="1" customHeight="1">
      <c r="AB4553" s="9"/>
      <c r="AC4553" s="9"/>
      <c r="AD4553" s="9"/>
      <c r="AF4553" s="10"/>
      <c r="AG4553" s="10"/>
      <c r="AH4553" s="10"/>
      <c r="AI4553" s="10"/>
    </row>
    <row r="4554" spans="28:35" ht="15" hidden="1" customHeight="1">
      <c r="AB4554" s="9"/>
      <c r="AC4554" s="9"/>
      <c r="AD4554" s="9"/>
      <c r="AF4554" s="10"/>
      <c r="AG4554" s="10"/>
      <c r="AH4554" s="10"/>
      <c r="AI4554" s="10"/>
    </row>
    <row r="4555" spans="28:35" ht="15" hidden="1" customHeight="1">
      <c r="AB4555" s="9"/>
      <c r="AC4555" s="9"/>
      <c r="AD4555" s="9"/>
      <c r="AF4555" s="10"/>
      <c r="AG4555" s="10"/>
      <c r="AH4555" s="10"/>
      <c r="AI4555" s="10"/>
    </row>
    <row r="4556" spans="28:35" ht="15" hidden="1" customHeight="1">
      <c r="AB4556" s="9"/>
      <c r="AC4556" s="9"/>
      <c r="AD4556" s="9"/>
      <c r="AF4556" s="10"/>
      <c r="AG4556" s="10"/>
      <c r="AH4556" s="10"/>
      <c r="AI4556" s="10"/>
    </row>
    <row r="4557" spans="28:35" ht="15" hidden="1" customHeight="1">
      <c r="AB4557" s="9"/>
      <c r="AC4557" s="9"/>
      <c r="AD4557" s="9"/>
      <c r="AF4557" s="10"/>
      <c r="AG4557" s="10"/>
      <c r="AH4557" s="10"/>
      <c r="AI4557" s="10"/>
    </row>
    <row r="4558" spans="28:35" ht="15" hidden="1" customHeight="1">
      <c r="AB4558" s="9"/>
      <c r="AC4558" s="9"/>
      <c r="AD4558" s="9"/>
      <c r="AF4558" s="10"/>
      <c r="AG4558" s="10"/>
      <c r="AH4558" s="10"/>
      <c r="AI4558" s="10"/>
    </row>
    <row r="4559" spans="28:35" ht="15" hidden="1" customHeight="1">
      <c r="AB4559" s="9"/>
      <c r="AC4559" s="9"/>
      <c r="AD4559" s="9"/>
      <c r="AF4559" s="10"/>
      <c r="AG4559" s="10"/>
      <c r="AH4559" s="10"/>
      <c r="AI4559" s="10"/>
    </row>
    <row r="4560" spans="28:35" ht="15" hidden="1" customHeight="1">
      <c r="AB4560" s="9"/>
      <c r="AC4560" s="9"/>
      <c r="AD4560" s="9"/>
      <c r="AF4560" s="10"/>
      <c r="AG4560" s="10"/>
      <c r="AH4560" s="10"/>
      <c r="AI4560" s="10"/>
    </row>
    <row r="4561" spans="28:35" ht="15" hidden="1" customHeight="1">
      <c r="AB4561" s="9"/>
      <c r="AC4561" s="9"/>
      <c r="AD4561" s="9"/>
      <c r="AF4561" s="10"/>
      <c r="AG4561" s="10"/>
      <c r="AH4561" s="10"/>
      <c r="AI4561" s="10"/>
    </row>
    <row r="4562" spans="28:35" ht="15" hidden="1" customHeight="1">
      <c r="AB4562" s="9"/>
      <c r="AC4562" s="9"/>
      <c r="AD4562" s="9"/>
      <c r="AF4562" s="10"/>
      <c r="AG4562" s="10"/>
      <c r="AH4562" s="10"/>
      <c r="AI4562" s="10"/>
    </row>
    <row r="4563" spans="28:35" ht="15" hidden="1" customHeight="1">
      <c r="AB4563" s="9"/>
      <c r="AC4563" s="9"/>
      <c r="AD4563" s="9"/>
      <c r="AF4563" s="10"/>
      <c r="AG4563" s="10"/>
      <c r="AH4563" s="10"/>
      <c r="AI4563" s="10"/>
    </row>
    <row r="4564" spans="28:35" ht="15" hidden="1" customHeight="1">
      <c r="AB4564" s="9"/>
      <c r="AC4564" s="9"/>
      <c r="AD4564" s="9"/>
      <c r="AF4564" s="10"/>
      <c r="AG4564" s="10"/>
      <c r="AH4564" s="10"/>
      <c r="AI4564" s="10"/>
    </row>
    <row r="4565" spans="28:35" ht="15" hidden="1" customHeight="1">
      <c r="AB4565" s="9"/>
      <c r="AC4565" s="9"/>
      <c r="AD4565" s="9"/>
      <c r="AF4565" s="10"/>
      <c r="AG4565" s="10"/>
      <c r="AH4565" s="10"/>
      <c r="AI4565" s="10"/>
    </row>
    <row r="4566" spans="28:35" ht="15" hidden="1" customHeight="1">
      <c r="AB4566" s="9"/>
      <c r="AC4566" s="9"/>
      <c r="AD4566" s="9"/>
      <c r="AF4566" s="10"/>
      <c r="AG4566" s="10"/>
      <c r="AH4566" s="10"/>
      <c r="AI4566" s="10"/>
    </row>
    <row r="4567" spans="28:35" ht="15" hidden="1" customHeight="1">
      <c r="AB4567" s="9"/>
      <c r="AC4567" s="9"/>
      <c r="AD4567" s="9"/>
      <c r="AF4567" s="10"/>
      <c r="AG4567" s="10"/>
      <c r="AH4567" s="10"/>
      <c r="AI4567" s="10"/>
    </row>
    <row r="4568" spans="28:35" ht="15" hidden="1" customHeight="1">
      <c r="AB4568" s="9"/>
      <c r="AC4568" s="9"/>
      <c r="AD4568" s="9"/>
      <c r="AF4568" s="10"/>
      <c r="AG4568" s="10"/>
      <c r="AH4568" s="10"/>
      <c r="AI4568" s="10"/>
    </row>
    <row r="4569" spans="28:35" ht="15" hidden="1" customHeight="1">
      <c r="AB4569" s="9"/>
      <c r="AC4569" s="9"/>
      <c r="AD4569" s="9"/>
      <c r="AF4569" s="10"/>
      <c r="AG4569" s="10"/>
      <c r="AH4569" s="10"/>
      <c r="AI4569" s="10"/>
    </row>
    <row r="4570" spans="28:35" ht="15" hidden="1" customHeight="1">
      <c r="AB4570" s="9"/>
      <c r="AC4570" s="9"/>
      <c r="AD4570" s="9"/>
      <c r="AF4570" s="10"/>
      <c r="AG4570" s="10"/>
      <c r="AH4570" s="10"/>
      <c r="AI4570" s="10"/>
    </row>
    <row r="4571" spans="28:35" ht="15" hidden="1" customHeight="1">
      <c r="AB4571" s="9"/>
      <c r="AC4571" s="9"/>
      <c r="AD4571" s="9"/>
      <c r="AF4571" s="10"/>
      <c r="AG4571" s="10"/>
      <c r="AH4571" s="10"/>
      <c r="AI4571" s="10"/>
    </row>
    <row r="4572" spans="28:35" ht="15" hidden="1" customHeight="1">
      <c r="AB4572" s="9"/>
      <c r="AC4572" s="9"/>
      <c r="AD4572" s="9"/>
      <c r="AF4572" s="10"/>
      <c r="AG4572" s="10"/>
      <c r="AH4572" s="10"/>
      <c r="AI4572" s="10"/>
    </row>
    <row r="4573" spans="28:35" ht="15" hidden="1" customHeight="1">
      <c r="AB4573" s="9"/>
      <c r="AC4573" s="9"/>
      <c r="AD4573" s="9"/>
      <c r="AF4573" s="10"/>
      <c r="AG4573" s="10"/>
      <c r="AH4573" s="10"/>
      <c r="AI4573" s="10"/>
    </row>
    <row r="4574" spans="28:35" ht="15" hidden="1" customHeight="1">
      <c r="AB4574" s="9"/>
      <c r="AC4574" s="9"/>
      <c r="AD4574" s="9"/>
      <c r="AF4574" s="10"/>
      <c r="AG4574" s="10"/>
      <c r="AH4574" s="10"/>
      <c r="AI4574" s="10"/>
    </row>
    <row r="4575" spans="28:35" ht="15" hidden="1" customHeight="1">
      <c r="AB4575" s="9"/>
      <c r="AC4575" s="9"/>
      <c r="AD4575" s="9"/>
      <c r="AF4575" s="10"/>
      <c r="AG4575" s="10"/>
      <c r="AH4575" s="10"/>
      <c r="AI4575" s="10"/>
    </row>
    <row r="4576" spans="28:35" ht="15" hidden="1" customHeight="1">
      <c r="AB4576" s="9"/>
      <c r="AC4576" s="9"/>
      <c r="AD4576" s="9"/>
      <c r="AF4576" s="10"/>
      <c r="AG4576" s="10"/>
      <c r="AH4576" s="10"/>
      <c r="AI4576" s="10"/>
    </row>
    <row r="4577" spans="28:35" ht="15" hidden="1" customHeight="1">
      <c r="AB4577" s="9"/>
      <c r="AC4577" s="9"/>
      <c r="AD4577" s="9"/>
      <c r="AF4577" s="10"/>
      <c r="AG4577" s="10"/>
      <c r="AH4577" s="10"/>
      <c r="AI4577" s="10"/>
    </row>
    <row r="4578" spans="28:35" ht="15" hidden="1" customHeight="1">
      <c r="AB4578" s="9"/>
      <c r="AC4578" s="9"/>
      <c r="AD4578" s="9"/>
      <c r="AF4578" s="10"/>
      <c r="AG4578" s="10"/>
      <c r="AH4578" s="10"/>
      <c r="AI4578" s="10"/>
    </row>
    <row r="4579" spans="28:35" ht="15" hidden="1" customHeight="1">
      <c r="AB4579" s="9"/>
      <c r="AC4579" s="9"/>
      <c r="AD4579" s="9"/>
      <c r="AF4579" s="10"/>
      <c r="AG4579" s="10"/>
      <c r="AH4579" s="10"/>
      <c r="AI4579" s="10"/>
    </row>
    <row r="4580" spans="28:35" ht="15" hidden="1" customHeight="1">
      <c r="AB4580" s="9"/>
      <c r="AC4580" s="9"/>
      <c r="AD4580" s="9"/>
      <c r="AF4580" s="10"/>
      <c r="AG4580" s="10"/>
      <c r="AH4580" s="10"/>
      <c r="AI4580" s="10"/>
    </row>
    <row r="4581" spans="28:35" ht="15" hidden="1" customHeight="1">
      <c r="AB4581" s="9"/>
      <c r="AC4581" s="9"/>
      <c r="AD4581" s="9"/>
      <c r="AF4581" s="10"/>
      <c r="AG4581" s="10"/>
      <c r="AH4581" s="10"/>
      <c r="AI4581" s="10"/>
    </row>
    <row r="4582" spans="28:35" ht="15" hidden="1" customHeight="1">
      <c r="AB4582" s="9"/>
      <c r="AC4582" s="9"/>
      <c r="AD4582" s="9"/>
      <c r="AF4582" s="10"/>
      <c r="AG4582" s="10"/>
      <c r="AH4582" s="10"/>
      <c r="AI4582" s="10"/>
    </row>
    <row r="4583" spans="28:35" ht="15" hidden="1" customHeight="1">
      <c r="AB4583" s="9"/>
      <c r="AC4583" s="9"/>
      <c r="AD4583" s="9"/>
      <c r="AF4583" s="10"/>
      <c r="AG4583" s="10"/>
      <c r="AH4583" s="10"/>
      <c r="AI4583" s="10"/>
    </row>
    <row r="4584" spans="28:35" ht="15" hidden="1" customHeight="1">
      <c r="AB4584" s="9"/>
      <c r="AC4584" s="9"/>
      <c r="AD4584" s="9"/>
      <c r="AF4584" s="10"/>
      <c r="AG4584" s="10"/>
      <c r="AH4584" s="10"/>
      <c r="AI4584" s="10"/>
    </row>
    <row r="4585" spans="28:35" ht="15" hidden="1" customHeight="1">
      <c r="AB4585" s="9"/>
      <c r="AC4585" s="9"/>
      <c r="AD4585" s="9"/>
      <c r="AF4585" s="10"/>
      <c r="AG4585" s="10"/>
      <c r="AH4585" s="10"/>
      <c r="AI4585" s="10"/>
    </row>
    <row r="4586" spans="28:35" ht="15" hidden="1" customHeight="1">
      <c r="AB4586" s="9"/>
      <c r="AC4586" s="9"/>
      <c r="AD4586" s="9"/>
      <c r="AF4586" s="10"/>
      <c r="AG4586" s="10"/>
      <c r="AH4586" s="10"/>
      <c r="AI4586" s="10"/>
    </row>
    <row r="4587" spans="28:35" ht="15" hidden="1" customHeight="1">
      <c r="AB4587" s="9"/>
      <c r="AC4587" s="9"/>
      <c r="AD4587" s="9"/>
      <c r="AF4587" s="10"/>
      <c r="AG4587" s="10"/>
      <c r="AH4587" s="10"/>
      <c r="AI4587" s="10"/>
    </row>
    <row r="4588" spans="28:35" ht="15" hidden="1" customHeight="1">
      <c r="AB4588" s="9"/>
      <c r="AC4588" s="9"/>
      <c r="AD4588" s="9"/>
      <c r="AF4588" s="10"/>
      <c r="AG4588" s="10"/>
      <c r="AH4588" s="10"/>
      <c r="AI4588" s="10"/>
    </row>
    <row r="4589" spans="28:35" ht="15" hidden="1" customHeight="1">
      <c r="AB4589" s="9"/>
      <c r="AC4589" s="9"/>
      <c r="AD4589" s="9"/>
      <c r="AF4589" s="10"/>
      <c r="AG4589" s="10"/>
      <c r="AH4589" s="10"/>
      <c r="AI4589" s="10"/>
    </row>
    <row r="4590" spans="28:35" ht="15" hidden="1" customHeight="1">
      <c r="AB4590" s="9"/>
      <c r="AC4590" s="9"/>
      <c r="AD4590" s="9"/>
      <c r="AF4590" s="10"/>
      <c r="AG4590" s="10"/>
      <c r="AH4590" s="10"/>
      <c r="AI4590" s="10"/>
    </row>
    <row r="4591" spans="28:35" ht="15" hidden="1" customHeight="1">
      <c r="AB4591" s="9"/>
      <c r="AC4591" s="9"/>
      <c r="AD4591" s="9"/>
      <c r="AF4591" s="10"/>
      <c r="AG4591" s="10"/>
      <c r="AH4591" s="10"/>
      <c r="AI4591" s="10"/>
    </row>
    <row r="4592" spans="28:35" ht="15" hidden="1" customHeight="1">
      <c r="AB4592" s="9"/>
      <c r="AC4592" s="9"/>
      <c r="AD4592" s="9"/>
      <c r="AF4592" s="10"/>
      <c r="AG4592" s="10"/>
      <c r="AH4592" s="10"/>
      <c r="AI4592" s="10"/>
    </row>
    <row r="4593" spans="28:35" ht="15" hidden="1" customHeight="1">
      <c r="AB4593" s="9"/>
      <c r="AC4593" s="9"/>
      <c r="AD4593" s="9"/>
      <c r="AF4593" s="10"/>
      <c r="AG4593" s="10"/>
      <c r="AH4593" s="10"/>
      <c r="AI4593" s="10"/>
    </row>
    <row r="4594" spans="28:35" ht="15" hidden="1" customHeight="1">
      <c r="AB4594" s="9"/>
      <c r="AC4594" s="9"/>
      <c r="AD4594" s="9"/>
      <c r="AF4594" s="10"/>
      <c r="AG4594" s="10"/>
      <c r="AH4594" s="10"/>
      <c r="AI4594" s="10"/>
    </row>
    <row r="4595" spans="28:35" ht="15" hidden="1" customHeight="1">
      <c r="AB4595" s="9"/>
      <c r="AC4595" s="9"/>
      <c r="AD4595" s="9"/>
      <c r="AF4595" s="10"/>
      <c r="AG4595" s="10"/>
      <c r="AH4595" s="10"/>
      <c r="AI4595" s="10"/>
    </row>
    <row r="4596" spans="28:35" ht="15" hidden="1" customHeight="1">
      <c r="AB4596" s="9"/>
      <c r="AC4596" s="9"/>
      <c r="AD4596" s="9"/>
      <c r="AF4596" s="10"/>
      <c r="AG4596" s="10"/>
      <c r="AH4596" s="10"/>
      <c r="AI4596" s="10"/>
    </row>
    <row r="4597" spans="28:35" ht="15" hidden="1" customHeight="1">
      <c r="AB4597" s="9"/>
      <c r="AC4597" s="9"/>
      <c r="AD4597" s="9"/>
      <c r="AF4597" s="10"/>
      <c r="AG4597" s="10"/>
      <c r="AH4597" s="10"/>
      <c r="AI4597" s="10"/>
    </row>
    <row r="4598" spans="28:35" ht="15" hidden="1" customHeight="1">
      <c r="AB4598" s="9"/>
      <c r="AC4598" s="9"/>
      <c r="AD4598" s="9"/>
      <c r="AF4598" s="10"/>
      <c r="AG4598" s="10"/>
      <c r="AH4598" s="10"/>
      <c r="AI4598" s="10"/>
    </row>
    <row r="4599" spans="28:35" ht="15" hidden="1" customHeight="1">
      <c r="AB4599" s="9"/>
      <c r="AC4599" s="9"/>
      <c r="AD4599" s="9"/>
      <c r="AF4599" s="10"/>
      <c r="AG4599" s="10"/>
      <c r="AH4599" s="10"/>
      <c r="AI4599" s="10"/>
    </row>
    <row r="4600" spans="28:35" ht="15" hidden="1" customHeight="1">
      <c r="AB4600" s="9"/>
      <c r="AC4600" s="9"/>
      <c r="AD4600" s="9"/>
      <c r="AF4600" s="10"/>
      <c r="AG4600" s="10"/>
      <c r="AH4600" s="10"/>
      <c r="AI4600" s="10"/>
    </row>
    <row r="4601" spans="28:35" ht="15" hidden="1" customHeight="1">
      <c r="AB4601" s="9"/>
      <c r="AC4601" s="9"/>
      <c r="AD4601" s="9"/>
      <c r="AF4601" s="10"/>
      <c r="AG4601" s="10"/>
      <c r="AH4601" s="10"/>
      <c r="AI4601" s="10"/>
    </row>
    <row r="4602" spans="28:35" ht="15" hidden="1" customHeight="1">
      <c r="AB4602" s="9"/>
      <c r="AC4602" s="9"/>
      <c r="AD4602" s="9"/>
      <c r="AF4602" s="10"/>
      <c r="AG4602" s="10"/>
      <c r="AH4602" s="10"/>
      <c r="AI4602" s="10"/>
    </row>
    <row r="4603" spans="28:35" ht="15" hidden="1" customHeight="1">
      <c r="AB4603" s="9"/>
      <c r="AC4603" s="9"/>
      <c r="AD4603" s="9"/>
      <c r="AF4603" s="10"/>
      <c r="AG4603" s="10"/>
      <c r="AH4603" s="10"/>
      <c r="AI4603" s="10"/>
    </row>
    <row r="4604" spans="28:35" ht="15" hidden="1" customHeight="1">
      <c r="AB4604" s="9"/>
      <c r="AC4604" s="9"/>
      <c r="AD4604" s="9"/>
      <c r="AF4604" s="10"/>
      <c r="AG4604" s="10"/>
      <c r="AH4604" s="10"/>
      <c r="AI4604" s="10"/>
    </row>
    <row r="4605" spans="28:35" ht="15" hidden="1" customHeight="1">
      <c r="AB4605" s="9"/>
      <c r="AC4605" s="9"/>
      <c r="AD4605" s="9"/>
      <c r="AF4605" s="10"/>
      <c r="AG4605" s="10"/>
      <c r="AH4605" s="10"/>
      <c r="AI4605" s="10"/>
    </row>
    <row r="4606" spans="28:35" ht="15" hidden="1" customHeight="1">
      <c r="AB4606" s="9"/>
      <c r="AC4606" s="9"/>
      <c r="AD4606" s="9"/>
      <c r="AF4606" s="10"/>
      <c r="AG4606" s="10"/>
      <c r="AH4606" s="10"/>
      <c r="AI4606" s="10"/>
    </row>
    <row r="4607" spans="28:35" ht="15" hidden="1" customHeight="1">
      <c r="AB4607" s="9"/>
      <c r="AC4607" s="9"/>
      <c r="AD4607" s="9"/>
      <c r="AF4607" s="10"/>
      <c r="AG4607" s="10"/>
      <c r="AH4607" s="10"/>
      <c r="AI4607" s="10"/>
    </row>
    <row r="4608" spans="28:35" ht="15" hidden="1" customHeight="1">
      <c r="AB4608" s="9"/>
      <c r="AC4608" s="9"/>
      <c r="AD4608" s="9"/>
      <c r="AF4608" s="10"/>
      <c r="AG4608" s="10"/>
      <c r="AH4608" s="10"/>
      <c r="AI4608" s="10"/>
    </row>
    <row r="4609" spans="28:35" ht="15" hidden="1" customHeight="1">
      <c r="AB4609" s="9"/>
      <c r="AC4609" s="9"/>
      <c r="AD4609" s="9"/>
      <c r="AF4609" s="10"/>
      <c r="AG4609" s="10"/>
      <c r="AH4609" s="10"/>
      <c r="AI4609" s="10"/>
    </row>
    <row r="4610" spans="28:35" ht="15" hidden="1" customHeight="1">
      <c r="AB4610" s="9"/>
      <c r="AC4610" s="9"/>
      <c r="AD4610" s="9"/>
      <c r="AF4610" s="10"/>
      <c r="AG4610" s="10"/>
      <c r="AH4610" s="10"/>
      <c r="AI4610" s="10"/>
    </row>
    <row r="4611" spans="28:35" ht="15" hidden="1" customHeight="1">
      <c r="AB4611" s="9"/>
      <c r="AC4611" s="9"/>
      <c r="AD4611" s="9"/>
      <c r="AF4611" s="10"/>
      <c r="AG4611" s="10"/>
      <c r="AH4611" s="10"/>
      <c r="AI4611" s="10"/>
    </row>
    <row r="4612" spans="28:35" ht="15" hidden="1" customHeight="1">
      <c r="AB4612" s="9"/>
      <c r="AC4612" s="9"/>
      <c r="AD4612" s="9"/>
      <c r="AF4612" s="10"/>
      <c r="AG4612" s="10"/>
      <c r="AH4612" s="10"/>
      <c r="AI4612" s="10"/>
    </row>
    <row r="4613" spans="28:35" ht="15" hidden="1" customHeight="1">
      <c r="AB4613" s="9"/>
      <c r="AC4613" s="9"/>
      <c r="AD4613" s="9"/>
      <c r="AF4613" s="10"/>
      <c r="AG4613" s="10"/>
      <c r="AH4613" s="10"/>
      <c r="AI4613" s="10"/>
    </row>
    <row r="4614" spans="28:35" ht="15" hidden="1" customHeight="1">
      <c r="AB4614" s="9"/>
      <c r="AC4614" s="9"/>
      <c r="AD4614" s="9"/>
      <c r="AF4614" s="10"/>
      <c r="AG4614" s="10"/>
      <c r="AH4614" s="10"/>
      <c r="AI4614" s="10"/>
    </row>
    <row r="4615" spans="28:35" ht="15" hidden="1" customHeight="1">
      <c r="AB4615" s="9"/>
      <c r="AC4615" s="9"/>
      <c r="AD4615" s="9"/>
      <c r="AF4615" s="10"/>
      <c r="AG4615" s="10"/>
      <c r="AH4615" s="10"/>
      <c r="AI4615" s="10"/>
    </row>
    <row r="4616" spans="28:35" ht="15" hidden="1" customHeight="1">
      <c r="AB4616" s="9"/>
      <c r="AC4616" s="9"/>
      <c r="AD4616" s="9"/>
      <c r="AF4616" s="10"/>
      <c r="AG4616" s="10"/>
      <c r="AH4616" s="10"/>
      <c r="AI4616" s="10"/>
    </row>
    <row r="4617" spans="28:35" ht="15" hidden="1" customHeight="1">
      <c r="AB4617" s="9"/>
      <c r="AC4617" s="9"/>
      <c r="AD4617" s="9"/>
      <c r="AF4617" s="10"/>
      <c r="AG4617" s="10"/>
      <c r="AH4617" s="10"/>
      <c r="AI4617" s="10"/>
    </row>
    <row r="4618" spans="28:35" ht="15" hidden="1" customHeight="1">
      <c r="AB4618" s="9"/>
      <c r="AC4618" s="9"/>
      <c r="AD4618" s="9"/>
      <c r="AF4618" s="10"/>
      <c r="AG4618" s="10"/>
      <c r="AH4618" s="10"/>
      <c r="AI4618" s="10"/>
    </row>
    <row r="4619" spans="28:35" ht="15" hidden="1" customHeight="1">
      <c r="AB4619" s="9"/>
      <c r="AC4619" s="9"/>
      <c r="AD4619" s="9"/>
      <c r="AF4619" s="10"/>
      <c r="AG4619" s="10"/>
      <c r="AH4619" s="10"/>
      <c r="AI4619" s="10"/>
    </row>
    <row r="4620" spans="28:35" ht="15" hidden="1" customHeight="1">
      <c r="AB4620" s="9"/>
      <c r="AC4620" s="9"/>
      <c r="AD4620" s="9"/>
      <c r="AF4620" s="10"/>
      <c r="AG4620" s="10"/>
      <c r="AH4620" s="10"/>
      <c r="AI4620" s="10"/>
    </row>
    <row r="4621" spans="28:35" ht="15" hidden="1" customHeight="1">
      <c r="AB4621" s="9"/>
      <c r="AC4621" s="9"/>
      <c r="AD4621" s="9"/>
      <c r="AF4621" s="10"/>
      <c r="AG4621" s="10"/>
      <c r="AH4621" s="10"/>
      <c r="AI4621" s="10"/>
    </row>
    <row r="4622" spans="28:35" ht="15" hidden="1" customHeight="1">
      <c r="AB4622" s="9"/>
      <c r="AC4622" s="9"/>
      <c r="AD4622" s="9"/>
      <c r="AF4622" s="10"/>
      <c r="AG4622" s="10"/>
      <c r="AH4622" s="10"/>
      <c r="AI4622" s="10"/>
    </row>
    <row r="4623" spans="28:35" ht="15" hidden="1" customHeight="1">
      <c r="AB4623" s="9"/>
      <c r="AC4623" s="9"/>
      <c r="AD4623" s="9"/>
      <c r="AF4623" s="10"/>
      <c r="AG4623" s="10"/>
      <c r="AH4623" s="10"/>
      <c r="AI4623" s="10"/>
    </row>
    <row r="4624" spans="28:35" ht="15" hidden="1" customHeight="1">
      <c r="AB4624" s="9"/>
      <c r="AC4624" s="9"/>
      <c r="AD4624" s="9"/>
      <c r="AF4624" s="10"/>
      <c r="AG4624" s="10"/>
      <c r="AH4624" s="10"/>
      <c r="AI4624" s="10"/>
    </row>
    <row r="4625" spans="28:35" ht="15" hidden="1" customHeight="1">
      <c r="AB4625" s="9"/>
      <c r="AC4625" s="9"/>
      <c r="AD4625" s="9"/>
      <c r="AF4625" s="10"/>
      <c r="AG4625" s="10"/>
      <c r="AH4625" s="10"/>
      <c r="AI4625" s="10"/>
    </row>
    <row r="4626" spans="28:35" ht="15" hidden="1" customHeight="1">
      <c r="AB4626" s="9"/>
      <c r="AC4626" s="9"/>
      <c r="AD4626" s="9"/>
      <c r="AF4626" s="10"/>
      <c r="AG4626" s="10"/>
      <c r="AH4626" s="10"/>
      <c r="AI4626" s="10"/>
    </row>
    <row r="4627" spans="28:35" ht="15" hidden="1" customHeight="1">
      <c r="AB4627" s="9"/>
      <c r="AC4627" s="9"/>
      <c r="AD4627" s="9"/>
      <c r="AF4627" s="10"/>
      <c r="AG4627" s="10"/>
      <c r="AH4627" s="10"/>
      <c r="AI4627" s="10"/>
    </row>
    <row r="4628" spans="28:35" ht="15" hidden="1" customHeight="1">
      <c r="AB4628" s="9"/>
      <c r="AC4628" s="9"/>
      <c r="AD4628" s="9"/>
      <c r="AF4628" s="10"/>
      <c r="AG4628" s="10"/>
      <c r="AH4628" s="10"/>
      <c r="AI4628" s="10"/>
    </row>
    <row r="4629" spans="28:35" ht="15" hidden="1" customHeight="1">
      <c r="AB4629" s="9"/>
      <c r="AC4629" s="9"/>
      <c r="AD4629" s="9"/>
      <c r="AF4629" s="10"/>
      <c r="AG4629" s="10"/>
      <c r="AH4629" s="10"/>
      <c r="AI4629" s="10"/>
    </row>
    <row r="4630" spans="28:35" ht="15" hidden="1" customHeight="1">
      <c r="AB4630" s="9"/>
      <c r="AC4630" s="9"/>
      <c r="AD4630" s="9"/>
      <c r="AF4630" s="10"/>
      <c r="AG4630" s="10"/>
      <c r="AH4630" s="10"/>
      <c r="AI4630" s="10"/>
    </row>
    <row r="4631" spans="28:35" ht="15" hidden="1" customHeight="1">
      <c r="AB4631" s="9"/>
      <c r="AC4631" s="9"/>
      <c r="AD4631" s="9"/>
      <c r="AF4631" s="10"/>
      <c r="AG4631" s="10"/>
      <c r="AH4631" s="10"/>
      <c r="AI4631" s="10"/>
    </row>
    <row r="4632" spans="28:35" ht="15" hidden="1" customHeight="1">
      <c r="AB4632" s="9"/>
      <c r="AC4632" s="9"/>
      <c r="AD4632" s="9"/>
      <c r="AF4632" s="10"/>
      <c r="AG4632" s="10"/>
      <c r="AH4632" s="10"/>
      <c r="AI4632" s="10"/>
    </row>
    <row r="4633" spans="28:35" ht="15" hidden="1" customHeight="1">
      <c r="AB4633" s="9"/>
      <c r="AC4633" s="9"/>
      <c r="AD4633" s="9"/>
      <c r="AF4633" s="10"/>
      <c r="AG4633" s="10"/>
      <c r="AH4633" s="10"/>
      <c r="AI4633" s="10"/>
    </row>
    <row r="4634" spans="28:35" ht="15" hidden="1" customHeight="1">
      <c r="AB4634" s="9"/>
      <c r="AC4634" s="9"/>
      <c r="AD4634" s="9"/>
      <c r="AF4634" s="10"/>
      <c r="AG4634" s="10"/>
      <c r="AH4634" s="10"/>
      <c r="AI4634" s="10"/>
    </row>
    <row r="4635" spans="28:35" ht="15" hidden="1" customHeight="1">
      <c r="AB4635" s="9"/>
      <c r="AC4635" s="9"/>
      <c r="AD4635" s="9"/>
      <c r="AF4635" s="10"/>
      <c r="AG4635" s="10"/>
      <c r="AH4635" s="10"/>
      <c r="AI4635" s="10"/>
    </row>
    <row r="4636" spans="28:35" ht="15" hidden="1" customHeight="1">
      <c r="AB4636" s="9"/>
      <c r="AC4636" s="9"/>
      <c r="AD4636" s="9"/>
      <c r="AF4636" s="10"/>
      <c r="AG4636" s="10"/>
      <c r="AH4636" s="10"/>
      <c r="AI4636" s="10"/>
    </row>
    <row r="4637" spans="28:35" ht="15" hidden="1" customHeight="1">
      <c r="AB4637" s="9"/>
      <c r="AC4637" s="9"/>
      <c r="AD4637" s="9"/>
      <c r="AF4637" s="10"/>
      <c r="AG4637" s="10"/>
      <c r="AH4637" s="10"/>
      <c r="AI4637" s="10"/>
    </row>
    <row r="4638" spans="28:35" ht="15" hidden="1" customHeight="1">
      <c r="AB4638" s="9"/>
      <c r="AC4638" s="9"/>
      <c r="AD4638" s="9"/>
      <c r="AF4638" s="10"/>
      <c r="AG4638" s="10"/>
      <c r="AH4638" s="10"/>
      <c r="AI4638" s="10"/>
    </row>
    <row r="4639" spans="28:35" ht="15" hidden="1" customHeight="1">
      <c r="AB4639" s="9"/>
      <c r="AC4639" s="9"/>
      <c r="AD4639" s="9"/>
      <c r="AF4639" s="10"/>
      <c r="AG4639" s="10"/>
      <c r="AH4639" s="10"/>
      <c r="AI4639" s="10"/>
    </row>
    <row r="4640" spans="28:35" ht="15" hidden="1" customHeight="1">
      <c r="AB4640" s="9"/>
      <c r="AC4640" s="9"/>
      <c r="AD4640" s="9"/>
      <c r="AF4640" s="10"/>
      <c r="AG4640" s="10"/>
      <c r="AH4640" s="10"/>
      <c r="AI4640" s="10"/>
    </row>
    <row r="4641" spans="28:35" ht="15" hidden="1" customHeight="1">
      <c r="AB4641" s="9"/>
      <c r="AC4641" s="9"/>
      <c r="AD4641" s="9"/>
      <c r="AF4641" s="10"/>
      <c r="AG4641" s="10"/>
      <c r="AH4641" s="10"/>
      <c r="AI4641" s="10"/>
    </row>
    <row r="4642" spans="28:35" ht="15" hidden="1" customHeight="1">
      <c r="AB4642" s="9"/>
      <c r="AC4642" s="9"/>
      <c r="AD4642" s="9"/>
      <c r="AF4642" s="10"/>
      <c r="AG4642" s="10"/>
      <c r="AH4642" s="10"/>
      <c r="AI4642" s="10"/>
    </row>
    <row r="4643" spans="28:35" ht="15" hidden="1" customHeight="1">
      <c r="AB4643" s="9"/>
      <c r="AC4643" s="9"/>
      <c r="AD4643" s="9"/>
      <c r="AF4643" s="10"/>
      <c r="AG4643" s="10"/>
      <c r="AH4643" s="10"/>
      <c r="AI4643" s="10"/>
    </row>
    <row r="4644" spans="28:35" ht="15" hidden="1" customHeight="1">
      <c r="AB4644" s="9"/>
      <c r="AC4644" s="9"/>
      <c r="AD4644" s="9"/>
      <c r="AF4644" s="10"/>
      <c r="AG4644" s="10"/>
      <c r="AH4644" s="10"/>
      <c r="AI4644" s="10"/>
    </row>
    <row r="4645" spans="28:35" ht="15" hidden="1" customHeight="1">
      <c r="AB4645" s="9"/>
      <c r="AC4645" s="9"/>
      <c r="AD4645" s="9"/>
      <c r="AF4645" s="10"/>
      <c r="AG4645" s="10"/>
      <c r="AH4645" s="10"/>
      <c r="AI4645" s="10"/>
    </row>
    <row r="4646" spans="28:35" ht="15" hidden="1" customHeight="1">
      <c r="AB4646" s="9"/>
      <c r="AC4646" s="9"/>
      <c r="AD4646" s="9"/>
      <c r="AF4646" s="10"/>
      <c r="AG4646" s="10"/>
      <c r="AH4646" s="10"/>
      <c r="AI4646" s="10"/>
    </row>
    <row r="4647" spans="28:35" ht="15" hidden="1" customHeight="1">
      <c r="AB4647" s="9"/>
      <c r="AC4647" s="9"/>
      <c r="AD4647" s="9"/>
      <c r="AF4647" s="10"/>
      <c r="AG4647" s="10"/>
      <c r="AH4647" s="10"/>
      <c r="AI4647" s="10"/>
    </row>
    <row r="4648" spans="28:35" ht="15" hidden="1" customHeight="1">
      <c r="AB4648" s="9"/>
      <c r="AC4648" s="9"/>
      <c r="AD4648" s="9"/>
      <c r="AF4648" s="10"/>
      <c r="AG4648" s="10"/>
      <c r="AH4648" s="10"/>
      <c r="AI4648" s="10"/>
    </row>
    <row r="4649" spans="28:35" ht="15" hidden="1" customHeight="1">
      <c r="AB4649" s="9"/>
      <c r="AC4649" s="9"/>
      <c r="AD4649" s="9"/>
      <c r="AF4649" s="10"/>
      <c r="AG4649" s="10"/>
      <c r="AH4649" s="10"/>
      <c r="AI4649" s="10"/>
    </row>
    <row r="4650" spans="28:35" ht="15" hidden="1" customHeight="1">
      <c r="AB4650" s="9"/>
      <c r="AC4650" s="9"/>
      <c r="AD4650" s="9"/>
      <c r="AF4650" s="10"/>
      <c r="AG4650" s="10"/>
      <c r="AH4650" s="10"/>
      <c r="AI4650" s="10"/>
    </row>
    <row r="4651" spans="28:35" ht="15" hidden="1" customHeight="1">
      <c r="AB4651" s="9"/>
      <c r="AC4651" s="9"/>
      <c r="AD4651" s="9"/>
      <c r="AF4651" s="10"/>
      <c r="AG4651" s="10"/>
      <c r="AH4651" s="10"/>
      <c r="AI4651" s="10"/>
    </row>
    <row r="4652" spans="28:35" ht="15" hidden="1" customHeight="1">
      <c r="AB4652" s="9"/>
      <c r="AC4652" s="9"/>
      <c r="AD4652" s="9"/>
      <c r="AF4652" s="10"/>
      <c r="AG4652" s="10"/>
      <c r="AH4652" s="10"/>
      <c r="AI4652" s="10"/>
    </row>
    <row r="4653" spans="28:35" ht="15" hidden="1" customHeight="1">
      <c r="AB4653" s="9"/>
      <c r="AC4653" s="9"/>
      <c r="AD4653" s="9"/>
      <c r="AF4653" s="10"/>
      <c r="AG4653" s="10"/>
      <c r="AH4653" s="10"/>
      <c r="AI4653" s="10"/>
    </row>
    <row r="4654" spans="28:35" ht="15" hidden="1" customHeight="1">
      <c r="AB4654" s="9"/>
      <c r="AC4654" s="9"/>
      <c r="AD4654" s="9"/>
      <c r="AF4654" s="10"/>
      <c r="AG4654" s="10"/>
      <c r="AH4654" s="10"/>
      <c r="AI4654" s="10"/>
    </row>
    <row r="4655" spans="28:35" ht="15" hidden="1" customHeight="1">
      <c r="AB4655" s="9"/>
      <c r="AC4655" s="9"/>
      <c r="AD4655" s="9"/>
      <c r="AF4655" s="10"/>
      <c r="AG4655" s="10"/>
      <c r="AH4655" s="10"/>
      <c r="AI4655" s="10"/>
    </row>
    <row r="4656" spans="28:35" ht="15" hidden="1" customHeight="1">
      <c r="AB4656" s="9"/>
      <c r="AC4656" s="9"/>
      <c r="AD4656" s="9"/>
      <c r="AF4656" s="10"/>
      <c r="AG4656" s="10"/>
      <c r="AH4656" s="10"/>
      <c r="AI4656" s="10"/>
    </row>
    <row r="4657" spans="28:35" ht="15" hidden="1" customHeight="1">
      <c r="AB4657" s="9"/>
      <c r="AC4657" s="9"/>
      <c r="AD4657" s="9"/>
      <c r="AF4657" s="10"/>
      <c r="AG4657" s="10"/>
      <c r="AH4657" s="10"/>
      <c r="AI4657" s="10"/>
    </row>
    <row r="4658" spans="28:35" ht="15" hidden="1" customHeight="1">
      <c r="AB4658" s="9"/>
      <c r="AC4658" s="9"/>
      <c r="AD4658" s="9"/>
      <c r="AF4658" s="10"/>
      <c r="AG4658" s="10"/>
      <c r="AH4658" s="10"/>
      <c r="AI4658" s="10"/>
    </row>
    <row r="4659" spans="28:35" ht="15" hidden="1" customHeight="1">
      <c r="AB4659" s="9"/>
      <c r="AC4659" s="9"/>
      <c r="AD4659" s="9"/>
      <c r="AF4659" s="10"/>
      <c r="AG4659" s="10"/>
      <c r="AH4659" s="10"/>
      <c r="AI4659" s="10"/>
    </row>
    <row r="4660" spans="28:35" ht="15" hidden="1" customHeight="1">
      <c r="AB4660" s="9"/>
      <c r="AC4660" s="9"/>
      <c r="AD4660" s="9"/>
      <c r="AF4660" s="10"/>
      <c r="AG4660" s="10"/>
      <c r="AH4660" s="10"/>
      <c r="AI4660" s="10"/>
    </row>
    <row r="4661" spans="28:35" ht="15" hidden="1" customHeight="1">
      <c r="AB4661" s="9"/>
      <c r="AC4661" s="9"/>
      <c r="AD4661" s="9"/>
      <c r="AF4661" s="10"/>
      <c r="AG4661" s="10"/>
      <c r="AH4661" s="10"/>
      <c r="AI4661" s="10"/>
    </row>
    <row r="4662" spans="28:35" ht="15" hidden="1" customHeight="1">
      <c r="AB4662" s="9"/>
      <c r="AC4662" s="9"/>
      <c r="AD4662" s="9"/>
      <c r="AF4662" s="10"/>
      <c r="AG4662" s="10"/>
      <c r="AH4662" s="10"/>
      <c r="AI4662" s="10"/>
    </row>
    <row r="4663" spans="28:35" ht="15" hidden="1" customHeight="1">
      <c r="AB4663" s="9"/>
      <c r="AC4663" s="9"/>
      <c r="AD4663" s="9"/>
      <c r="AF4663" s="10"/>
      <c r="AG4663" s="10"/>
      <c r="AH4663" s="10"/>
      <c r="AI4663" s="10"/>
    </row>
    <row r="4664" spans="28:35" ht="15" hidden="1" customHeight="1">
      <c r="AB4664" s="9"/>
      <c r="AC4664" s="9"/>
      <c r="AD4664" s="9"/>
      <c r="AF4664" s="10"/>
      <c r="AG4664" s="10"/>
      <c r="AH4664" s="10"/>
      <c r="AI4664" s="10"/>
    </row>
    <row r="4665" spans="28:35" ht="15" hidden="1" customHeight="1">
      <c r="AB4665" s="9"/>
      <c r="AC4665" s="9"/>
      <c r="AD4665" s="9"/>
      <c r="AF4665" s="10"/>
      <c r="AG4665" s="10"/>
      <c r="AH4665" s="10"/>
      <c r="AI4665" s="10"/>
    </row>
    <row r="4666" spans="28:35" ht="15" hidden="1" customHeight="1">
      <c r="AB4666" s="9"/>
      <c r="AC4666" s="9"/>
      <c r="AD4666" s="9"/>
      <c r="AF4666" s="10"/>
      <c r="AG4666" s="10"/>
      <c r="AH4666" s="10"/>
      <c r="AI4666" s="10"/>
    </row>
    <row r="4667" spans="28:35" ht="15" hidden="1" customHeight="1">
      <c r="AB4667" s="9"/>
      <c r="AC4667" s="9"/>
      <c r="AD4667" s="9"/>
      <c r="AF4667" s="10"/>
      <c r="AG4667" s="10"/>
      <c r="AH4667" s="10"/>
      <c r="AI4667" s="10"/>
    </row>
    <row r="4668" spans="28:35" ht="15" hidden="1" customHeight="1">
      <c r="AB4668" s="9"/>
      <c r="AC4668" s="9"/>
      <c r="AD4668" s="9"/>
      <c r="AF4668" s="10"/>
      <c r="AG4668" s="10"/>
      <c r="AH4668" s="10"/>
      <c r="AI4668" s="10"/>
    </row>
    <row r="4669" spans="28:35" ht="15" hidden="1" customHeight="1">
      <c r="AB4669" s="9"/>
      <c r="AC4669" s="9"/>
      <c r="AD4669" s="9"/>
      <c r="AF4669" s="10"/>
      <c r="AG4669" s="10"/>
      <c r="AH4669" s="10"/>
      <c r="AI4669" s="10"/>
    </row>
    <row r="4670" spans="28:35" ht="15" hidden="1" customHeight="1">
      <c r="AB4670" s="9"/>
      <c r="AC4670" s="9"/>
      <c r="AD4670" s="9"/>
      <c r="AF4670" s="10"/>
      <c r="AG4670" s="10"/>
      <c r="AH4670" s="10"/>
      <c r="AI4670" s="10"/>
    </row>
    <row r="4671" spans="28:35" ht="15" hidden="1" customHeight="1">
      <c r="AB4671" s="9"/>
      <c r="AC4671" s="9"/>
      <c r="AD4671" s="9"/>
      <c r="AF4671" s="10"/>
      <c r="AG4671" s="10"/>
      <c r="AH4671" s="10"/>
      <c r="AI4671" s="10"/>
    </row>
    <row r="4672" spans="28:35" ht="15" hidden="1" customHeight="1">
      <c r="AB4672" s="9"/>
      <c r="AC4672" s="9"/>
      <c r="AD4672" s="9"/>
      <c r="AF4672" s="10"/>
      <c r="AG4672" s="10"/>
      <c r="AH4672" s="10"/>
      <c r="AI4672" s="10"/>
    </row>
    <row r="4673" spans="28:35" ht="15" hidden="1" customHeight="1">
      <c r="AB4673" s="9"/>
      <c r="AC4673" s="9"/>
      <c r="AD4673" s="9"/>
      <c r="AF4673" s="10"/>
      <c r="AG4673" s="10"/>
      <c r="AH4673" s="10"/>
      <c r="AI4673" s="10"/>
    </row>
    <row r="4674" spans="28:35" ht="15" hidden="1" customHeight="1">
      <c r="AB4674" s="9"/>
      <c r="AC4674" s="9"/>
      <c r="AD4674" s="9"/>
      <c r="AF4674" s="10"/>
      <c r="AG4674" s="10"/>
      <c r="AH4674" s="10"/>
      <c r="AI4674" s="10"/>
    </row>
    <row r="4675" spans="28:35" ht="15" hidden="1" customHeight="1">
      <c r="AB4675" s="9"/>
      <c r="AC4675" s="9"/>
      <c r="AD4675" s="9"/>
      <c r="AF4675" s="10"/>
      <c r="AG4675" s="10"/>
      <c r="AH4675" s="10"/>
      <c r="AI4675" s="10"/>
    </row>
    <row r="4676" spans="28:35" ht="15" hidden="1" customHeight="1">
      <c r="AB4676" s="9"/>
      <c r="AC4676" s="9"/>
      <c r="AD4676" s="9"/>
      <c r="AF4676" s="10"/>
      <c r="AG4676" s="10"/>
      <c r="AH4676" s="10"/>
      <c r="AI4676" s="10"/>
    </row>
    <row r="4677" spans="28:35" ht="15" hidden="1" customHeight="1">
      <c r="AB4677" s="9"/>
      <c r="AC4677" s="9"/>
      <c r="AD4677" s="9"/>
      <c r="AF4677" s="10"/>
      <c r="AG4677" s="10"/>
      <c r="AH4677" s="10"/>
      <c r="AI4677" s="10"/>
    </row>
    <row r="4678" spans="28:35" ht="15" hidden="1" customHeight="1">
      <c r="AB4678" s="9"/>
      <c r="AC4678" s="9"/>
      <c r="AD4678" s="9"/>
      <c r="AF4678" s="10"/>
      <c r="AG4678" s="10"/>
      <c r="AH4678" s="10"/>
      <c r="AI4678" s="10"/>
    </row>
    <row r="4679" spans="28:35" ht="15" hidden="1" customHeight="1">
      <c r="AB4679" s="9"/>
      <c r="AC4679" s="9"/>
      <c r="AD4679" s="9"/>
      <c r="AF4679" s="10"/>
      <c r="AG4679" s="10"/>
      <c r="AH4679" s="10"/>
      <c r="AI4679" s="10"/>
    </row>
    <row r="4680" spans="28:35" ht="15" hidden="1" customHeight="1">
      <c r="AB4680" s="9"/>
      <c r="AC4680" s="9"/>
      <c r="AD4680" s="9"/>
      <c r="AF4680" s="10"/>
      <c r="AG4680" s="10"/>
      <c r="AH4680" s="10"/>
      <c r="AI4680" s="10"/>
    </row>
    <row r="4681" spans="28:35" ht="15" hidden="1" customHeight="1">
      <c r="AB4681" s="9"/>
      <c r="AC4681" s="9"/>
      <c r="AD4681" s="9"/>
      <c r="AF4681" s="10"/>
      <c r="AG4681" s="10"/>
      <c r="AH4681" s="10"/>
      <c r="AI4681" s="10"/>
    </row>
    <row r="4682" spans="28:35" ht="15" hidden="1" customHeight="1">
      <c r="AB4682" s="9"/>
      <c r="AC4682" s="9"/>
      <c r="AD4682" s="9"/>
      <c r="AF4682" s="10"/>
      <c r="AG4682" s="10"/>
      <c r="AH4682" s="10"/>
      <c r="AI4682" s="10"/>
    </row>
    <row r="4683" spans="28:35" ht="15" hidden="1" customHeight="1">
      <c r="AB4683" s="9"/>
      <c r="AC4683" s="9"/>
      <c r="AD4683" s="9"/>
      <c r="AF4683" s="10"/>
      <c r="AG4683" s="10"/>
      <c r="AH4683" s="10"/>
      <c r="AI4683" s="10"/>
    </row>
    <row r="4684" spans="28:35" ht="15" hidden="1" customHeight="1">
      <c r="AB4684" s="9"/>
      <c r="AC4684" s="9"/>
      <c r="AD4684" s="9"/>
      <c r="AF4684" s="10"/>
      <c r="AG4684" s="10"/>
      <c r="AH4684" s="10"/>
      <c r="AI4684" s="10"/>
    </row>
    <row r="4685" spans="28:35" ht="15" hidden="1" customHeight="1">
      <c r="AB4685" s="9"/>
      <c r="AC4685" s="9"/>
      <c r="AD4685" s="9"/>
      <c r="AF4685" s="10"/>
      <c r="AG4685" s="10"/>
      <c r="AH4685" s="10"/>
      <c r="AI4685" s="10"/>
    </row>
    <row r="4686" spans="28:35" ht="15" hidden="1" customHeight="1">
      <c r="AB4686" s="9"/>
      <c r="AC4686" s="9"/>
      <c r="AD4686" s="9"/>
      <c r="AF4686" s="10"/>
      <c r="AG4686" s="10"/>
      <c r="AH4686" s="10"/>
      <c r="AI4686" s="10"/>
    </row>
    <row r="4687" spans="28:35" ht="15" hidden="1" customHeight="1">
      <c r="AB4687" s="9"/>
      <c r="AC4687" s="9"/>
      <c r="AD4687" s="9"/>
      <c r="AF4687" s="10"/>
      <c r="AG4687" s="10"/>
      <c r="AH4687" s="10"/>
      <c r="AI4687" s="10"/>
    </row>
    <row r="4688" spans="28:35" ht="15" hidden="1" customHeight="1">
      <c r="AB4688" s="9"/>
      <c r="AC4688" s="9"/>
      <c r="AD4688" s="9"/>
      <c r="AF4688" s="10"/>
      <c r="AG4688" s="10"/>
      <c r="AH4688" s="10"/>
      <c r="AI4688" s="10"/>
    </row>
    <row r="4689" spans="28:35" ht="15" hidden="1" customHeight="1">
      <c r="AB4689" s="9"/>
      <c r="AC4689" s="9"/>
      <c r="AD4689" s="9"/>
      <c r="AF4689" s="10"/>
      <c r="AG4689" s="10"/>
      <c r="AH4689" s="10"/>
      <c r="AI4689" s="10"/>
    </row>
    <row r="4690" spans="28:35" ht="15" hidden="1" customHeight="1">
      <c r="AB4690" s="9"/>
      <c r="AC4690" s="9"/>
      <c r="AD4690" s="9"/>
      <c r="AF4690" s="10"/>
      <c r="AG4690" s="10"/>
      <c r="AH4690" s="10"/>
      <c r="AI4690" s="10"/>
    </row>
    <row r="4691" spans="28:35" ht="15" hidden="1" customHeight="1">
      <c r="AB4691" s="9"/>
      <c r="AC4691" s="9"/>
      <c r="AD4691" s="9"/>
      <c r="AF4691" s="10"/>
      <c r="AG4691" s="10"/>
      <c r="AH4691" s="10"/>
      <c r="AI4691" s="10"/>
    </row>
    <row r="4692" spans="28:35" ht="15" hidden="1" customHeight="1">
      <c r="AB4692" s="9"/>
      <c r="AC4692" s="9"/>
      <c r="AD4692" s="9"/>
      <c r="AF4692" s="10"/>
      <c r="AG4692" s="10"/>
      <c r="AH4692" s="10"/>
      <c r="AI4692" s="10"/>
    </row>
    <row r="4693" spans="28:35" ht="15" hidden="1" customHeight="1">
      <c r="AB4693" s="9"/>
      <c r="AC4693" s="9"/>
      <c r="AD4693" s="9"/>
      <c r="AF4693" s="10"/>
      <c r="AG4693" s="10"/>
      <c r="AH4693" s="10"/>
      <c r="AI4693" s="10"/>
    </row>
    <row r="4694" spans="28:35" ht="15" hidden="1" customHeight="1">
      <c r="AB4694" s="9"/>
      <c r="AC4694" s="9"/>
      <c r="AD4694" s="9"/>
      <c r="AF4694" s="10"/>
      <c r="AG4694" s="10"/>
      <c r="AH4694" s="10"/>
      <c r="AI4694" s="10"/>
    </row>
    <row r="4695" spans="28:35" ht="15" hidden="1" customHeight="1">
      <c r="AB4695" s="9"/>
      <c r="AC4695" s="9"/>
      <c r="AD4695" s="9"/>
      <c r="AF4695" s="10"/>
      <c r="AG4695" s="10"/>
      <c r="AH4695" s="10"/>
      <c r="AI4695" s="10"/>
    </row>
    <row r="4696" spans="28:35" ht="15" hidden="1" customHeight="1">
      <c r="AB4696" s="9"/>
      <c r="AC4696" s="9"/>
      <c r="AD4696" s="9"/>
      <c r="AF4696" s="10"/>
      <c r="AG4696" s="10"/>
      <c r="AH4696" s="10"/>
      <c r="AI4696" s="10"/>
    </row>
    <row r="4697" spans="28:35" ht="15" hidden="1" customHeight="1">
      <c r="AB4697" s="9"/>
      <c r="AC4697" s="9"/>
      <c r="AD4697" s="9"/>
      <c r="AF4697" s="10"/>
      <c r="AG4697" s="10"/>
      <c r="AH4697" s="10"/>
      <c r="AI4697" s="10"/>
    </row>
    <row r="4698" spans="28:35" ht="15" hidden="1" customHeight="1">
      <c r="AB4698" s="9"/>
      <c r="AC4698" s="9"/>
      <c r="AD4698" s="9"/>
      <c r="AF4698" s="10"/>
      <c r="AG4698" s="10"/>
      <c r="AH4698" s="10"/>
      <c r="AI4698" s="10"/>
    </row>
    <row r="4699" spans="28:35" ht="15" hidden="1" customHeight="1">
      <c r="AB4699" s="9"/>
      <c r="AC4699" s="9"/>
      <c r="AD4699" s="9"/>
      <c r="AF4699" s="10"/>
      <c r="AG4699" s="10"/>
      <c r="AH4699" s="10"/>
      <c r="AI4699" s="10"/>
    </row>
    <row r="4700" spans="28:35" ht="15" hidden="1" customHeight="1">
      <c r="AB4700" s="9"/>
      <c r="AC4700" s="9"/>
      <c r="AD4700" s="9"/>
      <c r="AF4700" s="10"/>
      <c r="AG4700" s="10"/>
      <c r="AH4700" s="10"/>
      <c r="AI4700" s="10"/>
    </row>
    <row r="4701" spans="28:35" ht="15" hidden="1" customHeight="1">
      <c r="AB4701" s="9"/>
      <c r="AC4701" s="9"/>
      <c r="AD4701" s="9"/>
      <c r="AF4701" s="10"/>
      <c r="AG4701" s="10"/>
      <c r="AH4701" s="10"/>
      <c r="AI4701" s="10"/>
    </row>
    <row r="4702" spans="28:35" ht="15" hidden="1" customHeight="1">
      <c r="AB4702" s="9"/>
      <c r="AC4702" s="9"/>
      <c r="AD4702" s="9"/>
      <c r="AF4702" s="10"/>
      <c r="AG4702" s="10"/>
      <c r="AH4702" s="10"/>
      <c r="AI4702" s="10"/>
    </row>
    <row r="4703" spans="28:35" ht="15" hidden="1" customHeight="1">
      <c r="AB4703" s="9"/>
      <c r="AC4703" s="9"/>
      <c r="AD4703" s="9"/>
      <c r="AF4703" s="10"/>
      <c r="AG4703" s="10"/>
      <c r="AH4703" s="10"/>
      <c r="AI4703" s="10"/>
    </row>
    <row r="4704" spans="28:35" ht="15" hidden="1" customHeight="1">
      <c r="AB4704" s="9"/>
      <c r="AC4704" s="9"/>
      <c r="AD4704" s="9"/>
      <c r="AF4704" s="10"/>
      <c r="AG4704" s="10"/>
      <c r="AH4704" s="10"/>
      <c r="AI4704" s="10"/>
    </row>
    <row r="4705" spans="28:35" ht="15" hidden="1" customHeight="1">
      <c r="AB4705" s="9"/>
      <c r="AC4705" s="9"/>
      <c r="AD4705" s="9"/>
      <c r="AF4705" s="10"/>
      <c r="AG4705" s="10"/>
      <c r="AH4705" s="10"/>
      <c r="AI4705" s="10"/>
    </row>
    <row r="4706" spans="28:35" ht="15" hidden="1" customHeight="1">
      <c r="AB4706" s="9"/>
      <c r="AC4706" s="9"/>
      <c r="AD4706" s="9"/>
      <c r="AF4706" s="10"/>
      <c r="AG4706" s="10"/>
      <c r="AH4706" s="10"/>
      <c r="AI4706" s="10"/>
    </row>
    <row r="4707" spans="28:35" ht="15" hidden="1" customHeight="1">
      <c r="AB4707" s="9"/>
      <c r="AC4707" s="9"/>
      <c r="AD4707" s="9"/>
      <c r="AF4707" s="10"/>
      <c r="AG4707" s="10"/>
      <c r="AH4707" s="10"/>
      <c r="AI4707" s="10"/>
    </row>
    <row r="4708" spans="28:35" ht="15" hidden="1" customHeight="1">
      <c r="AB4708" s="9"/>
      <c r="AC4708" s="9"/>
      <c r="AD4708" s="9"/>
      <c r="AF4708" s="10"/>
      <c r="AG4708" s="10"/>
      <c r="AH4708" s="10"/>
      <c r="AI4708" s="10"/>
    </row>
    <row r="4709" spans="28:35" ht="15" hidden="1" customHeight="1">
      <c r="AB4709" s="9"/>
      <c r="AC4709" s="9"/>
      <c r="AD4709" s="9"/>
      <c r="AF4709" s="10"/>
      <c r="AG4709" s="10"/>
      <c r="AH4709" s="10"/>
      <c r="AI4709" s="10"/>
    </row>
    <row r="4710" spans="28:35" ht="15" hidden="1" customHeight="1">
      <c r="AB4710" s="9"/>
      <c r="AC4710" s="9"/>
      <c r="AD4710" s="9"/>
      <c r="AF4710" s="10"/>
      <c r="AG4710" s="10"/>
      <c r="AH4710" s="10"/>
      <c r="AI4710" s="10"/>
    </row>
    <row r="4711" spans="28:35" ht="15" hidden="1" customHeight="1">
      <c r="AB4711" s="9"/>
      <c r="AC4711" s="9"/>
      <c r="AD4711" s="9"/>
      <c r="AF4711" s="10"/>
      <c r="AG4711" s="10"/>
      <c r="AH4711" s="10"/>
      <c r="AI4711" s="10"/>
    </row>
    <row r="4712" spans="28:35" ht="15" hidden="1" customHeight="1">
      <c r="AB4712" s="9"/>
      <c r="AC4712" s="9"/>
      <c r="AD4712" s="9"/>
      <c r="AF4712" s="10"/>
      <c r="AG4712" s="10"/>
      <c r="AH4712" s="10"/>
      <c r="AI4712" s="10"/>
    </row>
    <row r="4713" spans="28:35" ht="15" hidden="1" customHeight="1">
      <c r="AB4713" s="9"/>
      <c r="AC4713" s="9"/>
      <c r="AD4713" s="9"/>
      <c r="AF4713" s="10"/>
      <c r="AG4713" s="10"/>
      <c r="AH4713" s="10"/>
      <c r="AI4713" s="10"/>
    </row>
    <row r="4714" spans="28:35" ht="15" hidden="1" customHeight="1">
      <c r="AB4714" s="9"/>
      <c r="AC4714" s="9"/>
      <c r="AD4714" s="9"/>
      <c r="AF4714" s="10"/>
      <c r="AG4714" s="10"/>
      <c r="AH4714" s="10"/>
      <c r="AI4714" s="10"/>
    </row>
    <row r="4715" spans="28:35" ht="15" hidden="1" customHeight="1">
      <c r="AB4715" s="9"/>
      <c r="AC4715" s="9"/>
      <c r="AD4715" s="9"/>
      <c r="AF4715" s="10"/>
      <c r="AG4715" s="10"/>
      <c r="AH4715" s="10"/>
      <c r="AI4715" s="10"/>
    </row>
    <row r="4716" spans="28:35" ht="15" hidden="1" customHeight="1">
      <c r="AB4716" s="9"/>
      <c r="AC4716" s="9"/>
      <c r="AD4716" s="9"/>
      <c r="AF4716" s="10"/>
      <c r="AG4716" s="10"/>
      <c r="AH4716" s="10"/>
      <c r="AI4716" s="10"/>
    </row>
    <row r="4717" spans="28:35" ht="15" hidden="1" customHeight="1">
      <c r="AB4717" s="9"/>
      <c r="AC4717" s="9"/>
      <c r="AD4717" s="9"/>
      <c r="AF4717" s="10"/>
      <c r="AG4717" s="10"/>
      <c r="AH4717" s="10"/>
      <c r="AI4717" s="10"/>
    </row>
    <row r="4718" spans="28:35" ht="15" hidden="1" customHeight="1">
      <c r="AB4718" s="9"/>
      <c r="AC4718" s="9"/>
      <c r="AD4718" s="9"/>
      <c r="AF4718" s="10"/>
      <c r="AG4718" s="10"/>
      <c r="AH4718" s="10"/>
      <c r="AI4718" s="10"/>
    </row>
    <row r="4719" spans="28:35" ht="15" hidden="1" customHeight="1">
      <c r="AB4719" s="9"/>
      <c r="AC4719" s="9"/>
      <c r="AD4719" s="9"/>
      <c r="AF4719" s="10"/>
      <c r="AG4719" s="10"/>
      <c r="AH4719" s="10"/>
      <c r="AI4719" s="10"/>
    </row>
    <row r="4720" spans="28:35" ht="15" hidden="1" customHeight="1">
      <c r="AB4720" s="9"/>
      <c r="AC4720" s="9"/>
      <c r="AD4720" s="9"/>
      <c r="AF4720" s="10"/>
      <c r="AG4720" s="10"/>
      <c r="AH4720" s="10"/>
      <c r="AI4720" s="10"/>
    </row>
    <row r="4721" spans="28:35" ht="15" hidden="1" customHeight="1">
      <c r="AB4721" s="9"/>
      <c r="AC4721" s="9"/>
      <c r="AD4721" s="9"/>
      <c r="AF4721" s="10"/>
      <c r="AG4721" s="10"/>
      <c r="AH4721" s="10"/>
      <c r="AI4721" s="10"/>
    </row>
    <row r="4722" spans="28:35" ht="15" hidden="1" customHeight="1">
      <c r="AB4722" s="9"/>
      <c r="AC4722" s="9"/>
      <c r="AD4722" s="9"/>
      <c r="AF4722" s="10"/>
      <c r="AG4722" s="10"/>
      <c r="AH4722" s="10"/>
      <c r="AI4722" s="10"/>
    </row>
    <row r="4723" spans="28:35" ht="15" hidden="1" customHeight="1">
      <c r="AB4723" s="9"/>
      <c r="AC4723" s="9"/>
      <c r="AD4723" s="9"/>
      <c r="AF4723" s="10"/>
      <c r="AG4723" s="10"/>
      <c r="AH4723" s="10"/>
      <c r="AI4723" s="10"/>
    </row>
    <row r="4724" spans="28:35" ht="15" hidden="1" customHeight="1">
      <c r="AB4724" s="9"/>
      <c r="AC4724" s="9"/>
      <c r="AD4724" s="9"/>
      <c r="AF4724" s="10"/>
      <c r="AG4724" s="10"/>
      <c r="AH4724" s="10"/>
      <c r="AI4724" s="10"/>
    </row>
    <row r="4725" spans="28:35" ht="15" hidden="1" customHeight="1">
      <c r="AB4725" s="9"/>
      <c r="AC4725" s="9"/>
      <c r="AD4725" s="9"/>
      <c r="AF4725" s="10"/>
      <c r="AG4725" s="10"/>
      <c r="AH4725" s="10"/>
      <c r="AI4725" s="10"/>
    </row>
    <row r="4726" spans="28:35" ht="15" hidden="1" customHeight="1">
      <c r="AB4726" s="9"/>
      <c r="AC4726" s="9"/>
      <c r="AD4726" s="9"/>
      <c r="AF4726" s="10"/>
      <c r="AG4726" s="10"/>
      <c r="AH4726" s="10"/>
      <c r="AI4726" s="10"/>
    </row>
    <row r="4727" spans="28:35" ht="15" hidden="1" customHeight="1">
      <c r="AB4727" s="9"/>
      <c r="AC4727" s="9"/>
      <c r="AD4727" s="9"/>
      <c r="AF4727" s="10"/>
      <c r="AG4727" s="10"/>
      <c r="AH4727" s="10"/>
      <c r="AI4727" s="10"/>
    </row>
    <row r="4728" spans="28:35" ht="15" hidden="1" customHeight="1">
      <c r="AB4728" s="9"/>
      <c r="AC4728" s="9"/>
      <c r="AD4728" s="9"/>
      <c r="AF4728" s="10"/>
      <c r="AG4728" s="10"/>
      <c r="AH4728" s="10"/>
      <c r="AI4728" s="10"/>
    </row>
    <row r="4729" spans="28:35" ht="15" hidden="1" customHeight="1">
      <c r="AB4729" s="9"/>
      <c r="AC4729" s="9"/>
      <c r="AD4729" s="9"/>
      <c r="AF4729" s="10"/>
      <c r="AG4729" s="10"/>
      <c r="AH4729" s="10"/>
      <c r="AI4729" s="10"/>
    </row>
    <row r="4730" spans="28:35" ht="15" hidden="1" customHeight="1">
      <c r="AB4730" s="9"/>
      <c r="AC4730" s="9"/>
      <c r="AD4730" s="9"/>
      <c r="AF4730" s="10"/>
      <c r="AG4730" s="10"/>
      <c r="AH4730" s="10"/>
      <c r="AI4730" s="10"/>
    </row>
    <row r="4731" spans="28:35" ht="15" hidden="1" customHeight="1">
      <c r="AB4731" s="9"/>
      <c r="AC4731" s="9"/>
      <c r="AD4731" s="9"/>
      <c r="AF4731" s="10"/>
      <c r="AG4731" s="10"/>
      <c r="AH4731" s="10"/>
      <c r="AI4731" s="10"/>
    </row>
    <row r="4732" spans="28:35" ht="15" hidden="1" customHeight="1">
      <c r="AB4732" s="9"/>
      <c r="AC4732" s="9"/>
      <c r="AD4732" s="9"/>
      <c r="AF4732" s="10"/>
      <c r="AG4732" s="10"/>
      <c r="AH4732" s="10"/>
      <c r="AI4732" s="10"/>
    </row>
    <row r="4733" spans="28:35" ht="15" hidden="1" customHeight="1">
      <c r="AB4733" s="9"/>
      <c r="AC4733" s="9"/>
      <c r="AD4733" s="9"/>
      <c r="AF4733" s="10"/>
      <c r="AG4733" s="10"/>
      <c r="AH4733" s="10"/>
      <c r="AI4733" s="10"/>
    </row>
    <row r="4734" spans="28:35" ht="15" hidden="1" customHeight="1">
      <c r="AB4734" s="9"/>
      <c r="AC4734" s="9"/>
      <c r="AD4734" s="9"/>
      <c r="AF4734" s="10"/>
      <c r="AG4734" s="10"/>
      <c r="AH4734" s="10"/>
      <c r="AI4734" s="10"/>
    </row>
    <row r="4735" spans="28:35" ht="15" hidden="1" customHeight="1">
      <c r="AB4735" s="9"/>
      <c r="AC4735" s="9"/>
      <c r="AD4735" s="9"/>
      <c r="AF4735" s="10"/>
      <c r="AG4735" s="10"/>
      <c r="AH4735" s="10"/>
      <c r="AI4735" s="10"/>
    </row>
    <row r="4736" spans="28:35" ht="15" hidden="1" customHeight="1">
      <c r="AB4736" s="9"/>
      <c r="AC4736" s="9"/>
      <c r="AD4736" s="9"/>
      <c r="AF4736" s="10"/>
      <c r="AG4736" s="10"/>
      <c r="AH4736" s="10"/>
      <c r="AI4736" s="10"/>
    </row>
    <row r="4737" spans="28:35" ht="15" hidden="1" customHeight="1">
      <c r="AB4737" s="9"/>
      <c r="AC4737" s="9"/>
      <c r="AD4737" s="9"/>
      <c r="AF4737" s="10"/>
      <c r="AG4737" s="10"/>
      <c r="AH4737" s="10"/>
      <c r="AI4737" s="10"/>
    </row>
    <row r="4738" spans="28:35" ht="15" hidden="1" customHeight="1">
      <c r="AB4738" s="9"/>
      <c r="AC4738" s="9"/>
      <c r="AD4738" s="9"/>
      <c r="AF4738" s="10"/>
      <c r="AG4738" s="10"/>
      <c r="AH4738" s="10"/>
      <c r="AI4738" s="10"/>
    </row>
    <row r="4739" spans="28:35" ht="15" hidden="1" customHeight="1">
      <c r="AB4739" s="9"/>
      <c r="AC4739" s="9"/>
      <c r="AD4739" s="9"/>
      <c r="AF4739" s="10"/>
      <c r="AG4739" s="10"/>
      <c r="AH4739" s="10"/>
      <c r="AI4739" s="10"/>
    </row>
    <row r="4740" spans="28:35" ht="15" hidden="1" customHeight="1">
      <c r="AB4740" s="9"/>
      <c r="AC4740" s="9"/>
      <c r="AD4740" s="9"/>
      <c r="AF4740" s="10"/>
      <c r="AG4740" s="10"/>
      <c r="AH4740" s="10"/>
      <c r="AI4740" s="10"/>
    </row>
    <row r="4741" spans="28:35" ht="15" hidden="1" customHeight="1">
      <c r="AB4741" s="9"/>
      <c r="AC4741" s="9"/>
      <c r="AD4741" s="9"/>
      <c r="AF4741" s="10"/>
      <c r="AG4741" s="10"/>
      <c r="AH4741" s="10"/>
      <c r="AI4741" s="10"/>
    </row>
    <row r="4742" spans="28:35" ht="15" hidden="1" customHeight="1">
      <c r="AB4742" s="9"/>
      <c r="AC4742" s="9"/>
      <c r="AD4742" s="9"/>
      <c r="AF4742" s="10"/>
      <c r="AG4742" s="10"/>
      <c r="AH4742" s="10"/>
      <c r="AI4742" s="10"/>
    </row>
    <row r="4743" spans="28:35" ht="15" hidden="1" customHeight="1">
      <c r="AB4743" s="9"/>
      <c r="AC4743" s="9"/>
      <c r="AD4743" s="9"/>
      <c r="AF4743" s="10"/>
      <c r="AG4743" s="10"/>
      <c r="AH4743" s="10"/>
      <c r="AI4743" s="10"/>
    </row>
    <row r="4744" spans="28:35" ht="15" hidden="1" customHeight="1">
      <c r="AB4744" s="9"/>
      <c r="AC4744" s="9"/>
      <c r="AD4744" s="9"/>
      <c r="AF4744" s="10"/>
      <c r="AG4744" s="10"/>
      <c r="AH4744" s="10"/>
      <c r="AI4744" s="10"/>
    </row>
    <row r="4745" spans="28:35" ht="15" hidden="1" customHeight="1">
      <c r="AB4745" s="9"/>
      <c r="AC4745" s="9"/>
      <c r="AD4745" s="9"/>
      <c r="AF4745" s="10"/>
      <c r="AG4745" s="10"/>
      <c r="AH4745" s="10"/>
      <c r="AI4745" s="10"/>
    </row>
    <row r="4746" spans="28:35" ht="15" hidden="1" customHeight="1">
      <c r="AB4746" s="9"/>
      <c r="AC4746" s="9"/>
      <c r="AD4746" s="9"/>
      <c r="AF4746" s="10"/>
      <c r="AG4746" s="10"/>
      <c r="AH4746" s="10"/>
      <c r="AI4746" s="10"/>
    </row>
    <row r="4747" spans="28:35" ht="15" hidden="1" customHeight="1">
      <c r="AB4747" s="9"/>
      <c r="AC4747" s="9"/>
      <c r="AD4747" s="9"/>
      <c r="AF4747" s="10"/>
      <c r="AG4747" s="10"/>
      <c r="AH4747" s="10"/>
      <c r="AI4747" s="10"/>
    </row>
    <row r="4748" spans="28:35" ht="15" hidden="1" customHeight="1">
      <c r="AB4748" s="9"/>
      <c r="AC4748" s="9"/>
      <c r="AD4748" s="9"/>
      <c r="AF4748" s="10"/>
      <c r="AG4748" s="10"/>
      <c r="AH4748" s="10"/>
      <c r="AI4748" s="10"/>
    </row>
    <row r="4749" spans="28:35" ht="15" hidden="1" customHeight="1">
      <c r="AB4749" s="9"/>
      <c r="AC4749" s="9"/>
      <c r="AD4749" s="9"/>
      <c r="AF4749" s="10"/>
      <c r="AG4749" s="10"/>
      <c r="AH4749" s="10"/>
      <c r="AI4749" s="10"/>
    </row>
    <row r="4750" spans="28:35" ht="15" hidden="1" customHeight="1">
      <c r="AB4750" s="9"/>
      <c r="AC4750" s="9"/>
      <c r="AD4750" s="9"/>
      <c r="AF4750" s="10"/>
      <c r="AG4750" s="10"/>
      <c r="AH4750" s="10"/>
      <c r="AI4750" s="10"/>
    </row>
    <row r="4751" spans="28:35" ht="15" hidden="1" customHeight="1">
      <c r="AB4751" s="9"/>
      <c r="AC4751" s="9"/>
      <c r="AD4751" s="9"/>
      <c r="AF4751" s="10"/>
      <c r="AG4751" s="10"/>
      <c r="AH4751" s="10"/>
      <c r="AI4751" s="10"/>
    </row>
    <row r="4752" spans="28:35" ht="15" hidden="1" customHeight="1">
      <c r="AB4752" s="9"/>
      <c r="AC4752" s="9"/>
      <c r="AD4752" s="9"/>
      <c r="AF4752" s="10"/>
      <c r="AG4752" s="10"/>
      <c r="AH4752" s="10"/>
      <c r="AI4752" s="10"/>
    </row>
    <row r="4753" spans="28:35" ht="15" hidden="1" customHeight="1">
      <c r="AB4753" s="9"/>
      <c r="AC4753" s="9"/>
      <c r="AD4753" s="9"/>
      <c r="AF4753" s="10"/>
      <c r="AG4753" s="10"/>
      <c r="AH4753" s="10"/>
      <c r="AI4753" s="10"/>
    </row>
    <row r="4754" spans="28:35" ht="15" hidden="1" customHeight="1">
      <c r="AB4754" s="9"/>
      <c r="AC4754" s="9"/>
      <c r="AD4754" s="9"/>
      <c r="AF4754" s="10"/>
      <c r="AG4754" s="10"/>
      <c r="AH4754" s="10"/>
      <c r="AI4754" s="10"/>
    </row>
    <row r="4755" spans="28:35" ht="15" hidden="1" customHeight="1">
      <c r="AB4755" s="9"/>
      <c r="AC4755" s="9"/>
      <c r="AD4755" s="9"/>
      <c r="AF4755" s="10"/>
      <c r="AG4755" s="10"/>
      <c r="AH4755" s="10"/>
      <c r="AI4755" s="10"/>
    </row>
    <row r="4756" spans="28:35" ht="15" hidden="1" customHeight="1">
      <c r="AB4756" s="9"/>
      <c r="AC4756" s="9"/>
      <c r="AD4756" s="9"/>
      <c r="AF4756" s="10"/>
      <c r="AG4756" s="10"/>
      <c r="AH4756" s="10"/>
      <c r="AI4756" s="10"/>
    </row>
    <row r="4757" spans="28:35" ht="15" hidden="1" customHeight="1">
      <c r="AB4757" s="9"/>
      <c r="AC4757" s="9"/>
      <c r="AD4757" s="9"/>
      <c r="AF4757" s="10"/>
      <c r="AG4757" s="10"/>
      <c r="AH4757" s="10"/>
      <c r="AI4757" s="10"/>
    </row>
    <row r="4758" spans="28:35" ht="15" hidden="1" customHeight="1">
      <c r="AB4758" s="9"/>
      <c r="AC4758" s="9"/>
      <c r="AD4758" s="9"/>
      <c r="AF4758" s="10"/>
      <c r="AG4758" s="10"/>
      <c r="AH4758" s="10"/>
      <c r="AI4758" s="10"/>
    </row>
    <row r="4759" spans="28:35" ht="15" hidden="1" customHeight="1">
      <c r="AB4759" s="9"/>
      <c r="AC4759" s="9"/>
      <c r="AD4759" s="9"/>
      <c r="AF4759" s="10"/>
      <c r="AG4759" s="10"/>
      <c r="AH4759" s="10"/>
      <c r="AI4759" s="10"/>
    </row>
    <row r="4760" spans="28:35" ht="15" hidden="1" customHeight="1">
      <c r="AB4760" s="9"/>
      <c r="AC4760" s="9"/>
      <c r="AD4760" s="9"/>
      <c r="AF4760" s="10"/>
      <c r="AG4760" s="10"/>
      <c r="AH4760" s="10"/>
      <c r="AI4760" s="10"/>
    </row>
    <row r="4761" spans="28:35" ht="15" hidden="1" customHeight="1">
      <c r="AB4761" s="9"/>
      <c r="AC4761" s="9"/>
      <c r="AD4761" s="9"/>
      <c r="AF4761" s="10"/>
      <c r="AG4761" s="10"/>
      <c r="AH4761" s="10"/>
      <c r="AI4761" s="10"/>
    </row>
    <row r="4762" spans="28:35" ht="15" hidden="1" customHeight="1">
      <c r="AB4762" s="9"/>
      <c r="AC4762" s="9"/>
      <c r="AD4762" s="9"/>
      <c r="AF4762" s="10"/>
      <c r="AG4762" s="10"/>
      <c r="AH4762" s="10"/>
      <c r="AI4762" s="10"/>
    </row>
    <row r="4763" spans="28:35" ht="15" hidden="1" customHeight="1">
      <c r="AB4763" s="9"/>
      <c r="AC4763" s="9"/>
      <c r="AD4763" s="9"/>
      <c r="AF4763" s="10"/>
      <c r="AG4763" s="10"/>
      <c r="AH4763" s="10"/>
      <c r="AI4763" s="10"/>
    </row>
    <row r="4764" spans="28:35" ht="15" hidden="1" customHeight="1">
      <c r="AB4764" s="9"/>
      <c r="AC4764" s="9"/>
      <c r="AD4764" s="9"/>
      <c r="AF4764" s="10"/>
      <c r="AG4764" s="10"/>
      <c r="AH4764" s="10"/>
      <c r="AI4764" s="10"/>
    </row>
    <row r="4765" spans="28:35" ht="15" hidden="1" customHeight="1">
      <c r="AB4765" s="9"/>
      <c r="AC4765" s="9"/>
      <c r="AD4765" s="9"/>
      <c r="AF4765" s="10"/>
      <c r="AG4765" s="10"/>
      <c r="AH4765" s="10"/>
      <c r="AI4765" s="10"/>
    </row>
    <row r="4766" spans="28:35" ht="15" hidden="1" customHeight="1">
      <c r="AB4766" s="9"/>
      <c r="AC4766" s="9"/>
      <c r="AD4766" s="9"/>
      <c r="AF4766" s="10"/>
      <c r="AG4766" s="10"/>
      <c r="AH4766" s="10"/>
      <c r="AI4766" s="10"/>
    </row>
    <row r="4767" spans="28:35" ht="15" hidden="1" customHeight="1">
      <c r="AB4767" s="9"/>
      <c r="AC4767" s="9"/>
      <c r="AD4767" s="9"/>
      <c r="AF4767" s="10"/>
      <c r="AG4767" s="10"/>
      <c r="AH4767" s="10"/>
      <c r="AI4767" s="10"/>
    </row>
    <row r="4768" spans="28:35" ht="15" hidden="1" customHeight="1">
      <c r="AB4768" s="9"/>
      <c r="AC4768" s="9"/>
      <c r="AD4768" s="9"/>
      <c r="AF4768" s="10"/>
      <c r="AG4768" s="10"/>
      <c r="AH4768" s="10"/>
      <c r="AI4768" s="10"/>
    </row>
    <row r="4769" spans="28:35" ht="15" hidden="1" customHeight="1">
      <c r="AB4769" s="9"/>
      <c r="AC4769" s="9"/>
      <c r="AD4769" s="9"/>
      <c r="AF4769" s="10"/>
      <c r="AG4769" s="10"/>
      <c r="AH4769" s="10"/>
      <c r="AI4769" s="10"/>
    </row>
    <row r="4770" spans="28:35" ht="15" hidden="1" customHeight="1">
      <c r="AB4770" s="9"/>
      <c r="AC4770" s="9"/>
      <c r="AD4770" s="9"/>
      <c r="AF4770" s="10"/>
      <c r="AG4770" s="10"/>
      <c r="AH4770" s="10"/>
      <c r="AI4770" s="10"/>
    </row>
    <row r="4771" spans="28:35" ht="15" hidden="1" customHeight="1">
      <c r="AB4771" s="9"/>
      <c r="AC4771" s="9"/>
      <c r="AD4771" s="9"/>
      <c r="AF4771" s="10"/>
      <c r="AG4771" s="10"/>
      <c r="AH4771" s="10"/>
      <c r="AI4771" s="10"/>
    </row>
    <row r="4772" spans="28:35" ht="15" hidden="1" customHeight="1">
      <c r="AB4772" s="9"/>
      <c r="AC4772" s="9"/>
      <c r="AD4772" s="9"/>
      <c r="AF4772" s="10"/>
      <c r="AG4772" s="10"/>
      <c r="AH4772" s="10"/>
      <c r="AI4772" s="10"/>
    </row>
    <row r="4773" spans="28:35" ht="15" hidden="1" customHeight="1">
      <c r="AB4773" s="9"/>
      <c r="AC4773" s="9"/>
      <c r="AD4773" s="9"/>
      <c r="AF4773" s="10"/>
      <c r="AG4773" s="10"/>
      <c r="AH4773" s="10"/>
      <c r="AI4773" s="10"/>
    </row>
    <row r="4774" spans="28:35" ht="15" hidden="1" customHeight="1">
      <c r="AB4774" s="9"/>
      <c r="AC4774" s="9"/>
      <c r="AD4774" s="9"/>
      <c r="AF4774" s="10"/>
      <c r="AG4774" s="10"/>
      <c r="AH4774" s="10"/>
      <c r="AI4774" s="10"/>
    </row>
    <row r="4775" spans="28:35" ht="15" hidden="1" customHeight="1">
      <c r="AB4775" s="9"/>
      <c r="AC4775" s="9"/>
      <c r="AD4775" s="9"/>
      <c r="AF4775" s="10"/>
      <c r="AG4775" s="10"/>
      <c r="AH4775" s="10"/>
      <c r="AI4775" s="10"/>
    </row>
    <row r="4776" spans="28:35" ht="15" hidden="1" customHeight="1">
      <c r="AB4776" s="9"/>
      <c r="AC4776" s="9"/>
      <c r="AD4776" s="9"/>
      <c r="AF4776" s="10"/>
      <c r="AG4776" s="10"/>
      <c r="AH4776" s="10"/>
      <c r="AI4776" s="10"/>
    </row>
    <row r="4777" spans="28:35" ht="15" hidden="1" customHeight="1">
      <c r="AB4777" s="9"/>
      <c r="AC4777" s="9"/>
      <c r="AD4777" s="9"/>
      <c r="AF4777" s="10"/>
      <c r="AG4777" s="10"/>
      <c r="AH4777" s="10"/>
      <c r="AI4777" s="10"/>
    </row>
    <row r="4778" spans="28:35" ht="15" hidden="1" customHeight="1">
      <c r="AB4778" s="9"/>
      <c r="AC4778" s="9"/>
      <c r="AD4778" s="9"/>
      <c r="AF4778" s="10"/>
      <c r="AG4778" s="10"/>
      <c r="AH4778" s="10"/>
      <c r="AI4778" s="10"/>
    </row>
    <row r="4779" spans="28:35" ht="15" hidden="1" customHeight="1">
      <c r="AB4779" s="9"/>
      <c r="AC4779" s="9"/>
      <c r="AD4779" s="9"/>
      <c r="AF4779" s="10"/>
      <c r="AG4779" s="10"/>
      <c r="AH4779" s="10"/>
      <c r="AI4779" s="10"/>
    </row>
    <row r="4780" spans="28:35" ht="15" hidden="1" customHeight="1">
      <c r="AB4780" s="9"/>
      <c r="AC4780" s="9"/>
      <c r="AD4780" s="9"/>
      <c r="AF4780" s="10"/>
      <c r="AG4780" s="10"/>
      <c r="AH4780" s="10"/>
      <c r="AI4780" s="10"/>
    </row>
    <row r="4781" spans="28:35" ht="15" hidden="1" customHeight="1">
      <c r="AB4781" s="9"/>
      <c r="AC4781" s="9"/>
      <c r="AD4781" s="9"/>
      <c r="AF4781" s="10"/>
      <c r="AG4781" s="10"/>
      <c r="AH4781" s="10"/>
      <c r="AI4781" s="10"/>
    </row>
    <row r="4782" spans="28:35" ht="15" hidden="1" customHeight="1">
      <c r="AB4782" s="9"/>
      <c r="AC4782" s="9"/>
      <c r="AD4782" s="9"/>
      <c r="AF4782" s="10"/>
      <c r="AG4782" s="10"/>
      <c r="AH4782" s="10"/>
      <c r="AI4782" s="10"/>
    </row>
    <row r="4783" spans="28:35" ht="15" hidden="1" customHeight="1">
      <c r="AB4783" s="9"/>
      <c r="AC4783" s="9"/>
      <c r="AD4783" s="9"/>
      <c r="AF4783" s="10"/>
      <c r="AG4783" s="10"/>
      <c r="AH4783" s="10"/>
      <c r="AI4783" s="10"/>
    </row>
    <row r="4784" spans="28:35" ht="15" hidden="1" customHeight="1">
      <c r="AB4784" s="9"/>
      <c r="AC4784" s="9"/>
      <c r="AD4784" s="9"/>
      <c r="AF4784" s="10"/>
      <c r="AG4784" s="10"/>
      <c r="AH4784" s="10"/>
      <c r="AI4784" s="10"/>
    </row>
    <row r="4785" spans="28:35" ht="15" hidden="1" customHeight="1">
      <c r="AB4785" s="9"/>
      <c r="AC4785" s="9"/>
      <c r="AD4785" s="9"/>
      <c r="AF4785" s="10"/>
      <c r="AG4785" s="10"/>
      <c r="AH4785" s="10"/>
      <c r="AI4785" s="10"/>
    </row>
    <row r="4786" spans="28:35" ht="15" hidden="1" customHeight="1">
      <c r="AB4786" s="9"/>
      <c r="AC4786" s="9"/>
      <c r="AD4786" s="9"/>
      <c r="AF4786" s="10"/>
      <c r="AG4786" s="10"/>
      <c r="AH4786" s="10"/>
      <c r="AI4786" s="10"/>
    </row>
    <row r="4787" spans="28:35" ht="15" hidden="1" customHeight="1">
      <c r="AB4787" s="9"/>
      <c r="AC4787" s="9"/>
      <c r="AD4787" s="9"/>
      <c r="AF4787" s="10"/>
      <c r="AG4787" s="10"/>
      <c r="AH4787" s="10"/>
      <c r="AI4787" s="10"/>
    </row>
    <row r="4788" spans="28:35" ht="15" hidden="1" customHeight="1">
      <c r="AB4788" s="9"/>
      <c r="AC4788" s="9"/>
      <c r="AD4788" s="9"/>
      <c r="AF4788" s="10"/>
      <c r="AG4788" s="10"/>
      <c r="AH4788" s="10"/>
      <c r="AI4788" s="10"/>
    </row>
    <row r="4789" spans="28:35" ht="15" hidden="1" customHeight="1">
      <c r="AB4789" s="9"/>
      <c r="AC4789" s="9"/>
      <c r="AD4789" s="9"/>
      <c r="AF4789" s="10"/>
      <c r="AG4789" s="10"/>
      <c r="AH4789" s="10"/>
      <c r="AI4789" s="10"/>
    </row>
    <row r="4790" spans="28:35" ht="15" hidden="1" customHeight="1">
      <c r="AB4790" s="9"/>
      <c r="AC4790" s="9"/>
      <c r="AD4790" s="9"/>
      <c r="AF4790" s="10"/>
      <c r="AG4790" s="10"/>
      <c r="AH4790" s="10"/>
      <c r="AI4790" s="10"/>
    </row>
    <row r="4791" spans="28:35" ht="15" hidden="1" customHeight="1">
      <c r="AB4791" s="9"/>
      <c r="AC4791" s="9"/>
      <c r="AD4791" s="9"/>
      <c r="AF4791" s="10"/>
      <c r="AG4791" s="10"/>
      <c r="AH4791" s="10"/>
      <c r="AI4791" s="10"/>
    </row>
    <row r="4792" spans="28:35" ht="15" hidden="1" customHeight="1">
      <c r="AB4792" s="9"/>
      <c r="AC4792" s="9"/>
      <c r="AD4792" s="9"/>
      <c r="AF4792" s="10"/>
      <c r="AG4792" s="10"/>
      <c r="AH4792" s="10"/>
      <c r="AI4792" s="10"/>
    </row>
    <row r="4793" spans="28:35" ht="15" hidden="1" customHeight="1">
      <c r="AB4793" s="9"/>
      <c r="AC4793" s="9"/>
      <c r="AD4793" s="9"/>
      <c r="AF4793" s="10"/>
      <c r="AG4793" s="10"/>
      <c r="AH4793" s="10"/>
      <c r="AI4793" s="10"/>
    </row>
    <row r="4794" spans="28:35" ht="15" hidden="1" customHeight="1">
      <c r="AB4794" s="9"/>
      <c r="AC4794" s="9"/>
      <c r="AD4794" s="9"/>
      <c r="AF4794" s="10"/>
      <c r="AG4794" s="10"/>
      <c r="AH4794" s="10"/>
      <c r="AI4794" s="10"/>
    </row>
    <row r="4795" spans="28:35" ht="15" hidden="1" customHeight="1">
      <c r="AB4795" s="9"/>
      <c r="AC4795" s="9"/>
      <c r="AD4795" s="9"/>
      <c r="AF4795" s="10"/>
      <c r="AG4795" s="10"/>
      <c r="AH4795" s="10"/>
      <c r="AI4795" s="10"/>
    </row>
    <row r="4796" spans="28:35" ht="15" hidden="1" customHeight="1">
      <c r="AB4796" s="9"/>
      <c r="AC4796" s="9"/>
      <c r="AD4796" s="9"/>
      <c r="AF4796" s="10"/>
      <c r="AG4796" s="10"/>
      <c r="AH4796" s="10"/>
      <c r="AI4796" s="10"/>
    </row>
    <row r="4797" spans="28:35" ht="15" hidden="1" customHeight="1">
      <c r="AB4797" s="9"/>
      <c r="AC4797" s="9"/>
      <c r="AD4797" s="9"/>
      <c r="AF4797" s="10"/>
      <c r="AG4797" s="10"/>
      <c r="AH4797" s="10"/>
      <c r="AI4797" s="10"/>
    </row>
    <row r="4798" spans="28:35" ht="15" hidden="1" customHeight="1">
      <c r="AB4798" s="9"/>
      <c r="AC4798" s="9"/>
      <c r="AD4798" s="9"/>
      <c r="AF4798" s="10"/>
      <c r="AG4798" s="10"/>
      <c r="AH4798" s="10"/>
      <c r="AI4798" s="10"/>
    </row>
    <row r="4799" spans="28:35" ht="15" hidden="1" customHeight="1">
      <c r="AB4799" s="9"/>
      <c r="AC4799" s="9"/>
      <c r="AD4799" s="9"/>
      <c r="AF4799" s="10"/>
      <c r="AG4799" s="10"/>
      <c r="AH4799" s="10"/>
      <c r="AI4799" s="10"/>
    </row>
    <row r="4800" spans="28:35" ht="15" hidden="1" customHeight="1">
      <c r="AB4800" s="9"/>
      <c r="AC4800" s="9"/>
      <c r="AD4800" s="9"/>
      <c r="AF4800" s="10"/>
      <c r="AG4800" s="10"/>
      <c r="AH4800" s="10"/>
      <c r="AI4800" s="10"/>
    </row>
    <row r="4801" spans="28:35" ht="15" hidden="1" customHeight="1">
      <c r="AB4801" s="9"/>
      <c r="AC4801" s="9"/>
      <c r="AD4801" s="9"/>
      <c r="AF4801" s="10"/>
      <c r="AG4801" s="10"/>
      <c r="AH4801" s="10"/>
      <c r="AI4801" s="10"/>
    </row>
    <row r="4802" spans="28:35" ht="15" hidden="1" customHeight="1">
      <c r="AB4802" s="9"/>
      <c r="AC4802" s="9"/>
      <c r="AD4802" s="9"/>
      <c r="AF4802" s="10"/>
      <c r="AG4802" s="10"/>
      <c r="AH4802" s="10"/>
      <c r="AI4802" s="10"/>
    </row>
    <row r="4803" spans="28:35" ht="15" hidden="1" customHeight="1">
      <c r="AB4803" s="9"/>
      <c r="AC4803" s="9"/>
      <c r="AD4803" s="9"/>
      <c r="AF4803" s="10"/>
      <c r="AG4803" s="10"/>
      <c r="AH4803" s="10"/>
      <c r="AI4803" s="10"/>
    </row>
    <row r="4804" spans="28:35" ht="15" hidden="1" customHeight="1">
      <c r="AB4804" s="9"/>
      <c r="AC4804" s="9"/>
      <c r="AD4804" s="9"/>
      <c r="AF4804" s="10"/>
      <c r="AG4804" s="10"/>
      <c r="AH4804" s="10"/>
      <c r="AI4804" s="10"/>
    </row>
    <row r="4805" spans="28:35" ht="15" hidden="1" customHeight="1">
      <c r="AB4805" s="9"/>
      <c r="AC4805" s="9"/>
      <c r="AD4805" s="9"/>
      <c r="AF4805" s="10"/>
      <c r="AG4805" s="10"/>
      <c r="AH4805" s="10"/>
      <c r="AI4805" s="10"/>
    </row>
    <row r="4806" spans="28:35" ht="15" hidden="1" customHeight="1">
      <c r="AB4806" s="9"/>
      <c r="AC4806" s="9"/>
      <c r="AD4806" s="9"/>
      <c r="AF4806" s="10"/>
      <c r="AG4806" s="10"/>
      <c r="AH4806" s="10"/>
      <c r="AI4806" s="10"/>
    </row>
    <row r="4807" spans="28:35" ht="15" hidden="1" customHeight="1">
      <c r="AB4807" s="9"/>
      <c r="AC4807" s="9"/>
      <c r="AD4807" s="9"/>
      <c r="AF4807" s="10"/>
      <c r="AG4807" s="10"/>
      <c r="AH4807" s="10"/>
      <c r="AI4807" s="10"/>
    </row>
    <row r="4808" spans="28:35" ht="15" hidden="1" customHeight="1">
      <c r="AB4808" s="9"/>
      <c r="AC4808" s="9"/>
      <c r="AD4808" s="9"/>
      <c r="AF4808" s="10"/>
      <c r="AG4808" s="10"/>
      <c r="AH4808" s="10"/>
      <c r="AI4808" s="10"/>
    </row>
    <row r="4809" spans="28:35" ht="15" hidden="1" customHeight="1">
      <c r="AB4809" s="9"/>
      <c r="AC4809" s="9"/>
      <c r="AD4809" s="9"/>
      <c r="AF4809" s="10"/>
      <c r="AG4809" s="10"/>
      <c r="AH4809" s="10"/>
      <c r="AI4809" s="10"/>
    </row>
    <row r="4810" spans="28:35" ht="15" hidden="1" customHeight="1">
      <c r="AB4810" s="9"/>
      <c r="AC4810" s="9"/>
      <c r="AD4810" s="9"/>
      <c r="AF4810" s="10"/>
      <c r="AG4810" s="10"/>
      <c r="AH4810" s="10"/>
      <c r="AI4810" s="10"/>
    </row>
    <row r="4811" spans="28:35" ht="15" hidden="1" customHeight="1">
      <c r="AB4811" s="9"/>
      <c r="AC4811" s="9"/>
      <c r="AD4811" s="9"/>
      <c r="AF4811" s="10"/>
      <c r="AG4811" s="10"/>
      <c r="AH4811" s="10"/>
      <c r="AI4811" s="10"/>
    </row>
    <row r="4812" spans="28:35" ht="15" hidden="1" customHeight="1">
      <c r="AB4812" s="9"/>
      <c r="AC4812" s="9"/>
      <c r="AD4812" s="9"/>
      <c r="AF4812" s="10"/>
      <c r="AG4812" s="10"/>
      <c r="AH4812" s="10"/>
      <c r="AI4812" s="10"/>
    </row>
    <row r="4813" spans="28:35" ht="15" hidden="1" customHeight="1">
      <c r="AB4813" s="9"/>
      <c r="AC4813" s="9"/>
      <c r="AD4813" s="9"/>
      <c r="AF4813" s="10"/>
      <c r="AG4813" s="10"/>
      <c r="AH4813" s="10"/>
      <c r="AI4813" s="10"/>
    </row>
    <row r="4814" spans="28:35" ht="15" hidden="1" customHeight="1">
      <c r="AB4814" s="9"/>
      <c r="AC4814" s="9"/>
      <c r="AD4814" s="9"/>
      <c r="AF4814" s="10"/>
      <c r="AG4814" s="10"/>
      <c r="AH4814" s="10"/>
      <c r="AI4814" s="10"/>
    </row>
    <row r="4815" spans="28:35" ht="15" hidden="1" customHeight="1">
      <c r="AB4815" s="9"/>
      <c r="AC4815" s="9"/>
      <c r="AD4815" s="9"/>
      <c r="AF4815" s="10"/>
      <c r="AG4815" s="10"/>
      <c r="AH4815" s="10"/>
      <c r="AI4815" s="10"/>
    </row>
    <row r="4816" spans="28:35" ht="15" hidden="1" customHeight="1">
      <c r="AB4816" s="9"/>
      <c r="AC4816" s="9"/>
      <c r="AD4816" s="9"/>
      <c r="AF4816" s="10"/>
      <c r="AG4816" s="10"/>
      <c r="AH4816" s="10"/>
      <c r="AI4816" s="10"/>
    </row>
    <row r="4817" spans="28:35" ht="15" hidden="1" customHeight="1">
      <c r="AB4817" s="9"/>
      <c r="AC4817" s="9"/>
      <c r="AD4817" s="9"/>
      <c r="AF4817" s="10"/>
      <c r="AG4817" s="10"/>
      <c r="AH4817" s="10"/>
      <c r="AI4817" s="10"/>
    </row>
    <row r="4818" spans="28:35" ht="15" hidden="1" customHeight="1">
      <c r="AB4818" s="9"/>
      <c r="AC4818" s="9"/>
      <c r="AD4818" s="9"/>
      <c r="AF4818" s="10"/>
      <c r="AG4818" s="10"/>
      <c r="AH4818" s="10"/>
      <c r="AI4818" s="10"/>
    </row>
    <row r="4819" spans="28:35" ht="15" hidden="1" customHeight="1">
      <c r="AB4819" s="9"/>
      <c r="AC4819" s="9"/>
      <c r="AD4819" s="9"/>
      <c r="AF4819" s="10"/>
      <c r="AG4819" s="10"/>
      <c r="AH4819" s="10"/>
      <c r="AI4819" s="10"/>
    </row>
    <row r="4820" spans="28:35" ht="15" hidden="1" customHeight="1">
      <c r="AB4820" s="9"/>
      <c r="AC4820" s="9"/>
      <c r="AD4820" s="9"/>
      <c r="AF4820" s="10"/>
      <c r="AG4820" s="10"/>
      <c r="AH4820" s="10"/>
      <c r="AI4820" s="10"/>
    </row>
    <row r="4821" spans="28:35" ht="15" hidden="1" customHeight="1">
      <c r="AB4821" s="9"/>
      <c r="AC4821" s="9"/>
      <c r="AD4821" s="9"/>
      <c r="AF4821" s="10"/>
      <c r="AG4821" s="10"/>
      <c r="AH4821" s="10"/>
      <c r="AI4821" s="10"/>
    </row>
    <row r="4822" spans="28:35" ht="15" hidden="1" customHeight="1">
      <c r="AB4822" s="9"/>
      <c r="AC4822" s="9"/>
      <c r="AD4822" s="9"/>
      <c r="AF4822" s="10"/>
      <c r="AG4822" s="10"/>
      <c r="AH4822" s="10"/>
      <c r="AI4822" s="10"/>
    </row>
    <row r="4823" spans="28:35" ht="15" hidden="1" customHeight="1">
      <c r="AB4823" s="9"/>
      <c r="AC4823" s="9"/>
      <c r="AD4823" s="9"/>
      <c r="AF4823" s="10"/>
      <c r="AG4823" s="10"/>
      <c r="AH4823" s="10"/>
      <c r="AI4823" s="10"/>
    </row>
    <row r="4824" spans="28:35" ht="15" hidden="1" customHeight="1">
      <c r="AB4824" s="9"/>
      <c r="AC4824" s="9"/>
      <c r="AD4824" s="9"/>
      <c r="AF4824" s="10"/>
      <c r="AG4824" s="10"/>
      <c r="AH4824" s="10"/>
      <c r="AI4824" s="10"/>
    </row>
    <row r="4825" spans="28:35" ht="15" hidden="1" customHeight="1">
      <c r="AB4825" s="9"/>
      <c r="AC4825" s="9"/>
      <c r="AD4825" s="9"/>
      <c r="AF4825" s="10"/>
      <c r="AG4825" s="10"/>
      <c r="AH4825" s="10"/>
      <c r="AI4825" s="10"/>
    </row>
    <row r="4826" spans="28:35" ht="15" hidden="1" customHeight="1">
      <c r="AB4826" s="9"/>
      <c r="AC4826" s="9"/>
      <c r="AD4826" s="9"/>
      <c r="AF4826" s="10"/>
      <c r="AG4826" s="10"/>
      <c r="AH4826" s="10"/>
      <c r="AI4826" s="10"/>
    </row>
    <row r="4827" spans="28:35" ht="15" hidden="1" customHeight="1">
      <c r="AB4827" s="9"/>
      <c r="AC4827" s="9"/>
      <c r="AD4827" s="9"/>
      <c r="AF4827" s="10"/>
      <c r="AG4827" s="10"/>
      <c r="AH4827" s="10"/>
      <c r="AI4827" s="10"/>
    </row>
    <row r="4828" spans="28:35" ht="15" hidden="1" customHeight="1">
      <c r="AB4828" s="9"/>
      <c r="AC4828" s="9"/>
      <c r="AD4828" s="9"/>
      <c r="AF4828" s="10"/>
      <c r="AG4828" s="10"/>
      <c r="AH4828" s="10"/>
      <c r="AI4828" s="10"/>
    </row>
    <row r="4829" spans="28:35" ht="15" hidden="1" customHeight="1">
      <c r="AB4829" s="9"/>
      <c r="AC4829" s="9"/>
      <c r="AD4829" s="9"/>
      <c r="AF4829" s="10"/>
      <c r="AG4829" s="10"/>
      <c r="AH4829" s="10"/>
      <c r="AI4829" s="10"/>
    </row>
    <row r="4830" spans="28:35" ht="15" hidden="1" customHeight="1">
      <c r="AB4830" s="9"/>
      <c r="AC4830" s="9"/>
      <c r="AD4830" s="9"/>
      <c r="AF4830" s="10"/>
      <c r="AG4830" s="10"/>
      <c r="AH4830" s="10"/>
      <c r="AI4830" s="10"/>
    </row>
    <row r="4831" spans="28:35" ht="15" hidden="1" customHeight="1">
      <c r="AB4831" s="9"/>
      <c r="AC4831" s="9"/>
      <c r="AD4831" s="9"/>
      <c r="AF4831" s="10"/>
      <c r="AG4831" s="10"/>
      <c r="AH4831" s="10"/>
      <c r="AI4831" s="10"/>
    </row>
    <row r="4832" spans="28:35" ht="15" hidden="1" customHeight="1">
      <c r="AB4832" s="9"/>
      <c r="AC4832" s="9"/>
      <c r="AD4832" s="9"/>
      <c r="AF4832" s="10"/>
      <c r="AG4832" s="10"/>
      <c r="AH4832" s="10"/>
      <c r="AI4832" s="10"/>
    </row>
    <row r="4833" spans="28:35" ht="15" hidden="1" customHeight="1">
      <c r="AB4833" s="9"/>
      <c r="AC4833" s="9"/>
      <c r="AD4833" s="9"/>
      <c r="AF4833" s="10"/>
      <c r="AG4833" s="10"/>
      <c r="AH4833" s="10"/>
      <c r="AI4833" s="10"/>
    </row>
    <row r="4834" spans="28:35" ht="15" hidden="1" customHeight="1">
      <c r="AB4834" s="9"/>
      <c r="AC4834" s="9"/>
      <c r="AD4834" s="9"/>
      <c r="AF4834" s="10"/>
      <c r="AG4834" s="10"/>
      <c r="AH4834" s="10"/>
      <c r="AI4834" s="10"/>
    </row>
    <row r="4835" spans="28:35" ht="15" hidden="1" customHeight="1">
      <c r="AB4835" s="9"/>
      <c r="AC4835" s="9"/>
      <c r="AD4835" s="9"/>
      <c r="AF4835" s="10"/>
      <c r="AG4835" s="10"/>
      <c r="AH4835" s="10"/>
      <c r="AI4835" s="10"/>
    </row>
    <row r="4836" spans="28:35" ht="15" hidden="1" customHeight="1">
      <c r="AB4836" s="9"/>
      <c r="AC4836" s="9"/>
      <c r="AD4836" s="9"/>
      <c r="AF4836" s="10"/>
      <c r="AG4836" s="10"/>
      <c r="AH4836" s="10"/>
      <c r="AI4836" s="10"/>
    </row>
    <row r="4837" spans="28:35" ht="15" hidden="1" customHeight="1">
      <c r="AB4837" s="9"/>
      <c r="AC4837" s="9"/>
      <c r="AD4837" s="9"/>
      <c r="AF4837" s="10"/>
      <c r="AG4837" s="10"/>
      <c r="AH4837" s="10"/>
      <c r="AI4837" s="10"/>
    </row>
    <row r="4838" spans="28:35" ht="15" hidden="1" customHeight="1">
      <c r="AB4838" s="9"/>
      <c r="AC4838" s="9"/>
      <c r="AD4838" s="9"/>
      <c r="AF4838" s="10"/>
      <c r="AG4838" s="10"/>
      <c r="AH4838" s="10"/>
      <c r="AI4838" s="10"/>
    </row>
    <row r="4839" spans="28:35" ht="15" hidden="1" customHeight="1">
      <c r="AB4839" s="9"/>
      <c r="AC4839" s="9"/>
      <c r="AD4839" s="9"/>
      <c r="AF4839" s="10"/>
      <c r="AG4839" s="10"/>
      <c r="AH4839" s="10"/>
      <c r="AI4839" s="10"/>
    </row>
    <row r="4840" spans="28:35" ht="15" hidden="1" customHeight="1">
      <c r="AB4840" s="9"/>
      <c r="AC4840" s="9"/>
      <c r="AD4840" s="9"/>
      <c r="AF4840" s="10"/>
      <c r="AG4840" s="10"/>
      <c r="AH4840" s="10"/>
      <c r="AI4840" s="10"/>
    </row>
    <row r="4841" spans="28:35" ht="15" hidden="1" customHeight="1">
      <c r="AB4841" s="9"/>
      <c r="AC4841" s="9"/>
      <c r="AD4841" s="9"/>
      <c r="AF4841" s="10"/>
      <c r="AG4841" s="10"/>
      <c r="AH4841" s="10"/>
      <c r="AI4841" s="10"/>
    </row>
    <row r="4842" spans="28:35" ht="15" hidden="1" customHeight="1">
      <c r="AB4842" s="9"/>
      <c r="AC4842" s="9"/>
      <c r="AD4842" s="9"/>
      <c r="AF4842" s="10"/>
      <c r="AG4842" s="10"/>
      <c r="AH4842" s="10"/>
      <c r="AI4842" s="10"/>
    </row>
    <row r="4843" spans="28:35" ht="15" hidden="1" customHeight="1">
      <c r="AB4843" s="9"/>
      <c r="AC4843" s="9"/>
      <c r="AD4843" s="9"/>
      <c r="AF4843" s="10"/>
      <c r="AG4843" s="10"/>
      <c r="AH4843" s="10"/>
      <c r="AI4843" s="10"/>
    </row>
    <row r="4844" spans="28:35" ht="15" hidden="1" customHeight="1">
      <c r="AB4844" s="9"/>
      <c r="AC4844" s="9"/>
      <c r="AD4844" s="9"/>
      <c r="AF4844" s="10"/>
      <c r="AG4844" s="10"/>
      <c r="AH4844" s="10"/>
      <c r="AI4844" s="10"/>
    </row>
    <row r="4845" spans="28:35" ht="15" hidden="1" customHeight="1">
      <c r="AB4845" s="9"/>
      <c r="AC4845" s="9"/>
      <c r="AD4845" s="9"/>
      <c r="AF4845" s="10"/>
      <c r="AG4845" s="10"/>
      <c r="AH4845" s="10"/>
      <c r="AI4845" s="10"/>
    </row>
    <row r="4846" spans="28:35" ht="15" hidden="1" customHeight="1">
      <c r="AB4846" s="9"/>
      <c r="AC4846" s="9"/>
      <c r="AD4846" s="9"/>
      <c r="AF4846" s="10"/>
      <c r="AG4846" s="10"/>
      <c r="AH4846" s="10"/>
      <c r="AI4846" s="10"/>
    </row>
    <row r="4847" spans="28:35" ht="15" hidden="1" customHeight="1">
      <c r="AB4847" s="9"/>
      <c r="AC4847" s="9"/>
      <c r="AD4847" s="9"/>
      <c r="AF4847" s="10"/>
      <c r="AG4847" s="10"/>
      <c r="AH4847" s="10"/>
      <c r="AI4847" s="10"/>
    </row>
    <row r="4848" spans="28:35" ht="15" hidden="1" customHeight="1">
      <c r="AB4848" s="9"/>
      <c r="AC4848" s="9"/>
      <c r="AD4848" s="9"/>
      <c r="AF4848" s="10"/>
      <c r="AG4848" s="10"/>
      <c r="AH4848" s="10"/>
      <c r="AI4848" s="10"/>
    </row>
    <row r="4849" spans="28:35" ht="15" hidden="1" customHeight="1">
      <c r="AB4849" s="9"/>
      <c r="AC4849" s="9"/>
      <c r="AD4849" s="9"/>
      <c r="AF4849" s="10"/>
      <c r="AG4849" s="10"/>
      <c r="AH4849" s="10"/>
      <c r="AI4849" s="10"/>
    </row>
    <row r="4850" spans="28:35" ht="15" hidden="1" customHeight="1">
      <c r="AB4850" s="9"/>
      <c r="AC4850" s="9"/>
      <c r="AD4850" s="9"/>
      <c r="AF4850" s="10"/>
      <c r="AG4850" s="10"/>
      <c r="AH4850" s="10"/>
      <c r="AI4850" s="10"/>
    </row>
    <row r="4851" spans="28:35" ht="15" hidden="1" customHeight="1">
      <c r="AB4851" s="9"/>
      <c r="AC4851" s="9"/>
      <c r="AD4851" s="9"/>
      <c r="AF4851" s="10"/>
      <c r="AG4851" s="10"/>
      <c r="AH4851" s="10"/>
      <c r="AI4851" s="10"/>
    </row>
    <row r="4852" spans="28:35" ht="15" hidden="1" customHeight="1">
      <c r="AB4852" s="9"/>
      <c r="AC4852" s="9"/>
      <c r="AD4852" s="9"/>
      <c r="AF4852" s="10"/>
      <c r="AG4852" s="10"/>
      <c r="AH4852" s="10"/>
      <c r="AI4852" s="10"/>
    </row>
    <row r="4853" spans="28:35" ht="15" hidden="1" customHeight="1">
      <c r="AB4853" s="9"/>
      <c r="AC4853" s="9"/>
      <c r="AD4853" s="9"/>
      <c r="AF4853" s="10"/>
      <c r="AG4853" s="10"/>
      <c r="AH4853" s="10"/>
      <c r="AI4853" s="10"/>
    </row>
    <row r="4854" spans="28:35" ht="15" hidden="1" customHeight="1">
      <c r="AB4854" s="9"/>
      <c r="AC4854" s="9"/>
      <c r="AD4854" s="9"/>
      <c r="AF4854" s="10"/>
      <c r="AG4854" s="10"/>
      <c r="AH4854" s="10"/>
      <c r="AI4854" s="10"/>
    </row>
    <row r="4855" spans="28:35" ht="15" hidden="1" customHeight="1">
      <c r="AB4855" s="9"/>
      <c r="AC4855" s="9"/>
      <c r="AD4855" s="9"/>
      <c r="AF4855" s="10"/>
      <c r="AG4855" s="10"/>
      <c r="AH4855" s="10"/>
      <c r="AI4855" s="10"/>
    </row>
    <row r="4856" spans="28:35" ht="15" hidden="1" customHeight="1">
      <c r="AB4856" s="9"/>
      <c r="AC4856" s="9"/>
      <c r="AD4856" s="9"/>
      <c r="AF4856" s="10"/>
      <c r="AG4856" s="10"/>
      <c r="AH4856" s="10"/>
      <c r="AI4856" s="10"/>
    </row>
    <row r="4857" spans="28:35" ht="15" hidden="1" customHeight="1">
      <c r="AB4857" s="9"/>
      <c r="AC4857" s="9"/>
      <c r="AD4857" s="9"/>
      <c r="AF4857" s="10"/>
      <c r="AG4857" s="10"/>
      <c r="AH4857" s="10"/>
      <c r="AI4857" s="10"/>
    </row>
    <row r="4858" spans="28:35" ht="15" hidden="1" customHeight="1">
      <c r="AB4858" s="9"/>
      <c r="AC4858" s="9"/>
      <c r="AD4858" s="9"/>
      <c r="AF4858" s="10"/>
      <c r="AG4858" s="10"/>
      <c r="AH4858" s="10"/>
      <c r="AI4858" s="10"/>
    </row>
    <row r="4859" spans="28:35" ht="15" hidden="1" customHeight="1">
      <c r="AB4859" s="9"/>
      <c r="AC4859" s="9"/>
      <c r="AD4859" s="9"/>
      <c r="AF4859" s="10"/>
      <c r="AG4859" s="10"/>
      <c r="AH4859" s="10"/>
      <c r="AI4859" s="10"/>
    </row>
    <row r="4860" spans="28:35" ht="15" hidden="1" customHeight="1">
      <c r="AB4860" s="9"/>
      <c r="AC4860" s="9"/>
      <c r="AD4860" s="9"/>
      <c r="AF4860" s="10"/>
      <c r="AG4860" s="10"/>
      <c r="AH4860" s="10"/>
      <c r="AI4860" s="10"/>
    </row>
    <row r="4861" spans="28:35" ht="15" hidden="1" customHeight="1">
      <c r="AB4861" s="9"/>
      <c r="AC4861" s="9"/>
      <c r="AD4861" s="9"/>
      <c r="AF4861" s="10"/>
      <c r="AG4861" s="10"/>
      <c r="AH4861" s="10"/>
      <c r="AI4861" s="10"/>
    </row>
    <row r="4862" spans="28:35" ht="15" hidden="1" customHeight="1">
      <c r="AB4862" s="9"/>
      <c r="AC4862" s="9"/>
      <c r="AD4862" s="9"/>
      <c r="AF4862" s="10"/>
      <c r="AG4862" s="10"/>
      <c r="AH4862" s="10"/>
      <c r="AI4862" s="10"/>
    </row>
    <row r="4863" spans="28:35" ht="15" hidden="1" customHeight="1">
      <c r="AB4863" s="9"/>
      <c r="AC4863" s="9"/>
      <c r="AD4863" s="9"/>
      <c r="AF4863" s="10"/>
      <c r="AG4863" s="10"/>
      <c r="AH4863" s="10"/>
      <c r="AI4863" s="10"/>
    </row>
    <row r="4864" spans="28:35" ht="15" hidden="1" customHeight="1">
      <c r="AB4864" s="9"/>
      <c r="AC4864" s="9"/>
      <c r="AD4864" s="9"/>
      <c r="AF4864" s="10"/>
      <c r="AG4864" s="10"/>
      <c r="AH4864" s="10"/>
      <c r="AI4864" s="10"/>
    </row>
    <row r="4865" spans="28:35" ht="15" hidden="1" customHeight="1">
      <c r="AB4865" s="9"/>
      <c r="AC4865" s="9"/>
      <c r="AD4865" s="9"/>
      <c r="AF4865" s="10"/>
      <c r="AG4865" s="10"/>
      <c r="AH4865" s="10"/>
      <c r="AI4865" s="10"/>
    </row>
    <row r="4866" spans="28:35" ht="15" hidden="1" customHeight="1">
      <c r="AB4866" s="9"/>
      <c r="AC4866" s="9"/>
      <c r="AD4866" s="9"/>
      <c r="AF4866" s="10"/>
      <c r="AG4866" s="10"/>
      <c r="AH4866" s="10"/>
      <c r="AI4866" s="10"/>
    </row>
    <row r="4867" spans="28:35" ht="15" hidden="1" customHeight="1">
      <c r="AB4867" s="9"/>
      <c r="AC4867" s="9"/>
      <c r="AD4867" s="9"/>
      <c r="AF4867" s="10"/>
      <c r="AG4867" s="10"/>
      <c r="AH4867" s="10"/>
      <c r="AI4867" s="10"/>
    </row>
    <row r="4868" spans="28:35" ht="15" hidden="1" customHeight="1">
      <c r="AB4868" s="9"/>
      <c r="AC4868" s="9"/>
      <c r="AD4868" s="9"/>
      <c r="AF4868" s="10"/>
      <c r="AG4868" s="10"/>
      <c r="AH4868" s="10"/>
      <c r="AI4868" s="10"/>
    </row>
    <row r="4869" spans="28:35" ht="15" hidden="1" customHeight="1">
      <c r="AB4869" s="9"/>
      <c r="AC4869" s="9"/>
      <c r="AD4869" s="9"/>
      <c r="AF4869" s="10"/>
      <c r="AG4869" s="10"/>
      <c r="AH4869" s="10"/>
      <c r="AI4869" s="10"/>
    </row>
    <row r="4870" spans="28:35" ht="15" hidden="1" customHeight="1">
      <c r="AB4870" s="9"/>
      <c r="AC4870" s="9"/>
      <c r="AD4870" s="9"/>
      <c r="AF4870" s="10"/>
      <c r="AG4870" s="10"/>
      <c r="AH4870" s="10"/>
      <c r="AI4870" s="10"/>
    </row>
    <row r="4871" spans="28:35" ht="15" hidden="1" customHeight="1">
      <c r="AB4871" s="9"/>
      <c r="AC4871" s="9"/>
      <c r="AD4871" s="9"/>
      <c r="AF4871" s="10"/>
      <c r="AG4871" s="10"/>
      <c r="AH4871" s="10"/>
      <c r="AI4871" s="10"/>
    </row>
    <row r="4872" spans="28:35" ht="15" hidden="1" customHeight="1">
      <c r="AB4872" s="9"/>
      <c r="AC4872" s="9"/>
      <c r="AD4872" s="9"/>
      <c r="AF4872" s="10"/>
      <c r="AG4872" s="10"/>
      <c r="AH4872" s="10"/>
      <c r="AI4872" s="10"/>
    </row>
    <row r="4873" spans="28:35" ht="15" hidden="1" customHeight="1">
      <c r="AB4873" s="9"/>
      <c r="AC4873" s="9"/>
      <c r="AD4873" s="9"/>
      <c r="AF4873" s="10"/>
      <c r="AG4873" s="10"/>
      <c r="AH4873" s="10"/>
      <c r="AI4873" s="10"/>
    </row>
    <row r="4874" spans="28:35" ht="15" hidden="1" customHeight="1">
      <c r="AB4874" s="9"/>
      <c r="AC4874" s="9"/>
      <c r="AD4874" s="9"/>
      <c r="AF4874" s="10"/>
      <c r="AG4874" s="10"/>
      <c r="AH4874" s="10"/>
      <c r="AI4874" s="10"/>
    </row>
    <row r="4875" spans="28:35" ht="15" hidden="1" customHeight="1">
      <c r="AB4875" s="9"/>
      <c r="AC4875" s="9"/>
      <c r="AD4875" s="9"/>
      <c r="AF4875" s="10"/>
      <c r="AG4875" s="10"/>
      <c r="AH4875" s="10"/>
      <c r="AI4875" s="10"/>
    </row>
    <row r="4876" spans="28:35" ht="15" hidden="1" customHeight="1">
      <c r="AB4876" s="9"/>
      <c r="AC4876" s="9"/>
      <c r="AD4876" s="9"/>
      <c r="AF4876" s="10"/>
      <c r="AG4876" s="10"/>
      <c r="AH4876" s="10"/>
      <c r="AI4876" s="10"/>
    </row>
    <row r="4877" spans="28:35" ht="15" hidden="1" customHeight="1">
      <c r="AB4877" s="9"/>
      <c r="AC4877" s="9"/>
      <c r="AD4877" s="9"/>
      <c r="AF4877" s="10"/>
      <c r="AG4877" s="10"/>
      <c r="AH4877" s="10"/>
      <c r="AI4877" s="10"/>
    </row>
    <row r="4878" spans="28:35" ht="15" hidden="1" customHeight="1">
      <c r="AB4878" s="9"/>
      <c r="AC4878" s="9"/>
      <c r="AD4878" s="9"/>
      <c r="AF4878" s="10"/>
      <c r="AG4878" s="10"/>
      <c r="AH4878" s="10"/>
      <c r="AI4878" s="10"/>
    </row>
    <row r="4879" spans="28:35" ht="15" hidden="1" customHeight="1">
      <c r="AB4879" s="9"/>
      <c r="AC4879" s="9"/>
      <c r="AD4879" s="9"/>
      <c r="AF4879" s="10"/>
      <c r="AG4879" s="10"/>
      <c r="AH4879" s="10"/>
      <c r="AI4879" s="10"/>
    </row>
    <row r="4880" spans="28:35" ht="15" hidden="1" customHeight="1">
      <c r="AB4880" s="9"/>
      <c r="AC4880" s="9"/>
      <c r="AD4880" s="9"/>
      <c r="AF4880" s="10"/>
      <c r="AG4880" s="10"/>
      <c r="AH4880" s="10"/>
      <c r="AI4880" s="10"/>
    </row>
    <row r="4881" spans="28:35" ht="15" hidden="1" customHeight="1">
      <c r="AB4881" s="9"/>
      <c r="AC4881" s="9"/>
      <c r="AD4881" s="9"/>
      <c r="AF4881" s="10"/>
      <c r="AG4881" s="10"/>
      <c r="AH4881" s="10"/>
      <c r="AI4881" s="10"/>
    </row>
    <row r="4882" spans="28:35" ht="15" hidden="1" customHeight="1">
      <c r="AB4882" s="9"/>
      <c r="AC4882" s="9"/>
      <c r="AD4882" s="9"/>
      <c r="AF4882" s="10"/>
      <c r="AG4882" s="10"/>
      <c r="AH4882" s="10"/>
      <c r="AI4882" s="10"/>
    </row>
    <row r="4883" spans="28:35" ht="15" hidden="1" customHeight="1">
      <c r="AB4883" s="9"/>
      <c r="AC4883" s="9"/>
      <c r="AD4883" s="9"/>
      <c r="AF4883" s="10"/>
      <c r="AG4883" s="10"/>
      <c r="AH4883" s="10"/>
      <c r="AI4883" s="10"/>
    </row>
    <row r="4884" spans="28:35" ht="15" hidden="1" customHeight="1">
      <c r="AB4884" s="9"/>
      <c r="AC4884" s="9"/>
      <c r="AD4884" s="9"/>
      <c r="AF4884" s="10"/>
      <c r="AG4884" s="10"/>
      <c r="AH4884" s="10"/>
      <c r="AI4884" s="10"/>
    </row>
    <row r="4885" spans="28:35" ht="15" hidden="1" customHeight="1">
      <c r="AB4885" s="9"/>
      <c r="AC4885" s="9"/>
      <c r="AD4885" s="9"/>
      <c r="AF4885" s="10"/>
      <c r="AG4885" s="10"/>
      <c r="AH4885" s="10"/>
      <c r="AI4885" s="10"/>
    </row>
    <row r="4886" spans="28:35" ht="15" hidden="1" customHeight="1">
      <c r="AB4886" s="9"/>
      <c r="AC4886" s="9"/>
      <c r="AD4886" s="9"/>
      <c r="AF4886" s="10"/>
      <c r="AG4886" s="10"/>
      <c r="AH4886" s="10"/>
      <c r="AI4886" s="10"/>
    </row>
    <row r="4887" spans="28:35" ht="15" hidden="1" customHeight="1">
      <c r="AB4887" s="9"/>
      <c r="AC4887" s="9"/>
      <c r="AD4887" s="9"/>
      <c r="AF4887" s="10"/>
      <c r="AG4887" s="10"/>
      <c r="AH4887" s="10"/>
      <c r="AI4887" s="10"/>
    </row>
    <row r="4888" spans="28:35" ht="15" hidden="1" customHeight="1">
      <c r="AB4888" s="9"/>
      <c r="AC4888" s="9"/>
      <c r="AD4888" s="9"/>
      <c r="AF4888" s="10"/>
      <c r="AG4888" s="10"/>
      <c r="AH4888" s="10"/>
      <c r="AI4888" s="10"/>
    </row>
    <row r="4889" spans="28:35" ht="15" hidden="1" customHeight="1">
      <c r="AB4889" s="9"/>
      <c r="AC4889" s="9"/>
      <c r="AD4889" s="9"/>
      <c r="AF4889" s="10"/>
      <c r="AG4889" s="10"/>
      <c r="AH4889" s="10"/>
      <c r="AI4889" s="10"/>
    </row>
    <row r="4890" spans="28:35" ht="15" hidden="1" customHeight="1">
      <c r="AB4890" s="9"/>
      <c r="AC4890" s="9"/>
      <c r="AD4890" s="9"/>
      <c r="AF4890" s="10"/>
      <c r="AG4890" s="10"/>
      <c r="AH4890" s="10"/>
      <c r="AI4890" s="10"/>
    </row>
    <row r="4891" spans="28:35" ht="15" hidden="1" customHeight="1">
      <c r="AB4891" s="9"/>
      <c r="AC4891" s="9"/>
      <c r="AD4891" s="9"/>
      <c r="AF4891" s="10"/>
      <c r="AG4891" s="10"/>
      <c r="AH4891" s="10"/>
      <c r="AI4891" s="10"/>
    </row>
    <row r="4892" spans="28:35" ht="15" hidden="1" customHeight="1">
      <c r="AB4892" s="9"/>
      <c r="AC4892" s="9"/>
      <c r="AD4892" s="9"/>
      <c r="AF4892" s="10"/>
      <c r="AG4892" s="10"/>
      <c r="AH4892" s="10"/>
      <c r="AI4892" s="10"/>
    </row>
    <row r="4893" spans="28:35" ht="15" hidden="1" customHeight="1">
      <c r="AB4893" s="9"/>
      <c r="AC4893" s="9"/>
      <c r="AD4893" s="9"/>
      <c r="AF4893" s="10"/>
      <c r="AG4893" s="10"/>
      <c r="AH4893" s="10"/>
      <c r="AI4893" s="10"/>
    </row>
    <row r="4894" spans="28:35" ht="15" hidden="1" customHeight="1">
      <c r="AB4894" s="9"/>
      <c r="AC4894" s="9"/>
      <c r="AD4894" s="9"/>
      <c r="AF4894" s="10"/>
      <c r="AG4894" s="10"/>
      <c r="AH4894" s="10"/>
      <c r="AI4894" s="10"/>
    </row>
    <row r="4895" spans="28:35" ht="15" hidden="1" customHeight="1">
      <c r="AB4895" s="9"/>
      <c r="AC4895" s="9"/>
      <c r="AD4895" s="9"/>
      <c r="AF4895" s="10"/>
      <c r="AG4895" s="10"/>
      <c r="AH4895" s="10"/>
      <c r="AI4895" s="10"/>
    </row>
    <row r="4896" spans="28:35" ht="15" hidden="1" customHeight="1">
      <c r="AB4896" s="9"/>
      <c r="AC4896" s="9"/>
      <c r="AD4896" s="9"/>
      <c r="AF4896" s="10"/>
      <c r="AG4896" s="10"/>
      <c r="AH4896" s="10"/>
      <c r="AI4896" s="10"/>
    </row>
    <row r="4897" spans="28:35" ht="15" hidden="1" customHeight="1">
      <c r="AB4897" s="9"/>
      <c r="AC4897" s="9"/>
      <c r="AD4897" s="9"/>
      <c r="AF4897" s="10"/>
      <c r="AG4897" s="10"/>
      <c r="AH4897" s="10"/>
      <c r="AI4897" s="10"/>
    </row>
    <row r="4898" spans="28:35" ht="15" hidden="1" customHeight="1">
      <c r="AB4898" s="9"/>
      <c r="AC4898" s="9"/>
      <c r="AD4898" s="9"/>
      <c r="AF4898" s="10"/>
      <c r="AG4898" s="10"/>
      <c r="AH4898" s="10"/>
      <c r="AI4898" s="10"/>
    </row>
    <row r="4899" spans="28:35" ht="15" hidden="1" customHeight="1">
      <c r="AB4899" s="9"/>
      <c r="AC4899" s="9"/>
      <c r="AD4899" s="9"/>
      <c r="AF4899" s="10"/>
      <c r="AG4899" s="10"/>
      <c r="AH4899" s="10"/>
      <c r="AI4899" s="10"/>
    </row>
    <row r="4900" spans="28:35" ht="15" hidden="1" customHeight="1">
      <c r="AB4900" s="9"/>
      <c r="AC4900" s="9"/>
      <c r="AD4900" s="9"/>
      <c r="AF4900" s="10"/>
      <c r="AG4900" s="10"/>
      <c r="AH4900" s="10"/>
      <c r="AI4900" s="10"/>
    </row>
    <row r="4901" spans="28:35" ht="15" hidden="1" customHeight="1">
      <c r="AB4901" s="9"/>
      <c r="AC4901" s="9"/>
      <c r="AD4901" s="9"/>
      <c r="AF4901" s="10"/>
      <c r="AG4901" s="10"/>
      <c r="AH4901" s="10"/>
      <c r="AI4901" s="10"/>
    </row>
    <row r="4902" spans="28:35" ht="15" hidden="1" customHeight="1">
      <c r="AB4902" s="9"/>
      <c r="AC4902" s="9"/>
      <c r="AD4902" s="9"/>
      <c r="AF4902" s="10"/>
      <c r="AG4902" s="10"/>
      <c r="AH4902" s="10"/>
      <c r="AI4902" s="10"/>
    </row>
    <row r="4903" spans="28:35" ht="15" hidden="1" customHeight="1">
      <c r="AB4903" s="9"/>
      <c r="AC4903" s="9"/>
      <c r="AD4903" s="9"/>
      <c r="AF4903" s="10"/>
      <c r="AG4903" s="10"/>
      <c r="AH4903" s="10"/>
      <c r="AI4903" s="10"/>
    </row>
    <row r="4904" spans="28:35" ht="15" hidden="1" customHeight="1">
      <c r="AB4904" s="9"/>
      <c r="AC4904" s="9"/>
      <c r="AD4904" s="9"/>
      <c r="AF4904" s="10"/>
      <c r="AG4904" s="10"/>
      <c r="AH4904" s="10"/>
      <c r="AI4904" s="10"/>
    </row>
    <row r="4905" spans="28:35" ht="15" hidden="1" customHeight="1">
      <c r="AB4905" s="9"/>
      <c r="AC4905" s="9"/>
      <c r="AD4905" s="9"/>
      <c r="AF4905" s="10"/>
      <c r="AG4905" s="10"/>
      <c r="AH4905" s="10"/>
      <c r="AI4905" s="10"/>
    </row>
    <row r="4906" spans="28:35" ht="15" hidden="1" customHeight="1">
      <c r="AB4906" s="9"/>
      <c r="AC4906" s="9"/>
      <c r="AD4906" s="9"/>
      <c r="AF4906" s="10"/>
      <c r="AG4906" s="10"/>
      <c r="AH4906" s="10"/>
      <c r="AI4906" s="10"/>
    </row>
    <row r="4907" spans="28:35" ht="15" hidden="1" customHeight="1">
      <c r="AB4907" s="9"/>
      <c r="AC4907" s="9"/>
      <c r="AD4907" s="9"/>
      <c r="AF4907" s="10"/>
      <c r="AG4907" s="10"/>
      <c r="AH4907" s="10"/>
      <c r="AI4907" s="10"/>
    </row>
    <row r="4908" spans="28:35" ht="15" hidden="1" customHeight="1">
      <c r="AB4908" s="9"/>
      <c r="AC4908" s="9"/>
      <c r="AD4908" s="9"/>
      <c r="AF4908" s="10"/>
      <c r="AG4908" s="10"/>
      <c r="AH4908" s="10"/>
      <c r="AI4908" s="10"/>
    </row>
    <row r="4909" spans="28:35" ht="15" hidden="1" customHeight="1">
      <c r="AB4909" s="9"/>
      <c r="AC4909" s="9"/>
      <c r="AD4909" s="9"/>
      <c r="AF4909" s="10"/>
      <c r="AG4909" s="10"/>
      <c r="AH4909" s="10"/>
      <c r="AI4909" s="10"/>
    </row>
    <row r="4910" spans="28:35" ht="15" hidden="1" customHeight="1">
      <c r="AB4910" s="9"/>
      <c r="AC4910" s="9"/>
      <c r="AD4910" s="9"/>
      <c r="AF4910" s="10"/>
      <c r="AG4910" s="10"/>
      <c r="AH4910" s="10"/>
      <c r="AI4910" s="10"/>
    </row>
    <row r="4911" spans="28:35" ht="15" hidden="1" customHeight="1">
      <c r="AB4911" s="9"/>
      <c r="AC4911" s="9"/>
      <c r="AD4911" s="9"/>
      <c r="AF4911" s="10"/>
      <c r="AG4911" s="10"/>
      <c r="AH4911" s="10"/>
      <c r="AI4911" s="10"/>
    </row>
    <row r="4912" spans="28:35" ht="15" hidden="1" customHeight="1">
      <c r="AB4912" s="9"/>
      <c r="AC4912" s="9"/>
      <c r="AD4912" s="9"/>
      <c r="AF4912" s="10"/>
      <c r="AG4912" s="10"/>
      <c r="AH4912" s="10"/>
      <c r="AI4912" s="10"/>
    </row>
    <row r="4913" spans="28:35" ht="15" hidden="1" customHeight="1">
      <c r="AB4913" s="9"/>
      <c r="AC4913" s="9"/>
      <c r="AD4913" s="9"/>
      <c r="AF4913" s="10"/>
      <c r="AG4913" s="10"/>
      <c r="AH4913" s="10"/>
      <c r="AI4913" s="10"/>
    </row>
    <row r="4914" spans="28:35" ht="15" hidden="1" customHeight="1">
      <c r="AB4914" s="9"/>
      <c r="AC4914" s="9"/>
      <c r="AD4914" s="9"/>
      <c r="AF4914" s="10"/>
      <c r="AG4914" s="10"/>
      <c r="AH4914" s="10"/>
      <c r="AI4914" s="10"/>
    </row>
    <row r="4915" spans="28:35" ht="15" hidden="1" customHeight="1">
      <c r="AB4915" s="9"/>
      <c r="AC4915" s="9"/>
      <c r="AD4915" s="9"/>
      <c r="AF4915" s="10"/>
      <c r="AG4915" s="10"/>
      <c r="AH4915" s="10"/>
      <c r="AI4915" s="10"/>
    </row>
    <row r="4916" spans="28:35" ht="15" hidden="1" customHeight="1">
      <c r="AB4916" s="9"/>
      <c r="AC4916" s="9"/>
      <c r="AD4916" s="9"/>
      <c r="AF4916" s="10"/>
      <c r="AG4916" s="10"/>
      <c r="AH4916" s="10"/>
      <c r="AI4916" s="10"/>
    </row>
    <row r="4917" spans="28:35" ht="15" hidden="1" customHeight="1">
      <c r="AB4917" s="9"/>
      <c r="AC4917" s="9"/>
      <c r="AD4917" s="9"/>
      <c r="AF4917" s="10"/>
      <c r="AG4917" s="10"/>
      <c r="AH4917" s="10"/>
      <c r="AI4917" s="10"/>
    </row>
    <row r="4918" spans="28:35" ht="15" hidden="1" customHeight="1">
      <c r="AB4918" s="9"/>
      <c r="AC4918" s="9"/>
      <c r="AD4918" s="9"/>
      <c r="AF4918" s="10"/>
      <c r="AG4918" s="10"/>
      <c r="AH4918" s="10"/>
      <c r="AI4918" s="10"/>
    </row>
    <row r="4919" spans="28:35" ht="15" hidden="1" customHeight="1">
      <c r="AB4919" s="9"/>
      <c r="AC4919" s="9"/>
      <c r="AD4919" s="9"/>
      <c r="AF4919" s="10"/>
      <c r="AG4919" s="10"/>
      <c r="AH4919" s="10"/>
      <c r="AI4919" s="10"/>
    </row>
    <row r="4920" spans="28:35" ht="15" hidden="1" customHeight="1">
      <c r="AB4920" s="9"/>
      <c r="AC4920" s="9"/>
      <c r="AD4920" s="9"/>
      <c r="AF4920" s="10"/>
      <c r="AG4920" s="10"/>
      <c r="AH4920" s="10"/>
      <c r="AI4920" s="10"/>
    </row>
    <row r="4921" spans="28:35" ht="15" hidden="1" customHeight="1">
      <c r="AB4921" s="9"/>
      <c r="AC4921" s="9"/>
      <c r="AD4921" s="9"/>
      <c r="AF4921" s="10"/>
      <c r="AG4921" s="10"/>
      <c r="AH4921" s="10"/>
      <c r="AI4921" s="10"/>
    </row>
    <row r="4922" spans="28:35" ht="15" hidden="1" customHeight="1">
      <c r="AB4922" s="9"/>
      <c r="AC4922" s="9"/>
      <c r="AD4922" s="9"/>
      <c r="AF4922" s="10"/>
      <c r="AG4922" s="10"/>
      <c r="AH4922" s="10"/>
      <c r="AI4922" s="10"/>
    </row>
    <row r="4923" spans="28:35" ht="15" hidden="1" customHeight="1">
      <c r="AB4923" s="9"/>
      <c r="AC4923" s="9"/>
      <c r="AD4923" s="9"/>
      <c r="AF4923" s="10"/>
      <c r="AG4923" s="10"/>
      <c r="AH4923" s="10"/>
      <c r="AI4923" s="10"/>
    </row>
    <row r="4924" spans="28:35" ht="15" hidden="1" customHeight="1">
      <c r="AB4924" s="9"/>
      <c r="AC4924" s="9"/>
      <c r="AD4924" s="9"/>
      <c r="AF4924" s="10"/>
      <c r="AG4924" s="10"/>
      <c r="AH4924" s="10"/>
      <c r="AI4924" s="10"/>
    </row>
    <row r="4925" spans="28:35" ht="15" hidden="1" customHeight="1">
      <c r="AB4925" s="9"/>
      <c r="AC4925" s="9"/>
      <c r="AD4925" s="9"/>
      <c r="AF4925" s="10"/>
      <c r="AG4925" s="10"/>
      <c r="AH4925" s="10"/>
      <c r="AI4925" s="10"/>
    </row>
    <row r="4926" spans="28:35" ht="15" hidden="1" customHeight="1">
      <c r="AB4926" s="9"/>
      <c r="AC4926" s="9"/>
      <c r="AD4926" s="9"/>
      <c r="AF4926" s="10"/>
      <c r="AG4926" s="10"/>
      <c r="AH4926" s="10"/>
      <c r="AI4926" s="10"/>
    </row>
    <row r="4927" spans="28:35" ht="15" hidden="1" customHeight="1">
      <c r="AB4927" s="9"/>
      <c r="AC4927" s="9"/>
      <c r="AD4927" s="9"/>
      <c r="AF4927" s="10"/>
      <c r="AG4927" s="10"/>
      <c r="AH4927" s="10"/>
      <c r="AI4927" s="10"/>
    </row>
    <row r="4928" spans="28:35" ht="15" hidden="1" customHeight="1">
      <c r="AB4928" s="9"/>
      <c r="AC4928" s="9"/>
      <c r="AD4928" s="9"/>
      <c r="AF4928" s="10"/>
      <c r="AG4928" s="10"/>
      <c r="AH4928" s="10"/>
      <c r="AI4928" s="10"/>
    </row>
    <row r="4929" spans="28:35" ht="15" hidden="1" customHeight="1">
      <c r="AB4929" s="9"/>
      <c r="AC4929" s="9"/>
      <c r="AD4929" s="9"/>
      <c r="AF4929" s="10"/>
      <c r="AG4929" s="10"/>
      <c r="AH4929" s="10"/>
      <c r="AI4929" s="10"/>
    </row>
    <row r="4930" spans="28:35" ht="15" hidden="1" customHeight="1">
      <c r="AB4930" s="9"/>
      <c r="AC4930" s="9"/>
      <c r="AD4930" s="9"/>
      <c r="AF4930" s="10"/>
      <c r="AG4930" s="10"/>
      <c r="AH4930" s="10"/>
      <c r="AI4930" s="10"/>
    </row>
    <row r="4931" spans="28:35" ht="15" hidden="1" customHeight="1">
      <c r="AB4931" s="9"/>
      <c r="AC4931" s="9"/>
      <c r="AD4931" s="9"/>
      <c r="AF4931" s="10"/>
      <c r="AG4931" s="10"/>
      <c r="AH4931" s="10"/>
      <c r="AI4931" s="10"/>
    </row>
    <row r="4932" spans="28:35" ht="15" hidden="1" customHeight="1">
      <c r="AB4932" s="9"/>
      <c r="AC4932" s="9"/>
      <c r="AD4932" s="9"/>
      <c r="AF4932" s="10"/>
      <c r="AG4932" s="10"/>
      <c r="AH4932" s="10"/>
      <c r="AI4932" s="10"/>
    </row>
    <row r="4933" spans="28:35" ht="15" hidden="1" customHeight="1">
      <c r="AB4933" s="9"/>
      <c r="AC4933" s="9"/>
      <c r="AD4933" s="9"/>
      <c r="AF4933" s="10"/>
      <c r="AG4933" s="10"/>
      <c r="AH4933" s="10"/>
      <c r="AI4933" s="10"/>
    </row>
    <row r="4934" spans="28:35" ht="15" hidden="1" customHeight="1">
      <c r="AB4934" s="9"/>
      <c r="AC4934" s="9"/>
      <c r="AD4934" s="9"/>
      <c r="AF4934" s="10"/>
      <c r="AG4934" s="10"/>
      <c r="AH4934" s="10"/>
      <c r="AI4934" s="10"/>
    </row>
    <row r="4935" spans="28:35" ht="15" hidden="1" customHeight="1">
      <c r="AB4935" s="9"/>
      <c r="AC4935" s="9"/>
      <c r="AD4935" s="9"/>
      <c r="AF4935" s="10"/>
      <c r="AG4935" s="10"/>
      <c r="AH4935" s="10"/>
      <c r="AI4935" s="10"/>
    </row>
    <row r="4936" spans="28:35" ht="15" hidden="1" customHeight="1">
      <c r="AB4936" s="9"/>
      <c r="AC4936" s="9"/>
      <c r="AD4936" s="9"/>
      <c r="AF4936" s="10"/>
      <c r="AG4936" s="10"/>
      <c r="AH4936" s="10"/>
      <c r="AI4936" s="10"/>
    </row>
    <row r="4937" spans="28:35" ht="15" hidden="1" customHeight="1">
      <c r="AB4937" s="9"/>
      <c r="AC4937" s="9"/>
      <c r="AD4937" s="9"/>
      <c r="AF4937" s="10"/>
      <c r="AG4937" s="10"/>
      <c r="AH4937" s="10"/>
      <c r="AI4937" s="10"/>
    </row>
    <row r="4938" spans="28:35" ht="15" hidden="1" customHeight="1">
      <c r="AB4938" s="9"/>
      <c r="AC4938" s="9"/>
      <c r="AD4938" s="9"/>
      <c r="AF4938" s="10"/>
      <c r="AG4938" s="10"/>
      <c r="AH4938" s="10"/>
      <c r="AI4938" s="10"/>
    </row>
    <row r="4939" spans="28:35" ht="15" hidden="1" customHeight="1">
      <c r="AB4939" s="9"/>
      <c r="AC4939" s="9"/>
      <c r="AD4939" s="9"/>
      <c r="AF4939" s="10"/>
      <c r="AG4939" s="10"/>
      <c r="AH4939" s="10"/>
      <c r="AI4939" s="10"/>
    </row>
    <row r="4940" spans="28:35" ht="15" hidden="1" customHeight="1">
      <c r="AB4940" s="9"/>
      <c r="AC4940" s="9"/>
      <c r="AD4940" s="9"/>
      <c r="AF4940" s="10"/>
      <c r="AG4940" s="10"/>
      <c r="AH4940" s="10"/>
      <c r="AI4940" s="10"/>
    </row>
    <row r="4941" spans="28:35" ht="15" hidden="1" customHeight="1">
      <c r="AB4941" s="9"/>
      <c r="AC4941" s="9"/>
      <c r="AD4941" s="9"/>
      <c r="AF4941" s="10"/>
      <c r="AG4941" s="10"/>
      <c r="AH4941" s="10"/>
      <c r="AI4941" s="10"/>
    </row>
    <row r="4942" spans="28:35" ht="15" hidden="1" customHeight="1">
      <c r="AB4942" s="9"/>
      <c r="AC4942" s="9"/>
      <c r="AD4942" s="9"/>
      <c r="AF4942" s="10"/>
      <c r="AG4942" s="10"/>
      <c r="AH4942" s="10"/>
      <c r="AI4942" s="10"/>
    </row>
    <row r="4943" spans="28:35" ht="15" hidden="1" customHeight="1">
      <c r="AB4943" s="9"/>
      <c r="AC4943" s="9"/>
      <c r="AD4943" s="9"/>
      <c r="AF4943" s="10"/>
      <c r="AG4943" s="10"/>
      <c r="AH4943" s="10"/>
      <c r="AI4943" s="10"/>
    </row>
    <row r="4944" spans="28:35" ht="15" hidden="1" customHeight="1">
      <c r="AB4944" s="9"/>
      <c r="AC4944" s="9"/>
      <c r="AD4944" s="9"/>
      <c r="AF4944" s="10"/>
      <c r="AG4944" s="10"/>
      <c r="AH4944" s="10"/>
      <c r="AI4944" s="10"/>
    </row>
    <row r="4945" spans="28:35" ht="15" hidden="1" customHeight="1">
      <c r="AB4945" s="9"/>
      <c r="AC4945" s="9"/>
      <c r="AD4945" s="9"/>
      <c r="AF4945" s="10"/>
      <c r="AG4945" s="10"/>
      <c r="AH4945" s="10"/>
      <c r="AI4945" s="10"/>
    </row>
    <row r="4946" spans="28:35" ht="15" hidden="1" customHeight="1">
      <c r="AB4946" s="9"/>
      <c r="AC4946" s="9"/>
      <c r="AD4946" s="9"/>
      <c r="AF4946" s="10"/>
      <c r="AG4946" s="10"/>
      <c r="AH4946" s="10"/>
      <c r="AI4946" s="10"/>
    </row>
    <row r="4947" spans="28:35" ht="15" hidden="1" customHeight="1">
      <c r="AB4947" s="9"/>
      <c r="AC4947" s="9"/>
      <c r="AD4947" s="9"/>
      <c r="AF4947" s="10"/>
      <c r="AG4947" s="10"/>
      <c r="AH4947" s="10"/>
      <c r="AI4947" s="10"/>
    </row>
    <row r="4948" spans="28:35" ht="15" hidden="1" customHeight="1">
      <c r="AB4948" s="9"/>
      <c r="AC4948" s="9"/>
      <c r="AD4948" s="9"/>
      <c r="AF4948" s="10"/>
      <c r="AG4948" s="10"/>
      <c r="AH4948" s="10"/>
      <c r="AI4948" s="10"/>
    </row>
    <row r="4949" spans="28:35" ht="15" hidden="1" customHeight="1">
      <c r="AB4949" s="9"/>
      <c r="AC4949" s="9"/>
      <c r="AD4949" s="9"/>
      <c r="AF4949" s="10"/>
      <c r="AG4949" s="10"/>
      <c r="AH4949" s="10"/>
      <c r="AI4949" s="10"/>
    </row>
    <row r="4950" spans="28:35" ht="15" hidden="1" customHeight="1">
      <c r="AB4950" s="9"/>
      <c r="AC4950" s="9"/>
      <c r="AD4950" s="9"/>
      <c r="AF4950" s="10"/>
      <c r="AG4950" s="10"/>
      <c r="AH4950" s="10"/>
      <c r="AI4950" s="10"/>
    </row>
    <row r="4951" spans="28:35" ht="15" hidden="1" customHeight="1">
      <c r="AB4951" s="9"/>
      <c r="AC4951" s="9"/>
      <c r="AD4951" s="9"/>
      <c r="AF4951" s="10"/>
      <c r="AG4951" s="10"/>
      <c r="AH4951" s="10"/>
      <c r="AI4951" s="10"/>
    </row>
    <row r="4952" spans="28:35" ht="15" hidden="1" customHeight="1">
      <c r="AB4952" s="9"/>
      <c r="AC4952" s="9"/>
      <c r="AD4952" s="9"/>
      <c r="AF4952" s="10"/>
      <c r="AG4952" s="10"/>
      <c r="AH4952" s="10"/>
      <c r="AI4952" s="10"/>
    </row>
    <row r="4953" spans="28:35" ht="15" hidden="1" customHeight="1">
      <c r="AB4953" s="9"/>
      <c r="AC4953" s="9"/>
      <c r="AD4953" s="9"/>
      <c r="AF4953" s="10"/>
      <c r="AG4953" s="10"/>
      <c r="AH4953" s="10"/>
      <c r="AI4953" s="10"/>
    </row>
    <row r="4954" spans="28:35" ht="15" hidden="1" customHeight="1">
      <c r="AB4954" s="9"/>
      <c r="AC4954" s="9"/>
      <c r="AD4954" s="9"/>
      <c r="AF4954" s="10"/>
      <c r="AG4954" s="10"/>
      <c r="AH4954" s="10"/>
      <c r="AI4954" s="10"/>
    </row>
    <row r="4955" spans="28:35" ht="15" hidden="1" customHeight="1">
      <c r="AB4955" s="9"/>
      <c r="AC4955" s="9"/>
      <c r="AD4955" s="9"/>
      <c r="AF4955" s="10"/>
      <c r="AG4955" s="10"/>
      <c r="AH4955" s="10"/>
      <c r="AI4955" s="10"/>
    </row>
    <row r="4956" spans="28:35" ht="15" hidden="1" customHeight="1">
      <c r="AB4956" s="9"/>
      <c r="AC4956" s="9"/>
      <c r="AD4956" s="9"/>
      <c r="AF4956" s="10"/>
      <c r="AG4956" s="10"/>
      <c r="AH4956" s="10"/>
      <c r="AI4956" s="10"/>
    </row>
    <row r="4957" spans="28:35" ht="15" hidden="1" customHeight="1">
      <c r="AB4957" s="9"/>
      <c r="AC4957" s="9"/>
      <c r="AD4957" s="9"/>
      <c r="AF4957" s="10"/>
      <c r="AG4957" s="10"/>
      <c r="AH4957" s="10"/>
      <c r="AI4957" s="10"/>
    </row>
    <row r="4958" spans="28:35" ht="15" hidden="1" customHeight="1">
      <c r="AB4958" s="9"/>
      <c r="AC4958" s="9"/>
      <c r="AD4958" s="9"/>
      <c r="AF4958" s="10"/>
      <c r="AG4958" s="10"/>
      <c r="AH4958" s="10"/>
      <c r="AI4958" s="10"/>
    </row>
    <row r="4959" spans="28:35" ht="15" hidden="1" customHeight="1">
      <c r="AB4959" s="9"/>
      <c r="AC4959" s="9"/>
      <c r="AD4959" s="9"/>
      <c r="AF4959" s="10"/>
      <c r="AG4959" s="10"/>
      <c r="AH4959" s="10"/>
      <c r="AI4959" s="10"/>
    </row>
    <row r="4960" spans="28:35" ht="15" hidden="1" customHeight="1">
      <c r="AB4960" s="9"/>
      <c r="AC4960" s="9"/>
      <c r="AD4960" s="9"/>
      <c r="AF4960" s="10"/>
      <c r="AG4960" s="10"/>
      <c r="AH4960" s="10"/>
      <c r="AI4960" s="10"/>
    </row>
    <row r="4961" spans="28:35" ht="15" hidden="1" customHeight="1">
      <c r="AB4961" s="9"/>
      <c r="AC4961" s="9"/>
      <c r="AD4961" s="9"/>
      <c r="AF4961" s="10"/>
      <c r="AG4961" s="10"/>
      <c r="AH4961" s="10"/>
      <c r="AI4961" s="10"/>
    </row>
    <row r="4962" spans="28:35" ht="15" hidden="1" customHeight="1">
      <c r="AB4962" s="9"/>
      <c r="AC4962" s="9"/>
      <c r="AD4962" s="9"/>
      <c r="AF4962" s="10"/>
      <c r="AG4962" s="10"/>
      <c r="AH4962" s="10"/>
      <c r="AI4962" s="10"/>
    </row>
    <row r="4963" spans="28:35" ht="15" hidden="1" customHeight="1">
      <c r="AB4963" s="9"/>
      <c r="AC4963" s="9"/>
      <c r="AD4963" s="9"/>
      <c r="AF4963" s="10"/>
      <c r="AG4963" s="10"/>
      <c r="AH4963" s="10"/>
      <c r="AI4963" s="10"/>
    </row>
    <row r="4964" spans="28:35" ht="15" hidden="1" customHeight="1">
      <c r="AB4964" s="9"/>
      <c r="AC4964" s="9"/>
      <c r="AD4964" s="9"/>
      <c r="AF4964" s="10"/>
      <c r="AG4964" s="10"/>
      <c r="AH4964" s="10"/>
      <c r="AI4964" s="10"/>
    </row>
    <row r="4965" spans="28:35" ht="15" hidden="1" customHeight="1">
      <c r="AB4965" s="9"/>
      <c r="AC4965" s="9"/>
      <c r="AD4965" s="9"/>
      <c r="AF4965" s="10"/>
      <c r="AG4965" s="10"/>
      <c r="AH4965" s="10"/>
      <c r="AI4965" s="10"/>
    </row>
    <row r="4966" spans="28:35" ht="15" hidden="1" customHeight="1">
      <c r="AB4966" s="9"/>
      <c r="AC4966" s="9"/>
      <c r="AD4966" s="9"/>
      <c r="AF4966" s="10"/>
      <c r="AG4966" s="10"/>
      <c r="AH4966" s="10"/>
      <c r="AI4966" s="10"/>
    </row>
    <row r="4967" spans="28:35" ht="15" hidden="1" customHeight="1">
      <c r="AB4967" s="9"/>
      <c r="AC4967" s="9"/>
      <c r="AD4967" s="9"/>
      <c r="AF4967" s="10"/>
      <c r="AG4967" s="10"/>
      <c r="AH4967" s="10"/>
      <c r="AI4967" s="10"/>
    </row>
    <row r="4968" spans="28:35" ht="15" hidden="1" customHeight="1">
      <c r="AB4968" s="9"/>
      <c r="AC4968" s="9"/>
      <c r="AD4968" s="9"/>
      <c r="AF4968" s="10"/>
      <c r="AG4968" s="10"/>
      <c r="AH4968" s="10"/>
      <c r="AI4968" s="10"/>
    </row>
    <row r="4969" spans="28:35" ht="15" hidden="1" customHeight="1">
      <c r="AB4969" s="9"/>
      <c r="AC4969" s="9"/>
      <c r="AD4969" s="9"/>
      <c r="AF4969" s="10"/>
      <c r="AG4969" s="10"/>
      <c r="AH4969" s="10"/>
      <c r="AI4969" s="10"/>
    </row>
    <row r="4970" spans="28:35" ht="15" hidden="1" customHeight="1">
      <c r="AB4970" s="9"/>
      <c r="AC4970" s="9"/>
      <c r="AD4970" s="9"/>
      <c r="AF4970" s="10"/>
      <c r="AG4970" s="10"/>
      <c r="AH4970" s="10"/>
      <c r="AI4970" s="10"/>
    </row>
    <row r="4971" spans="28:35" ht="15" hidden="1" customHeight="1">
      <c r="AB4971" s="9"/>
      <c r="AC4971" s="9"/>
      <c r="AD4971" s="9"/>
      <c r="AF4971" s="10"/>
      <c r="AG4971" s="10"/>
      <c r="AH4971" s="10"/>
      <c r="AI4971" s="10"/>
    </row>
    <row r="4972" spans="28:35" ht="15" hidden="1" customHeight="1">
      <c r="AB4972" s="9"/>
      <c r="AC4972" s="9"/>
      <c r="AD4972" s="9"/>
      <c r="AF4972" s="10"/>
      <c r="AG4972" s="10"/>
      <c r="AH4972" s="10"/>
      <c r="AI4972" s="10"/>
    </row>
    <row r="4973" spans="28:35" ht="15" hidden="1" customHeight="1">
      <c r="AB4973" s="9"/>
      <c r="AC4973" s="9"/>
      <c r="AD4973" s="9"/>
      <c r="AF4973" s="10"/>
      <c r="AG4973" s="10"/>
      <c r="AH4973" s="10"/>
      <c r="AI4973" s="10"/>
    </row>
    <row r="4974" spans="28:35" ht="15" hidden="1" customHeight="1">
      <c r="AB4974" s="9"/>
      <c r="AC4974" s="9"/>
      <c r="AD4974" s="9"/>
      <c r="AF4974" s="10"/>
      <c r="AG4974" s="10"/>
      <c r="AH4974" s="10"/>
      <c r="AI4974" s="10"/>
    </row>
    <row r="4975" spans="28:35" ht="15" hidden="1" customHeight="1">
      <c r="AB4975" s="9"/>
      <c r="AC4975" s="9"/>
      <c r="AD4975" s="9"/>
      <c r="AF4975" s="10"/>
      <c r="AG4975" s="10"/>
      <c r="AH4975" s="10"/>
      <c r="AI4975" s="10"/>
    </row>
    <row r="4976" spans="28:35" ht="15" hidden="1" customHeight="1">
      <c r="AB4976" s="9"/>
      <c r="AC4976" s="9"/>
      <c r="AD4976" s="9"/>
      <c r="AF4976" s="10"/>
      <c r="AG4976" s="10"/>
      <c r="AH4976" s="10"/>
      <c r="AI4976" s="10"/>
    </row>
    <row r="4977" spans="28:35" ht="15" hidden="1" customHeight="1">
      <c r="AB4977" s="9"/>
      <c r="AC4977" s="9"/>
      <c r="AD4977" s="9"/>
      <c r="AF4977" s="10"/>
      <c r="AG4977" s="10"/>
      <c r="AH4977" s="10"/>
      <c r="AI4977" s="10"/>
    </row>
    <row r="4978" spans="28:35" ht="15" hidden="1" customHeight="1">
      <c r="AB4978" s="9"/>
      <c r="AC4978" s="9"/>
      <c r="AD4978" s="9"/>
      <c r="AF4978" s="10"/>
      <c r="AG4978" s="10"/>
      <c r="AH4978" s="10"/>
      <c r="AI4978" s="10"/>
    </row>
    <row r="4979" spans="28:35" ht="15" hidden="1" customHeight="1">
      <c r="AB4979" s="9"/>
      <c r="AC4979" s="9"/>
      <c r="AD4979" s="9"/>
      <c r="AF4979" s="10"/>
      <c r="AG4979" s="10"/>
      <c r="AH4979" s="10"/>
      <c r="AI4979" s="10"/>
    </row>
    <row r="4980" spans="28:35" ht="15" hidden="1" customHeight="1">
      <c r="AB4980" s="9"/>
      <c r="AC4980" s="9"/>
      <c r="AD4980" s="9"/>
      <c r="AF4980" s="10"/>
      <c r="AG4980" s="10"/>
      <c r="AH4980" s="10"/>
      <c r="AI4980" s="10"/>
    </row>
    <row r="4981" spans="28:35" ht="15" hidden="1" customHeight="1">
      <c r="AB4981" s="9"/>
      <c r="AC4981" s="9"/>
      <c r="AD4981" s="9"/>
      <c r="AF4981" s="10"/>
      <c r="AG4981" s="10"/>
      <c r="AH4981" s="10"/>
      <c r="AI4981" s="10"/>
    </row>
    <row r="4982" spans="28:35" ht="15" hidden="1" customHeight="1">
      <c r="AB4982" s="9"/>
      <c r="AC4982" s="9"/>
      <c r="AD4982" s="9"/>
      <c r="AF4982" s="10"/>
      <c r="AG4982" s="10"/>
      <c r="AH4982" s="10"/>
      <c r="AI4982" s="10"/>
    </row>
    <row r="4983" spans="28:35" ht="15" hidden="1" customHeight="1">
      <c r="AB4983" s="9"/>
      <c r="AC4983" s="9"/>
      <c r="AD4983" s="9"/>
      <c r="AF4983" s="10"/>
      <c r="AG4983" s="10"/>
      <c r="AH4983" s="10"/>
      <c r="AI4983" s="10"/>
    </row>
    <row r="4984" spans="28:35" ht="15" hidden="1" customHeight="1">
      <c r="AB4984" s="9"/>
      <c r="AC4984" s="9"/>
      <c r="AD4984" s="9"/>
      <c r="AF4984" s="10"/>
      <c r="AG4984" s="10"/>
      <c r="AH4984" s="10"/>
      <c r="AI4984" s="10"/>
    </row>
    <row r="4985" spans="28:35" ht="15" hidden="1" customHeight="1">
      <c r="AB4985" s="9"/>
      <c r="AC4985" s="9"/>
      <c r="AD4985" s="9"/>
      <c r="AF4985" s="10"/>
      <c r="AG4985" s="10"/>
      <c r="AH4985" s="10"/>
      <c r="AI4985" s="10"/>
    </row>
    <row r="4986" spans="28:35" ht="15" hidden="1" customHeight="1">
      <c r="AB4986" s="9"/>
      <c r="AC4986" s="9"/>
      <c r="AD4986" s="9"/>
      <c r="AF4986" s="10"/>
      <c r="AG4986" s="10"/>
      <c r="AH4986" s="10"/>
      <c r="AI4986" s="10"/>
    </row>
    <row r="4987" spans="28:35" ht="15" hidden="1" customHeight="1">
      <c r="AB4987" s="9"/>
      <c r="AC4987" s="9"/>
      <c r="AD4987" s="9"/>
      <c r="AF4987" s="10"/>
      <c r="AG4987" s="10"/>
      <c r="AH4987" s="10"/>
      <c r="AI4987" s="10"/>
    </row>
    <row r="4988" spans="28:35" ht="15" hidden="1" customHeight="1">
      <c r="AB4988" s="9"/>
      <c r="AC4988" s="9"/>
      <c r="AD4988" s="9"/>
      <c r="AF4988" s="10"/>
      <c r="AG4988" s="10"/>
      <c r="AH4988" s="10"/>
      <c r="AI4988" s="10"/>
    </row>
    <row r="4989" spans="28:35" ht="15" hidden="1" customHeight="1">
      <c r="AB4989" s="9"/>
      <c r="AC4989" s="9"/>
      <c r="AD4989" s="9"/>
      <c r="AF4989" s="10"/>
      <c r="AG4989" s="10"/>
      <c r="AH4989" s="10"/>
      <c r="AI4989" s="10"/>
    </row>
    <row r="4990" spans="28:35" ht="15" hidden="1" customHeight="1">
      <c r="AB4990" s="9"/>
      <c r="AC4990" s="9"/>
      <c r="AD4990" s="9"/>
      <c r="AF4990" s="10"/>
      <c r="AG4990" s="10"/>
      <c r="AH4990" s="10"/>
      <c r="AI4990" s="10"/>
    </row>
    <row r="4991" spans="28:35" ht="15" hidden="1" customHeight="1">
      <c r="AB4991" s="9"/>
      <c r="AC4991" s="9"/>
      <c r="AD4991" s="9"/>
      <c r="AF4991" s="10"/>
      <c r="AG4991" s="10"/>
      <c r="AH4991" s="10"/>
      <c r="AI4991" s="10"/>
    </row>
    <row r="4992" spans="28:35" ht="15" hidden="1" customHeight="1">
      <c r="AB4992" s="9"/>
      <c r="AC4992" s="9"/>
      <c r="AD4992" s="9"/>
      <c r="AF4992" s="10"/>
      <c r="AG4992" s="10"/>
      <c r="AH4992" s="10"/>
      <c r="AI4992" s="10"/>
    </row>
    <row r="4993" spans="28:35" ht="15" hidden="1" customHeight="1">
      <c r="AB4993" s="9"/>
      <c r="AC4993" s="9"/>
      <c r="AD4993" s="9"/>
      <c r="AF4993" s="10"/>
      <c r="AG4993" s="10"/>
      <c r="AH4993" s="10"/>
      <c r="AI4993" s="10"/>
    </row>
    <row r="4994" spans="28:35" ht="15" hidden="1" customHeight="1">
      <c r="AB4994" s="9"/>
      <c r="AC4994" s="9"/>
      <c r="AD4994" s="9"/>
      <c r="AF4994" s="10"/>
      <c r="AG4994" s="10"/>
      <c r="AH4994" s="10"/>
      <c r="AI4994" s="10"/>
    </row>
    <row r="4995" spans="28:35" ht="15" hidden="1" customHeight="1">
      <c r="AB4995" s="9"/>
      <c r="AC4995" s="9"/>
      <c r="AD4995" s="9"/>
      <c r="AF4995" s="10"/>
      <c r="AG4995" s="10"/>
      <c r="AH4995" s="10"/>
      <c r="AI4995" s="10"/>
    </row>
    <row r="4996" spans="28:35" ht="15" hidden="1" customHeight="1">
      <c r="AB4996" s="9"/>
      <c r="AC4996" s="9"/>
      <c r="AD4996" s="9"/>
      <c r="AF4996" s="10"/>
      <c r="AG4996" s="10"/>
      <c r="AH4996" s="10"/>
      <c r="AI4996" s="10"/>
    </row>
    <row r="4997" spans="28:35" ht="15" hidden="1" customHeight="1">
      <c r="AB4997" s="9"/>
      <c r="AC4997" s="9"/>
      <c r="AD4997" s="9"/>
      <c r="AF4997" s="10"/>
      <c r="AG4997" s="10"/>
      <c r="AH4997" s="10"/>
      <c r="AI4997" s="10"/>
    </row>
    <row r="4998" spans="28:35" ht="15" hidden="1" customHeight="1">
      <c r="AB4998" s="9"/>
      <c r="AC4998" s="9"/>
      <c r="AD4998" s="9"/>
      <c r="AF4998" s="10"/>
      <c r="AG4998" s="10"/>
      <c r="AH4998" s="10"/>
      <c r="AI4998" s="10"/>
    </row>
    <row r="4999" spans="28:35" ht="15" hidden="1" customHeight="1">
      <c r="AB4999" s="9"/>
      <c r="AC4999" s="9"/>
      <c r="AD4999" s="9"/>
      <c r="AF4999" s="10"/>
      <c r="AG4999" s="10"/>
      <c r="AH4999" s="10"/>
      <c r="AI4999" s="10"/>
    </row>
    <row r="5000" spans="28:35" ht="15" hidden="1" customHeight="1">
      <c r="AB5000" s="9"/>
      <c r="AC5000" s="9"/>
      <c r="AD5000" s="9"/>
      <c r="AF5000" s="10"/>
      <c r="AG5000" s="10"/>
      <c r="AH5000" s="10"/>
      <c r="AI5000" s="10"/>
    </row>
    <row r="5001" spans="28:35" ht="15" hidden="1" customHeight="1">
      <c r="AB5001" s="9"/>
      <c r="AC5001" s="9"/>
      <c r="AD5001" s="9"/>
      <c r="AF5001" s="10"/>
      <c r="AG5001" s="10"/>
      <c r="AH5001" s="10"/>
      <c r="AI5001" s="10"/>
    </row>
    <row r="5002" spans="28:35" ht="15" hidden="1" customHeight="1">
      <c r="AB5002" s="9"/>
      <c r="AC5002" s="9"/>
      <c r="AD5002" s="9"/>
      <c r="AF5002" s="10"/>
      <c r="AG5002" s="10"/>
      <c r="AH5002" s="10"/>
      <c r="AI5002" s="10"/>
    </row>
    <row r="5003" spans="28:35" ht="15" hidden="1" customHeight="1">
      <c r="AB5003" s="9"/>
      <c r="AC5003" s="9"/>
      <c r="AD5003" s="9"/>
      <c r="AF5003" s="10"/>
      <c r="AG5003" s="10"/>
      <c r="AH5003" s="10"/>
      <c r="AI5003" s="10"/>
    </row>
    <row r="5004" spans="28:35" ht="15" hidden="1" customHeight="1">
      <c r="AB5004" s="9"/>
      <c r="AC5004" s="9"/>
      <c r="AD5004" s="9"/>
      <c r="AF5004" s="10"/>
      <c r="AG5004" s="10"/>
      <c r="AH5004" s="10"/>
      <c r="AI5004" s="10"/>
    </row>
    <row r="5005" spans="28:35" ht="15" hidden="1" customHeight="1">
      <c r="AB5005" s="9"/>
      <c r="AC5005" s="9"/>
      <c r="AD5005" s="9"/>
      <c r="AF5005" s="10"/>
      <c r="AG5005" s="10"/>
      <c r="AH5005" s="10"/>
      <c r="AI5005" s="10"/>
    </row>
    <row r="5006" spans="28:35" ht="15" hidden="1" customHeight="1">
      <c r="AB5006" s="9"/>
      <c r="AC5006" s="9"/>
      <c r="AD5006" s="9"/>
      <c r="AF5006" s="10"/>
      <c r="AG5006" s="10"/>
      <c r="AH5006" s="10"/>
      <c r="AI5006" s="10"/>
    </row>
    <row r="5007" spans="28:35" ht="15" hidden="1" customHeight="1">
      <c r="AB5007" s="9"/>
      <c r="AC5007" s="9"/>
      <c r="AD5007" s="9"/>
      <c r="AF5007" s="10"/>
      <c r="AG5007" s="10"/>
      <c r="AH5007" s="10"/>
      <c r="AI5007" s="10"/>
    </row>
    <row r="5008" spans="28:35" ht="15" hidden="1" customHeight="1">
      <c r="AB5008" s="9"/>
      <c r="AC5008" s="9"/>
      <c r="AD5008" s="9"/>
      <c r="AF5008" s="10"/>
      <c r="AG5008" s="10"/>
      <c r="AH5008" s="10"/>
      <c r="AI5008" s="10"/>
    </row>
    <row r="5009" spans="28:35" ht="15" hidden="1" customHeight="1">
      <c r="AB5009" s="9"/>
      <c r="AC5009" s="9"/>
      <c r="AD5009" s="9"/>
      <c r="AF5009" s="10"/>
      <c r="AG5009" s="10"/>
      <c r="AH5009" s="10"/>
      <c r="AI5009" s="10"/>
    </row>
    <row r="5010" spans="28:35" ht="15" hidden="1" customHeight="1">
      <c r="AB5010" s="9"/>
      <c r="AC5010" s="9"/>
      <c r="AD5010" s="9"/>
      <c r="AF5010" s="10"/>
      <c r="AG5010" s="10"/>
      <c r="AH5010" s="10"/>
      <c r="AI5010" s="10"/>
    </row>
    <row r="5011" spans="28:35" ht="15" hidden="1" customHeight="1">
      <c r="AB5011" s="9"/>
      <c r="AC5011" s="9"/>
      <c r="AD5011" s="9"/>
      <c r="AF5011" s="10"/>
      <c r="AG5011" s="10"/>
      <c r="AH5011" s="10"/>
      <c r="AI5011" s="10"/>
    </row>
    <row r="5012" spans="28:35" ht="15" hidden="1" customHeight="1">
      <c r="AB5012" s="9"/>
      <c r="AC5012" s="9"/>
      <c r="AD5012" s="9"/>
      <c r="AF5012" s="10"/>
      <c r="AG5012" s="10"/>
      <c r="AH5012" s="10"/>
      <c r="AI5012" s="10"/>
    </row>
    <row r="5013" spans="28:35" ht="15" hidden="1" customHeight="1">
      <c r="AB5013" s="9"/>
      <c r="AC5013" s="9"/>
      <c r="AD5013" s="9"/>
      <c r="AF5013" s="10"/>
      <c r="AG5013" s="10"/>
      <c r="AH5013" s="10"/>
      <c r="AI5013" s="10"/>
    </row>
    <row r="5014" spans="28:35" ht="15" hidden="1" customHeight="1">
      <c r="AB5014" s="9"/>
      <c r="AC5014" s="9"/>
      <c r="AD5014" s="9"/>
      <c r="AF5014" s="10"/>
      <c r="AG5014" s="10"/>
      <c r="AH5014" s="10"/>
      <c r="AI5014" s="10"/>
    </row>
    <row r="5015" spans="28:35" ht="15" hidden="1" customHeight="1">
      <c r="AB5015" s="9"/>
      <c r="AC5015" s="9"/>
      <c r="AD5015" s="9"/>
      <c r="AF5015" s="10"/>
      <c r="AG5015" s="10"/>
      <c r="AH5015" s="10"/>
      <c r="AI5015" s="10"/>
    </row>
    <row r="5016" spans="28:35" ht="15" hidden="1" customHeight="1">
      <c r="AB5016" s="9"/>
      <c r="AC5016" s="9"/>
      <c r="AD5016" s="9"/>
      <c r="AF5016" s="10"/>
      <c r="AG5016" s="10"/>
      <c r="AH5016" s="10"/>
      <c r="AI5016" s="10"/>
    </row>
    <row r="5017" spans="28:35" ht="15" hidden="1" customHeight="1">
      <c r="AB5017" s="9"/>
      <c r="AC5017" s="9"/>
      <c r="AD5017" s="9"/>
      <c r="AF5017" s="10"/>
      <c r="AG5017" s="10"/>
      <c r="AH5017" s="10"/>
      <c r="AI5017" s="10"/>
    </row>
    <row r="5018" spans="28:35" ht="15" hidden="1" customHeight="1">
      <c r="AB5018" s="9"/>
      <c r="AC5018" s="9"/>
      <c r="AD5018" s="9"/>
      <c r="AF5018" s="10"/>
      <c r="AG5018" s="10"/>
      <c r="AH5018" s="10"/>
      <c r="AI5018" s="10"/>
    </row>
    <row r="5019" spans="28:35" ht="15" hidden="1" customHeight="1">
      <c r="AB5019" s="9"/>
      <c r="AC5019" s="9"/>
      <c r="AD5019" s="9"/>
      <c r="AF5019" s="10"/>
      <c r="AG5019" s="10"/>
      <c r="AH5019" s="10"/>
      <c r="AI5019" s="10"/>
    </row>
    <row r="5020" spans="28:35" ht="15" hidden="1" customHeight="1">
      <c r="AB5020" s="9"/>
      <c r="AC5020" s="9"/>
      <c r="AD5020" s="9"/>
      <c r="AF5020" s="10"/>
      <c r="AG5020" s="10"/>
      <c r="AH5020" s="10"/>
      <c r="AI5020" s="10"/>
    </row>
    <row r="5021" spans="28:35" ht="15" hidden="1" customHeight="1">
      <c r="AB5021" s="9"/>
      <c r="AC5021" s="9"/>
      <c r="AD5021" s="9"/>
      <c r="AF5021" s="10"/>
      <c r="AG5021" s="10"/>
      <c r="AH5021" s="10"/>
      <c r="AI5021" s="10"/>
    </row>
    <row r="5022" spans="28:35" ht="15" hidden="1" customHeight="1">
      <c r="AB5022" s="9"/>
      <c r="AC5022" s="9"/>
      <c r="AD5022" s="9"/>
      <c r="AF5022" s="10"/>
      <c r="AG5022" s="10"/>
      <c r="AH5022" s="10"/>
      <c r="AI5022" s="10"/>
    </row>
    <row r="5023" spans="28:35" ht="15" hidden="1" customHeight="1">
      <c r="AB5023" s="9"/>
      <c r="AC5023" s="9"/>
      <c r="AD5023" s="9"/>
      <c r="AF5023" s="10"/>
      <c r="AG5023" s="10"/>
      <c r="AH5023" s="10"/>
      <c r="AI5023" s="10"/>
    </row>
    <row r="5024" spans="28:35" ht="15" hidden="1" customHeight="1">
      <c r="AB5024" s="9"/>
      <c r="AC5024" s="9"/>
      <c r="AD5024" s="9"/>
      <c r="AF5024" s="10"/>
      <c r="AG5024" s="10"/>
      <c r="AH5024" s="10"/>
      <c r="AI5024" s="10"/>
    </row>
    <row r="5025" spans="28:35" ht="15" hidden="1" customHeight="1">
      <c r="AB5025" s="9"/>
      <c r="AC5025" s="9"/>
      <c r="AD5025" s="9"/>
      <c r="AF5025" s="10"/>
      <c r="AG5025" s="10"/>
      <c r="AH5025" s="10"/>
      <c r="AI5025" s="10"/>
    </row>
    <row r="5026" spans="28:35" ht="15" hidden="1" customHeight="1">
      <c r="AB5026" s="9"/>
      <c r="AC5026" s="9"/>
      <c r="AD5026" s="9"/>
      <c r="AF5026" s="10"/>
      <c r="AG5026" s="10"/>
      <c r="AH5026" s="10"/>
      <c r="AI5026" s="10"/>
    </row>
    <row r="5027" spans="28:35" ht="15" hidden="1" customHeight="1">
      <c r="AB5027" s="9"/>
      <c r="AC5027" s="9"/>
      <c r="AD5027" s="9"/>
      <c r="AF5027" s="10"/>
      <c r="AG5027" s="10"/>
      <c r="AH5027" s="10"/>
      <c r="AI5027" s="10"/>
    </row>
    <row r="5028" spans="28:35" ht="15" hidden="1" customHeight="1">
      <c r="AB5028" s="9"/>
      <c r="AC5028" s="9"/>
      <c r="AD5028" s="9"/>
      <c r="AF5028" s="10"/>
      <c r="AG5028" s="10"/>
      <c r="AH5028" s="10"/>
      <c r="AI5028" s="10"/>
    </row>
    <row r="5029" spans="28:35" ht="15" hidden="1" customHeight="1">
      <c r="AB5029" s="9"/>
      <c r="AC5029" s="9"/>
      <c r="AD5029" s="9"/>
      <c r="AF5029" s="10"/>
      <c r="AG5029" s="10"/>
      <c r="AH5029" s="10"/>
      <c r="AI5029" s="10"/>
    </row>
    <row r="5030" spans="28:35" ht="15" hidden="1" customHeight="1">
      <c r="AB5030" s="9"/>
      <c r="AC5030" s="9"/>
      <c r="AD5030" s="9"/>
      <c r="AF5030" s="10"/>
      <c r="AG5030" s="10"/>
      <c r="AH5030" s="10"/>
      <c r="AI5030" s="10"/>
    </row>
    <row r="5031" spans="28:35" ht="15" hidden="1" customHeight="1">
      <c r="AB5031" s="9"/>
      <c r="AC5031" s="9"/>
      <c r="AD5031" s="9"/>
      <c r="AF5031" s="10"/>
      <c r="AG5031" s="10"/>
      <c r="AH5031" s="10"/>
      <c r="AI5031" s="10"/>
    </row>
    <row r="5032" spans="28:35" ht="15" hidden="1" customHeight="1">
      <c r="AB5032" s="9"/>
      <c r="AC5032" s="9"/>
      <c r="AD5032" s="9"/>
      <c r="AF5032" s="10"/>
      <c r="AG5032" s="10"/>
      <c r="AH5032" s="10"/>
      <c r="AI5032" s="10"/>
    </row>
    <row r="5033" spans="28:35" ht="15" hidden="1" customHeight="1">
      <c r="AB5033" s="9"/>
      <c r="AC5033" s="9"/>
      <c r="AD5033" s="9"/>
      <c r="AF5033" s="10"/>
      <c r="AG5033" s="10"/>
      <c r="AH5033" s="10"/>
      <c r="AI5033" s="10"/>
    </row>
    <row r="5034" spans="28:35" ht="15" hidden="1" customHeight="1">
      <c r="AB5034" s="9"/>
      <c r="AC5034" s="9"/>
      <c r="AD5034" s="9"/>
      <c r="AF5034" s="10"/>
      <c r="AG5034" s="10"/>
      <c r="AH5034" s="10"/>
      <c r="AI5034" s="10"/>
    </row>
    <row r="5035" spans="28:35" ht="15" hidden="1" customHeight="1">
      <c r="AB5035" s="9"/>
      <c r="AC5035" s="9"/>
      <c r="AD5035" s="9"/>
      <c r="AF5035" s="10"/>
      <c r="AG5035" s="10"/>
      <c r="AH5035" s="10"/>
      <c r="AI5035" s="10"/>
    </row>
    <row r="5036" spans="28:35" ht="15" hidden="1" customHeight="1">
      <c r="AB5036" s="9"/>
      <c r="AC5036" s="9"/>
      <c r="AD5036" s="9"/>
      <c r="AF5036" s="10"/>
      <c r="AG5036" s="10"/>
      <c r="AH5036" s="10"/>
      <c r="AI5036" s="10"/>
    </row>
    <row r="5037" spans="28:35" ht="15" hidden="1" customHeight="1">
      <c r="AB5037" s="9"/>
      <c r="AC5037" s="9"/>
      <c r="AD5037" s="9"/>
      <c r="AF5037" s="10"/>
      <c r="AG5037" s="10"/>
      <c r="AH5037" s="10"/>
      <c r="AI5037" s="10"/>
    </row>
    <row r="5038" spans="28:35" ht="15" hidden="1" customHeight="1">
      <c r="AB5038" s="9"/>
      <c r="AC5038" s="9"/>
      <c r="AD5038" s="9"/>
      <c r="AF5038" s="10"/>
      <c r="AG5038" s="10"/>
      <c r="AH5038" s="10"/>
      <c r="AI5038" s="10"/>
    </row>
    <row r="5039" spans="28:35" ht="15" hidden="1" customHeight="1">
      <c r="AB5039" s="9"/>
      <c r="AC5039" s="9"/>
      <c r="AD5039" s="9"/>
      <c r="AF5039" s="10"/>
      <c r="AG5039" s="10"/>
      <c r="AH5039" s="10"/>
      <c r="AI5039" s="10"/>
    </row>
    <row r="5040" spans="28:35" ht="15" hidden="1" customHeight="1">
      <c r="AB5040" s="9"/>
      <c r="AC5040" s="9"/>
      <c r="AD5040" s="9"/>
      <c r="AF5040" s="10"/>
      <c r="AG5040" s="10"/>
      <c r="AH5040" s="10"/>
      <c r="AI5040" s="10"/>
    </row>
    <row r="5041" spans="28:35" ht="15" hidden="1" customHeight="1">
      <c r="AB5041" s="9"/>
      <c r="AC5041" s="9"/>
      <c r="AD5041" s="9"/>
      <c r="AF5041" s="10"/>
      <c r="AG5041" s="10"/>
      <c r="AH5041" s="10"/>
      <c r="AI5041" s="10"/>
    </row>
    <row r="5042" spans="28:35" ht="15" hidden="1" customHeight="1">
      <c r="AB5042" s="9"/>
      <c r="AC5042" s="9"/>
      <c r="AD5042" s="9"/>
      <c r="AF5042" s="10"/>
      <c r="AG5042" s="10"/>
      <c r="AH5042" s="10"/>
      <c r="AI5042" s="10"/>
    </row>
    <row r="5043" spans="28:35" ht="15" hidden="1" customHeight="1">
      <c r="AB5043" s="9"/>
      <c r="AC5043" s="9"/>
      <c r="AD5043" s="9"/>
      <c r="AF5043" s="10"/>
      <c r="AG5043" s="10"/>
      <c r="AH5043" s="10"/>
      <c r="AI5043" s="10"/>
    </row>
    <row r="5044" spans="28:35" ht="15" hidden="1" customHeight="1">
      <c r="AB5044" s="9"/>
      <c r="AC5044" s="9"/>
      <c r="AD5044" s="9"/>
      <c r="AF5044" s="10"/>
      <c r="AG5044" s="10"/>
      <c r="AH5044" s="10"/>
      <c r="AI5044" s="10"/>
    </row>
    <row r="5045" spans="28:35" ht="15" hidden="1" customHeight="1">
      <c r="AB5045" s="9"/>
      <c r="AC5045" s="9"/>
      <c r="AD5045" s="9"/>
      <c r="AF5045" s="10"/>
      <c r="AG5045" s="10"/>
      <c r="AH5045" s="10"/>
      <c r="AI5045" s="10"/>
    </row>
    <row r="5046" spans="28:35" ht="15" hidden="1" customHeight="1">
      <c r="AB5046" s="9"/>
      <c r="AC5046" s="9"/>
      <c r="AD5046" s="9"/>
      <c r="AF5046" s="10"/>
      <c r="AG5046" s="10"/>
      <c r="AH5046" s="10"/>
      <c r="AI5046" s="10"/>
    </row>
    <row r="5047" spans="28:35" ht="15" hidden="1" customHeight="1">
      <c r="AB5047" s="9"/>
      <c r="AC5047" s="9"/>
      <c r="AD5047" s="9"/>
      <c r="AF5047" s="10"/>
      <c r="AG5047" s="10"/>
      <c r="AH5047" s="10"/>
      <c r="AI5047" s="10"/>
    </row>
    <row r="5048" spans="28:35" ht="15" hidden="1" customHeight="1">
      <c r="AB5048" s="9"/>
      <c r="AC5048" s="9"/>
      <c r="AD5048" s="9"/>
      <c r="AF5048" s="10"/>
      <c r="AG5048" s="10"/>
      <c r="AH5048" s="10"/>
      <c r="AI5048" s="10"/>
    </row>
    <row r="5049" spans="28:35" ht="15" hidden="1" customHeight="1">
      <c r="AB5049" s="9"/>
      <c r="AC5049" s="9"/>
      <c r="AD5049" s="9"/>
      <c r="AF5049" s="10"/>
      <c r="AG5049" s="10"/>
      <c r="AH5049" s="10"/>
      <c r="AI5049" s="10"/>
    </row>
    <row r="5050" spans="28:35" ht="15" hidden="1" customHeight="1">
      <c r="AB5050" s="9"/>
      <c r="AC5050" s="9"/>
      <c r="AD5050" s="9"/>
      <c r="AF5050" s="10"/>
      <c r="AG5050" s="10"/>
      <c r="AH5050" s="10"/>
      <c r="AI5050" s="10"/>
    </row>
    <row r="5051" spans="28:35" ht="15" hidden="1" customHeight="1">
      <c r="AB5051" s="9"/>
      <c r="AC5051" s="9"/>
      <c r="AD5051" s="9"/>
      <c r="AF5051" s="10"/>
      <c r="AG5051" s="10"/>
      <c r="AH5051" s="10"/>
      <c r="AI5051" s="10"/>
    </row>
    <row r="5052" spans="28:35" ht="15" hidden="1" customHeight="1">
      <c r="AB5052" s="9"/>
      <c r="AC5052" s="9"/>
      <c r="AD5052" s="9"/>
      <c r="AF5052" s="10"/>
      <c r="AG5052" s="10"/>
      <c r="AH5052" s="10"/>
      <c r="AI5052" s="10"/>
    </row>
    <row r="5053" spans="28:35" ht="15" hidden="1" customHeight="1">
      <c r="AB5053" s="9"/>
      <c r="AC5053" s="9"/>
      <c r="AD5053" s="9"/>
      <c r="AF5053" s="10"/>
      <c r="AG5053" s="10"/>
      <c r="AH5053" s="10"/>
      <c r="AI5053" s="10"/>
    </row>
    <row r="5054" spans="28:35" ht="15" hidden="1" customHeight="1">
      <c r="AB5054" s="9"/>
      <c r="AC5054" s="9"/>
      <c r="AD5054" s="9"/>
      <c r="AF5054" s="10"/>
      <c r="AG5054" s="10"/>
      <c r="AH5054" s="10"/>
      <c r="AI5054" s="10"/>
    </row>
    <row r="5055" spans="28:35" ht="15" hidden="1" customHeight="1">
      <c r="AB5055" s="9"/>
      <c r="AC5055" s="9"/>
      <c r="AD5055" s="9"/>
      <c r="AF5055" s="10"/>
      <c r="AG5055" s="10"/>
      <c r="AH5055" s="10"/>
      <c r="AI5055" s="10"/>
    </row>
    <row r="5056" spans="28:35" ht="15" hidden="1" customHeight="1">
      <c r="AB5056" s="9"/>
      <c r="AC5056" s="9"/>
      <c r="AD5056" s="9"/>
      <c r="AF5056" s="10"/>
      <c r="AG5056" s="10"/>
      <c r="AH5056" s="10"/>
      <c r="AI5056" s="10"/>
    </row>
    <row r="5057" spans="28:35" ht="15" hidden="1" customHeight="1">
      <c r="AB5057" s="9"/>
      <c r="AC5057" s="9"/>
      <c r="AD5057" s="9"/>
      <c r="AF5057" s="10"/>
      <c r="AG5057" s="10"/>
      <c r="AH5057" s="10"/>
      <c r="AI5057" s="10"/>
    </row>
    <row r="5058" spans="28:35" ht="15" hidden="1" customHeight="1">
      <c r="AB5058" s="9"/>
      <c r="AC5058" s="9"/>
      <c r="AD5058" s="9"/>
      <c r="AF5058" s="10"/>
      <c r="AG5058" s="10"/>
      <c r="AH5058" s="10"/>
      <c r="AI5058" s="10"/>
    </row>
    <row r="5059" spans="28:35" ht="15" hidden="1" customHeight="1">
      <c r="AB5059" s="9"/>
      <c r="AC5059" s="9"/>
      <c r="AD5059" s="9"/>
      <c r="AF5059" s="10"/>
      <c r="AG5059" s="10"/>
      <c r="AH5059" s="10"/>
      <c r="AI5059" s="10"/>
    </row>
    <row r="5060" spans="28:35" ht="15" hidden="1" customHeight="1">
      <c r="AB5060" s="9"/>
      <c r="AC5060" s="9"/>
      <c r="AD5060" s="9"/>
      <c r="AF5060" s="10"/>
      <c r="AG5060" s="10"/>
      <c r="AH5060" s="10"/>
      <c r="AI5060" s="10"/>
    </row>
    <row r="5061" spans="28:35" ht="15" hidden="1" customHeight="1">
      <c r="AB5061" s="9"/>
      <c r="AC5061" s="9"/>
      <c r="AD5061" s="9"/>
      <c r="AF5061" s="10"/>
      <c r="AG5061" s="10"/>
      <c r="AH5061" s="10"/>
      <c r="AI5061" s="10"/>
    </row>
    <row r="5062" spans="28:35" ht="15" hidden="1" customHeight="1">
      <c r="AB5062" s="9"/>
      <c r="AC5062" s="9"/>
      <c r="AD5062" s="9"/>
      <c r="AF5062" s="10"/>
      <c r="AG5062" s="10"/>
      <c r="AH5062" s="10"/>
      <c r="AI5062" s="10"/>
    </row>
    <row r="5063" spans="28:35" ht="15" hidden="1" customHeight="1">
      <c r="AB5063" s="9"/>
      <c r="AC5063" s="9"/>
      <c r="AD5063" s="9"/>
      <c r="AF5063" s="10"/>
      <c r="AG5063" s="10"/>
      <c r="AH5063" s="10"/>
      <c r="AI5063" s="10"/>
    </row>
    <row r="5064" spans="28:35" ht="15" hidden="1" customHeight="1">
      <c r="AB5064" s="9"/>
      <c r="AC5064" s="9"/>
      <c r="AD5064" s="9"/>
      <c r="AF5064" s="10"/>
      <c r="AG5064" s="10"/>
      <c r="AH5064" s="10"/>
      <c r="AI5064" s="10"/>
    </row>
    <row r="5065" spans="28:35" ht="15" hidden="1" customHeight="1">
      <c r="AB5065" s="9"/>
      <c r="AC5065" s="9"/>
      <c r="AD5065" s="9"/>
      <c r="AF5065" s="10"/>
      <c r="AG5065" s="10"/>
      <c r="AH5065" s="10"/>
      <c r="AI5065" s="10"/>
    </row>
    <row r="5066" spans="28:35" ht="15" hidden="1" customHeight="1">
      <c r="AB5066" s="9"/>
      <c r="AC5066" s="9"/>
      <c r="AD5066" s="9"/>
      <c r="AF5066" s="10"/>
      <c r="AG5066" s="10"/>
      <c r="AH5066" s="10"/>
      <c r="AI5066" s="10"/>
    </row>
    <row r="5067" spans="28:35" ht="15" hidden="1" customHeight="1">
      <c r="AB5067" s="9"/>
      <c r="AC5067" s="9"/>
      <c r="AD5067" s="9"/>
      <c r="AF5067" s="10"/>
      <c r="AG5067" s="10"/>
      <c r="AH5067" s="10"/>
      <c r="AI5067" s="10"/>
    </row>
    <row r="5068" spans="28:35" ht="15" hidden="1" customHeight="1">
      <c r="AB5068" s="9"/>
      <c r="AC5068" s="9"/>
      <c r="AD5068" s="9"/>
      <c r="AF5068" s="10"/>
      <c r="AG5068" s="10"/>
      <c r="AH5068" s="10"/>
      <c r="AI5068" s="10"/>
    </row>
    <row r="5069" spans="28:35" ht="15" hidden="1" customHeight="1">
      <c r="AB5069" s="9"/>
      <c r="AC5069" s="9"/>
      <c r="AD5069" s="9"/>
      <c r="AF5069" s="10"/>
      <c r="AG5069" s="10"/>
      <c r="AH5069" s="10"/>
      <c r="AI5069" s="10"/>
    </row>
    <row r="5070" spans="28:35" ht="15" hidden="1" customHeight="1">
      <c r="AB5070" s="9"/>
      <c r="AC5070" s="9"/>
      <c r="AD5070" s="9"/>
      <c r="AF5070" s="10"/>
      <c r="AG5070" s="10"/>
      <c r="AH5070" s="10"/>
      <c r="AI5070" s="10"/>
    </row>
    <row r="5071" spans="28:35" ht="15" hidden="1" customHeight="1">
      <c r="AB5071" s="9"/>
      <c r="AC5071" s="9"/>
      <c r="AD5071" s="9"/>
      <c r="AF5071" s="10"/>
      <c r="AG5071" s="10"/>
      <c r="AH5071" s="10"/>
      <c r="AI5071" s="10"/>
    </row>
    <row r="5072" spans="28:35" ht="15" hidden="1" customHeight="1">
      <c r="AB5072" s="9"/>
      <c r="AC5072" s="9"/>
      <c r="AD5072" s="9"/>
      <c r="AF5072" s="10"/>
      <c r="AG5072" s="10"/>
      <c r="AH5072" s="10"/>
      <c r="AI5072" s="10"/>
    </row>
    <row r="5073" spans="28:35" ht="15" hidden="1" customHeight="1">
      <c r="AB5073" s="9"/>
      <c r="AC5073" s="9"/>
      <c r="AD5073" s="9"/>
      <c r="AF5073" s="10"/>
      <c r="AG5073" s="10"/>
      <c r="AH5073" s="10"/>
      <c r="AI5073" s="10"/>
    </row>
    <row r="5074" spans="28:35" ht="15" hidden="1" customHeight="1">
      <c r="AB5074" s="9"/>
      <c r="AC5074" s="9"/>
      <c r="AD5074" s="9"/>
      <c r="AF5074" s="10"/>
      <c r="AG5074" s="10"/>
      <c r="AH5074" s="10"/>
      <c r="AI5074" s="10"/>
    </row>
    <row r="5075" spans="28:35" ht="15" hidden="1" customHeight="1">
      <c r="AB5075" s="9"/>
      <c r="AC5075" s="9"/>
      <c r="AD5075" s="9"/>
      <c r="AF5075" s="10"/>
      <c r="AG5075" s="10"/>
      <c r="AH5075" s="10"/>
      <c r="AI5075" s="10"/>
    </row>
    <row r="5076" spans="28:35" ht="15" hidden="1" customHeight="1">
      <c r="AB5076" s="9"/>
      <c r="AC5076" s="9"/>
      <c r="AD5076" s="9"/>
      <c r="AF5076" s="10"/>
      <c r="AG5076" s="10"/>
      <c r="AH5076" s="10"/>
      <c r="AI5076" s="10"/>
    </row>
    <row r="5077" spans="28:35" ht="15" hidden="1" customHeight="1">
      <c r="AB5077" s="9"/>
      <c r="AC5077" s="9"/>
      <c r="AD5077" s="9"/>
      <c r="AF5077" s="10"/>
      <c r="AG5077" s="10"/>
      <c r="AH5077" s="10"/>
      <c r="AI5077" s="10"/>
    </row>
    <row r="5078" spans="28:35" ht="15" hidden="1" customHeight="1">
      <c r="AB5078" s="9"/>
      <c r="AC5078" s="9"/>
      <c r="AD5078" s="9"/>
      <c r="AF5078" s="10"/>
      <c r="AG5078" s="10"/>
      <c r="AH5078" s="10"/>
      <c r="AI5078" s="10"/>
    </row>
    <row r="5079" spans="28:35" ht="15" hidden="1" customHeight="1">
      <c r="AB5079" s="9"/>
      <c r="AC5079" s="9"/>
      <c r="AD5079" s="9"/>
      <c r="AF5079" s="10"/>
      <c r="AG5079" s="10"/>
      <c r="AH5079" s="10"/>
      <c r="AI5079" s="10"/>
    </row>
    <row r="5080" spans="28:35" ht="15" hidden="1" customHeight="1">
      <c r="AB5080" s="9"/>
      <c r="AC5080" s="9"/>
      <c r="AD5080" s="9"/>
      <c r="AF5080" s="10"/>
      <c r="AG5080" s="10"/>
      <c r="AH5080" s="10"/>
      <c r="AI5080" s="10"/>
    </row>
    <row r="5081" spans="28:35" ht="15" hidden="1" customHeight="1">
      <c r="AB5081" s="9"/>
      <c r="AC5081" s="9"/>
      <c r="AD5081" s="9"/>
      <c r="AF5081" s="10"/>
      <c r="AG5081" s="10"/>
      <c r="AH5081" s="10"/>
      <c r="AI5081" s="10"/>
    </row>
    <row r="5082" spans="28:35" ht="15" hidden="1" customHeight="1">
      <c r="AB5082" s="9"/>
      <c r="AC5082" s="9"/>
      <c r="AD5082" s="9"/>
      <c r="AF5082" s="10"/>
      <c r="AG5082" s="10"/>
      <c r="AH5082" s="10"/>
      <c r="AI5082" s="10"/>
    </row>
    <row r="5083" spans="28:35" ht="15" hidden="1" customHeight="1">
      <c r="AB5083" s="9"/>
      <c r="AC5083" s="9"/>
      <c r="AD5083" s="9"/>
      <c r="AF5083" s="10"/>
      <c r="AG5083" s="10"/>
      <c r="AH5083" s="10"/>
      <c r="AI5083" s="10"/>
    </row>
    <row r="5084" spans="28:35" ht="15" hidden="1" customHeight="1">
      <c r="AB5084" s="9"/>
      <c r="AC5084" s="9"/>
      <c r="AD5084" s="9"/>
      <c r="AF5084" s="10"/>
      <c r="AG5084" s="10"/>
      <c r="AH5084" s="10"/>
      <c r="AI5084" s="10"/>
    </row>
    <row r="5085" spans="28:35" ht="15" hidden="1" customHeight="1">
      <c r="AB5085" s="9"/>
      <c r="AC5085" s="9"/>
      <c r="AD5085" s="9"/>
      <c r="AF5085" s="10"/>
      <c r="AG5085" s="10"/>
      <c r="AH5085" s="10"/>
      <c r="AI5085" s="10"/>
    </row>
    <row r="5086" spans="28:35" ht="15" hidden="1" customHeight="1">
      <c r="AB5086" s="9"/>
      <c r="AC5086" s="9"/>
      <c r="AD5086" s="9"/>
      <c r="AF5086" s="10"/>
      <c r="AG5086" s="10"/>
      <c r="AH5086" s="10"/>
      <c r="AI5086" s="10"/>
    </row>
    <row r="5087" spans="28:35" ht="15" hidden="1" customHeight="1">
      <c r="AB5087" s="9"/>
      <c r="AC5087" s="9"/>
      <c r="AD5087" s="9"/>
      <c r="AF5087" s="10"/>
      <c r="AG5087" s="10"/>
      <c r="AH5087" s="10"/>
      <c r="AI5087" s="10"/>
    </row>
    <row r="5088" spans="28:35" ht="15" hidden="1" customHeight="1">
      <c r="AB5088" s="9"/>
      <c r="AC5088" s="9"/>
      <c r="AD5088" s="9"/>
      <c r="AF5088" s="10"/>
      <c r="AG5088" s="10"/>
      <c r="AH5088" s="10"/>
      <c r="AI5088" s="10"/>
    </row>
    <row r="5089" spans="28:35" ht="15" hidden="1" customHeight="1">
      <c r="AB5089" s="9"/>
      <c r="AC5089" s="9"/>
      <c r="AD5089" s="9"/>
      <c r="AF5089" s="10"/>
      <c r="AG5089" s="10"/>
      <c r="AH5089" s="10"/>
      <c r="AI5089" s="10"/>
    </row>
    <row r="5090" spans="28:35" ht="15" hidden="1" customHeight="1">
      <c r="AB5090" s="9"/>
      <c r="AC5090" s="9"/>
      <c r="AD5090" s="9"/>
      <c r="AF5090" s="10"/>
      <c r="AG5090" s="10"/>
      <c r="AH5090" s="10"/>
      <c r="AI5090" s="10"/>
    </row>
    <row r="5091" spans="28:35" ht="15" hidden="1" customHeight="1">
      <c r="AB5091" s="9"/>
      <c r="AC5091" s="9"/>
      <c r="AD5091" s="9"/>
      <c r="AF5091" s="10"/>
      <c r="AG5091" s="10"/>
      <c r="AH5091" s="10"/>
      <c r="AI5091" s="10"/>
    </row>
    <row r="5092" spans="28:35" ht="15" hidden="1" customHeight="1">
      <c r="AB5092" s="9"/>
      <c r="AC5092" s="9"/>
      <c r="AD5092" s="9"/>
      <c r="AF5092" s="10"/>
      <c r="AG5092" s="10"/>
      <c r="AH5092" s="10"/>
      <c r="AI5092" s="10"/>
    </row>
    <row r="5093" spans="28:35" ht="15" hidden="1" customHeight="1">
      <c r="AB5093" s="9"/>
      <c r="AC5093" s="9"/>
      <c r="AD5093" s="9"/>
      <c r="AF5093" s="10"/>
      <c r="AG5093" s="10"/>
      <c r="AH5093" s="10"/>
      <c r="AI5093" s="10"/>
    </row>
    <row r="5094" spans="28:35" ht="15" hidden="1" customHeight="1">
      <c r="AB5094" s="9"/>
      <c r="AC5094" s="9"/>
      <c r="AD5094" s="9"/>
      <c r="AF5094" s="10"/>
      <c r="AG5094" s="10"/>
      <c r="AH5094" s="10"/>
      <c r="AI5094" s="10"/>
    </row>
    <row r="5095" spans="28:35" ht="15" hidden="1" customHeight="1">
      <c r="AB5095" s="9"/>
      <c r="AC5095" s="9"/>
      <c r="AD5095" s="9"/>
      <c r="AF5095" s="10"/>
      <c r="AG5095" s="10"/>
      <c r="AH5095" s="10"/>
      <c r="AI5095" s="10"/>
    </row>
    <row r="5096" spans="28:35" ht="15" hidden="1" customHeight="1">
      <c r="AB5096" s="9"/>
      <c r="AC5096" s="9"/>
      <c r="AD5096" s="9"/>
      <c r="AF5096" s="10"/>
      <c r="AG5096" s="10"/>
      <c r="AH5096" s="10"/>
      <c r="AI5096" s="10"/>
    </row>
    <row r="5097" spans="28:35" ht="15" hidden="1" customHeight="1">
      <c r="AB5097" s="9"/>
      <c r="AC5097" s="9"/>
      <c r="AD5097" s="9"/>
      <c r="AF5097" s="10"/>
      <c r="AG5097" s="10"/>
      <c r="AH5097" s="10"/>
      <c r="AI5097" s="10"/>
    </row>
    <row r="5098" spans="28:35" ht="15" hidden="1" customHeight="1">
      <c r="AB5098" s="9"/>
      <c r="AC5098" s="9"/>
      <c r="AD5098" s="9"/>
      <c r="AF5098" s="10"/>
      <c r="AG5098" s="10"/>
      <c r="AH5098" s="10"/>
      <c r="AI5098" s="10"/>
    </row>
    <row r="5099" spans="28:35" ht="15" hidden="1" customHeight="1">
      <c r="AB5099" s="9"/>
      <c r="AC5099" s="9"/>
      <c r="AD5099" s="9"/>
      <c r="AF5099" s="10"/>
      <c r="AG5099" s="10"/>
      <c r="AH5099" s="10"/>
      <c r="AI5099" s="10"/>
    </row>
    <row r="5100" spans="28:35" ht="15" hidden="1" customHeight="1">
      <c r="AB5100" s="9"/>
      <c r="AC5100" s="9"/>
      <c r="AD5100" s="9"/>
      <c r="AF5100" s="10"/>
      <c r="AG5100" s="10"/>
      <c r="AH5100" s="10"/>
      <c r="AI5100" s="10"/>
    </row>
    <row r="5101" spans="28:35" ht="15" hidden="1" customHeight="1">
      <c r="AB5101" s="9"/>
      <c r="AC5101" s="9"/>
      <c r="AD5101" s="9"/>
      <c r="AF5101" s="10"/>
      <c r="AG5101" s="10"/>
      <c r="AH5101" s="10"/>
      <c r="AI5101" s="10"/>
    </row>
    <row r="5102" spans="28:35" ht="15" hidden="1" customHeight="1">
      <c r="AB5102" s="9"/>
      <c r="AC5102" s="9"/>
      <c r="AD5102" s="9"/>
      <c r="AF5102" s="10"/>
      <c r="AG5102" s="10"/>
      <c r="AH5102" s="10"/>
      <c r="AI5102" s="10"/>
    </row>
    <row r="5103" spans="28:35" ht="15" hidden="1" customHeight="1">
      <c r="AB5103" s="9"/>
      <c r="AC5103" s="9"/>
      <c r="AD5103" s="9"/>
      <c r="AF5103" s="10"/>
      <c r="AG5103" s="10"/>
      <c r="AH5103" s="10"/>
      <c r="AI5103" s="10"/>
    </row>
    <row r="5104" spans="28:35" ht="15" hidden="1" customHeight="1">
      <c r="AB5104" s="9"/>
      <c r="AC5104" s="9"/>
      <c r="AD5104" s="9"/>
      <c r="AF5104" s="10"/>
      <c r="AG5104" s="10"/>
      <c r="AH5104" s="10"/>
      <c r="AI5104" s="10"/>
    </row>
    <row r="5105" spans="28:35" ht="15" hidden="1" customHeight="1">
      <c r="AB5105" s="9"/>
      <c r="AC5105" s="9"/>
      <c r="AD5105" s="9"/>
      <c r="AF5105" s="10"/>
      <c r="AG5105" s="10"/>
      <c r="AH5105" s="10"/>
      <c r="AI5105" s="10"/>
    </row>
    <row r="5106" spans="28:35" ht="15" hidden="1" customHeight="1">
      <c r="AB5106" s="9"/>
      <c r="AC5106" s="9"/>
      <c r="AD5106" s="9"/>
      <c r="AF5106" s="10"/>
      <c r="AG5106" s="10"/>
      <c r="AH5106" s="10"/>
      <c r="AI5106" s="10"/>
    </row>
    <row r="5107" spans="28:35" ht="15" hidden="1" customHeight="1">
      <c r="AB5107" s="9"/>
      <c r="AC5107" s="9"/>
      <c r="AD5107" s="9"/>
      <c r="AF5107" s="10"/>
      <c r="AG5107" s="10"/>
      <c r="AH5107" s="10"/>
      <c r="AI5107" s="10"/>
    </row>
    <row r="5108" spans="28:35" ht="15" hidden="1" customHeight="1">
      <c r="AB5108" s="9"/>
      <c r="AC5108" s="9"/>
      <c r="AD5108" s="9"/>
      <c r="AF5108" s="10"/>
      <c r="AG5108" s="10"/>
      <c r="AH5108" s="10"/>
      <c r="AI5108" s="10"/>
    </row>
    <row r="5109" spans="28:35" ht="15" hidden="1" customHeight="1">
      <c r="AB5109" s="9"/>
      <c r="AC5109" s="9"/>
      <c r="AD5109" s="9"/>
      <c r="AF5109" s="10"/>
      <c r="AG5109" s="10"/>
      <c r="AH5109" s="10"/>
      <c r="AI5109" s="10"/>
    </row>
    <row r="5110" spans="28:35" ht="15" hidden="1" customHeight="1">
      <c r="AB5110" s="9"/>
      <c r="AC5110" s="9"/>
      <c r="AD5110" s="9"/>
      <c r="AF5110" s="10"/>
      <c r="AG5110" s="10"/>
      <c r="AH5110" s="10"/>
      <c r="AI5110" s="10"/>
    </row>
    <row r="5111" spans="28:35" ht="15" hidden="1" customHeight="1">
      <c r="AB5111" s="9"/>
      <c r="AC5111" s="9"/>
      <c r="AD5111" s="9"/>
      <c r="AF5111" s="10"/>
      <c r="AG5111" s="10"/>
      <c r="AH5111" s="10"/>
      <c r="AI5111" s="10"/>
    </row>
    <row r="5112" spans="28:35" ht="15" hidden="1" customHeight="1">
      <c r="AB5112" s="9"/>
      <c r="AC5112" s="9"/>
      <c r="AD5112" s="9"/>
      <c r="AF5112" s="10"/>
      <c r="AG5112" s="10"/>
      <c r="AH5112" s="10"/>
      <c r="AI5112" s="10"/>
    </row>
    <row r="5113" spans="28:35" ht="15" hidden="1" customHeight="1">
      <c r="AB5113" s="9"/>
      <c r="AC5113" s="9"/>
      <c r="AD5113" s="9"/>
      <c r="AF5113" s="10"/>
      <c r="AG5113" s="10"/>
      <c r="AH5113" s="10"/>
      <c r="AI5113" s="10"/>
    </row>
    <row r="5114" spans="28:35" ht="15" hidden="1" customHeight="1">
      <c r="AB5114" s="9"/>
      <c r="AC5114" s="9"/>
      <c r="AD5114" s="9"/>
      <c r="AF5114" s="10"/>
      <c r="AG5114" s="10"/>
      <c r="AH5114" s="10"/>
      <c r="AI5114" s="10"/>
    </row>
    <row r="5115" spans="28:35" ht="15" hidden="1" customHeight="1">
      <c r="AB5115" s="9"/>
      <c r="AC5115" s="9"/>
      <c r="AD5115" s="9"/>
      <c r="AF5115" s="10"/>
      <c r="AG5115" s="10"/>
      <c r="AH5115" s="10"/>
      <c r="AI5115" s="10"/>
    </row>
    <row r="5116" spans="28:35" ht="15" hidden="1" customHeight="1">
      <c r="AB5116" s="9"/>
      <c r="AC5116" s="9"/>
      <c r="AD5116" s="9"/>
      <c r="AF5116" s="10"/>
      <c r="AG5116" s="10"/>
      <c r="AH5116" s="10"/>
      <c r="AI5116" s="10"/>
    </row>
    <row r="5117" spans="28:35" ht="15" hidden="1" customHeight="1">
      <c r="AB5117" s="9"/>
      <c r="AC5117" s="9"/>
      <c r="AD5117" s="9"/>
      <c r="AF5117" s="10"/>
      <c r="AG5117" s="10"/>
      <c r="AH5117" s="10"/>
      <c r="AI5117" s="10"/>
    </row>
    <row r="5118" spans="28:35" ht="15" hidden="1" customHeight="1">
      <c r="AB5118" s="9"/>
      <c r="AC5118" s="9"/>
      <c r="AD5118" s="9"/>
      <c r="AF5118" s="10"/>
      <c r="AG5118" s="10"/>
      <c r="AH5118" s="10"/>
      <c r="AI5118" s="10"/>
    </row>
    <row r="5119" spans="28:35" ht="15" hidden="1" customHeight="1">
      <c r="AB5119" s="9"/>
      <c r="AC5119" s="9"/>
      <c r="AD5119" s="9"/>
      <c r="AF5119" s="10"/>
      <c r="AG5119" s="10"/>
      <c r="AH5119" s="10"/>
      <c r="AI5119" s="10"/>
    </row>
    <row r="5120" spans="28:35" ht="15" hidden="1" customHeight="1">
      <c r="AB5120" s="9"/>
      <c r="AC5120" s="9"/>
      <c r="AD5120" s="9"/>
      <c r="AF5120" s="10"/>
      <c r="AG5120" s="10"/>
      <c r="AH5120" s="10"/>
      <c r="AI5120" s="10"/>
    </row>
    <row r="5121" spans="28:35" ht="15" hidden="1" customHeight="1">
      <c r="AB5121" s="9"/>
      <c r="AC5121" s="9"/>
      <c r="AD5121" s="9"/>
      <c r="AF5121" s="10"/>
      <c r="AG5121" s="10"/>
      <c r="AH5121" s="10"/>
      <c r="AI5121" s="10"/>
    </row>
    <row r="5122" spans="28:35" ht="15" hidden="1" customHeight="1">
      <c r="AB5122" s="9"/>
      <c r="AC5122" s="9"/>
      <c r="AD5122" s="9"/>
      <c r="AF5122" s="10"/>
      <c r="AG5122" s="10"/>
      <c r="AH5122" s="10"/>
      <c r="AI5122" s="10"/>
    </row>
    <row r="5123" spans="28:35" ht="15" hidden="1" customHeight="1">
      <c r="AB5123" s="9"/>
      <c r="AC5123" s="9"/>
      <c r="AD5123" s="9"/>
      <c r="AF5123" s="10"/>
      <c r="AG5123" s="10"/>
      <c r="AH5123" s="10"/>
      <c r="AI5123" s="10"/>
    </row>
    <row r="5124" spans="28:35" ht="15" hidden="1" customHeight="1">
      <c r="AB5124" s="9"/>
      <c r="AC5124" s="9"/>
      <c r="AD5124" s="9"/>
      <c r="AF5124" s="10"/>
      <c r="AG5124" s="10"/>
      <c r="AH5124" s="10"/>
      <c r="AI5124" s="10"/>
    </row>
    <row r="5125" spans="28:35" ht="15" hidden="1" customHeight="1">
      <c r="AB5125" s="9"/>
      <c r="AC5125" s="9"/>
      <c r="AD5125" s="9"/>
      <c r="AF5125" s="10"/>
      <c r="AG5125" s="10"/>
      <c r="AH5125" s="10"/>
      <c r="AI5125" s="10"/>
    </row>
    <row r="5126" spans="28:35" ht="15" hidden="1" customHeight="1">
      <c r="AB5126" s="9"/>
      <c r="AC5126" s="9"/>
      <c r="AD5126" s="9"/>
      <c r="AF5126" s="10"/>
      <c r="AG5126" s="10"/>
      <c r="AH5126" s="10"/>
      <c r="AI5126" s="10"/>
    </row>
    <row r="5127" spans="28:35" ht="15" hidden="1" customHeight="1">
      <c r="AB5127" s="9"/>
      <c r="AC5127" s="9"/>
      <c r="AD5127" s="9"/>
      <c r="AF5127" s="10"/>
      <c r="AG5127" s="10"/>
      <c r="AH5127" s="10"/>
      <c r="AI5127" s="10"/>
    </row>
    <row r="5128" spans="28:35" ht="15" hidden="1" customHeight="1">
      <c r="AB5128" s="9"/>
      <c r="AC5128" s="9"/>
      <c r="AD5128" s="9"/>
      <c r="AF5128" s="10"/>
      <c r="AG5128" s="10"/>
      <c r="AH5128" s="10"/>
      <c r="AI5128" s="10"/>
    </row>
    <row r="5129" spans="28:35" ht="15" hidden="1" customHeight="1">
      <c r="AB5129" s="9"/>
      <c r="AC5129" s="9"/>
      <c r="AD5129" s="9"/>
      <c r="AF5129" s="10"/>
      <c r="AG5129" s="10"/>
      <c r="AH5129" s="10"/>
      <c r="AI5129" s="10"/>
    </row>
    <row r="5130" spans="28:35" ht="15" hidden="1" customHeight="1">
      <c r="AB5130" s="9"/>
      <c r="AC5130" s="9"/>
      <c r="AD5130" s="9"/>
      <c r="AF5130" s="10"/>
      <c r="AG5130" s="10"/>
      <c r="AH5130" s="10"/>
      <c r="AI5130" s="10"/>
    </row>
    <row r="5131" spans="28:35" ht="15" hidden="1" customHeight="1">
      <c r="AB5131" s="9"/>
      <c r="AC5131" s="9"/>
      <c r="AD5131" s="9"/>
      <c r="AF5131" s="10"/>
      <c r="AG5131" s="10"/>
      <c r="AH5131" s="10"/>
      <c r="AI5131" s="10"/>
    </row>
    <row r="5132" spans="28:35" ht="15" hidden="1" customHeight="1">
      <c r="AB5132" s="9"/>
      <c r="AC5132" s="9"/>
      <c r="AD5132" s="9"/>
      <c r="AF5132" s="10"/>
      <c r="AG5132" s="10"/>
      <c r="AH5132" s="10"/>
      <c r="AI5132" s="10"/>
    </row>
    <row r="5133" spans="28:35" ht="15" hidden="1" customHeight="1">
      <c r="AB5133" s="9"/>
      <c r="AC5133" s="9"/>
      <c r="AD5133" s="9"/>
      <c r="AF5133" s="10"/>
      <c r="AG5133" s="10"/>
      <c r="AH5133" s="10"/>
      <c r="AI5133" s="10"/>
    </row>
    <row r="5134" spans="28:35" ht="15" hidden="1" customHeight="1">
      <c r="AB5134" s="9"/>
      <c r="AC5134" s="9"/>
      <c r="AD5134" s="9"/>
      <c r="AF5134" s="10"/>
      <c r="AG5134" s="10"/>
      <c r="AH5134" s="10"/>
      <c r="AI5134" s="10"/>
    </row>
    <row r="5135" spans="28:35" ht="15" hidden="1" customHeight="1">
      <c r="AB5135" s="9"/>
      <c r="AC5135" s="9"/>
      <c r="AD5135" s="9"/>
      <c r="AF5135" s="10"/>
      <c r="AG5135" s="10"/>
      <c r="AH5135" s="10"/>
      <c r="AI5135" s="10"/>
    </row>
    <row r="5136" spans="28:35" ht="15" hidden="1" customHeight="1">
      <c r="AB5136" s="9"/>
      <c r="AC5136" s="9"/>
      <c r="AD5136" s="9"/>
      <c r="AF5136" s="10"/>
      <c r="AG5136" s="10"/>
      <c r="AH5136" s="10"/>
      <c r="AI5136" s="10"/>
    </row>
    <row r="5137" spans="28:35" ht="15" hidden="1" customHeight="1">
      <c r="AB5137" s="9"/>
      <c r="AC5137" s="9"/>
      <c r="AD5137" s="9"/>
      <c r="AF5137" s="10"/>
      <c r="AG5137" s="10"/>
      <c r="AH5137" s="10"/>
      <c r="AI5137" s="10"/>
    </row>
    <row r="5138" spans="28:35" ht="15" hidden="1" customHeight="1">
      <c r="AB5138" s="9"/>
      <c r="AC5138" s="9"/>
      <c r="AD5138" s="9"/>
      <c r="AF5138" s="10"/>
      <c r="AG5138" s="10"/>
      <c r="AH5138" s="10"/>
      <c r="AI5138" s="10"/>
    </row>
    <row r="5139" spans="28:35" ht="15" hidden="1" customHeight="1">
      <c r="AB5139" s="9"/>
      <c r="AC5139" s="9"/>
      <c r="AD5139" s="9"/>
      <c r="AF5139" s="10"/>
      <c r="AG5139" s="10"/>
      <c r="AH5139" s="10"/>
      <c r="AI5139" s="10"/>
    </row>
    <row r="5140" spans="28:35" ht="15" hidden="1" customHeight="1">
      <c r="AB5140" s="9"/>
      <c r="AC5140" s="9"/>
      <c r="AD5140" s="9"/>
      <c r="AF5140" s="10"/>
      <c r="AG5140" s="10"/>
      <c r="AH5140" s="10"/>
      <c r="AI5140" s="10"/>
    </row>
    <row r="5141" spans="28:35" ht="15" hidden="1" customHeight="1">
      <c r="AB5141" s="9"/>
      <c r="AC5141" s="9"/>
      <c r="AD5141" s="9"/>
      <c r="AF5141" s="10"/>
      <c r="AG5141" s="10"/>
      <c r="AH5141" s="10"/>
      <c r="AI5141" s="10"/>
    </row>
    <row r="5142" spans="28:35" ht="15" hidden="1" customHeight="1">
      <c r="AB5142" s="9"/>
      <c r="AC5142" s="9"/>
      <c r="AD5142" s="9"/>
      <c r="AF5142" s="10"/>
      <c r="AG5142" s="10"/>
      <c r="AH5142" s="10"/>
      <c r="AI5142" s="10"/>
    </row>
    <row r="5143" spans="28:35" ht="15" hidden="1" customHeight="1">
      <c r="AB5143" s="9"/>
      <c r="AC5143" s="9"/>
      <c r="AD5143" s="9"/>
      <c r="AF5143" s="10"/>
      <c r="AG5143" s="10"/>
      <c r="AH5143" s="10"/>
      <c r="AI5143" s="10"/>
    </row>
    <row r="5144" spans="28:35" ht="15" hidden="1" customHeight="1">
      <c r="AB5144" s="9"/>
      <c r="AC5144" s="9"/>
      <c r="AD5144" s="9"/>
      <c r="AF5144" s="10"/>
      <c r="AG5144" s="10"/>
      <c r="AH5144" s="10"/>
      <c r="AI5144" s="10"/>
    </row>
    <row r="5145" spans="28:35" ht="15" hidden="1" customHeight="1">
      <c r="AB5145" s="9"/>
      <c r="AC5145" s="9"/>
      <c r="AD5145" s="9"/>
      <c r="AF5145" s="10"/>
      <c r="AG5145" s="10"/>
      <c r="AH5145" s="10"/>
      <c r="AI5145" s="10"/>
    </row>
    <row r="5146" spans="28:35" ht="15" hidden="1" customHeight="1">
      <c r="AB5146" s="9"/>
      <c r="AC5146" s="9"/>
      <c r="AD5146" s="9"/>
      <c r="AF5146" s="10"/>
      <c r="AG5146" s="10"/>
      <c r="AH5146" s="10"/>
      <c r="AI5146" s="10"/>
    </row>
    <row r="5147" spans="28:35" ht="15" hidden="1" customHeight="1">
      <c r="AB5147" s="9"/>
      <c r="AC5147" s="9"/>
      <c r="AD5147" s="9"/>
      <c r="AF5147" s="10"/>
      <c r="AG5147" s="10"/>
      <c r="AH5147" s="10"/>
      <c r="AI5147" s="10"/>
    </row>
    <row r="5148" spans="28:35" ht="15" hidden="1" customHeight="1">
      <c r="AB5148" s="9"/>
      <c r="AC5148" s="9"/>
      <c r="AD5148" s="9"/>
      <c r="AF5148" s="10"/>
      <c r="AG5148" s="10"/>
      <c r="AH5148" s="10"/>
      <c r="AI5148" s="10"/>
    </row>
    <row r="5149" spans="28:35" ht="15" hidden="1" customHeight="1">
      <c r="AB5149" s="9"/>
      <c r="AC5149" s="9"/>
      <c r="AD5149" s="9"/>
      <c r="AF5149" s="10"/>
      <c r="AG5149" s="10"/>
      <c r="AH5149" s="10"/>
      <c r="AI5149" s="10"/>
    </row>
    <row r="5150" spans="28:35" ht="15" hidden="1" customHeight="1">
      <c r="AB5150" s="9"/>
      <c r="AC5150" s="9"/>
      <c r="AD5150" s="9"/>
      <c r="AF5150" s="10"/>
      <c r="AG5150" s="10"/>
      <c r="AH5150" s="10"/>
      <c r="AI5150" s="10"/>
    </row>
    <row r="5151" spans="28:35" ht="15" hidden="1" customHeight="1">
      <c r="AB5151" s="9"/>
      <c r="AC5151" s="9"/>
      <c r="AD5151" s="9"/>
      <c r="AF5151" s="10"/>
      <c r="AG5151" s="10"/>
      <c r="AH5151" s="10"/>
      <c r="AI5151" s="10"/>
    </row>
    <row r="5152" spans="28:35" ht="15" hidden="1" customHeight="1">
      <c r="AB5152" s="9"/>
      <c r="AC5152" s="9"/>
      <c r="AD5152" s="9"/>
      <c r="AF5152" s="10"/>
      <c r="AG5152" s="10"/>
      <c r="AH5152" s="10"/>
      <c r="AI5152" s="10"/>
    </row>
    <row r="5153" spans="28:35" ht="15" hidden="1" customHeight="1">
      <c r="AB5153" s="9"/>
      <c r="AC5153" s="9"/>
      <c r="AD5153" s="9"/>
      <c r="AF5153" s="10"/>
      <c r="AG5153" s="10"/>
      <c r="AH5153" s="10"/>
      <c r="AI5153" s="10"/>
    </row>
    <row r="5154" spans="28:35" ht="15" hidden="1" customHeight="1">
      <c r="AB5154" s="9"/>
      <c r="AC5154" s="9"/>
      <c r="AD5154" s="9"/>
      <c r="AF5154" s="10"/>
      <c r="AG5154" s="10"/>
      <c r="AH5154" s="10"/>
      <c r="AI5154" s="10"/>
    </row>
    <row r="5155" spans="28:35" ht="15" hidden="1" customHeight="1">
      <c r="AB5155" s="9"/>
      <c r="AC5155" s="9"/>
      <c r="AD5155" s="9"/>
      <c r="AF5155" s="10"/>
      <c r="AG5155" s="10"/>
      <c r="AH5155" s="10"/>
      <c r="AI5155" s="10"/>
    </row>
    <row r="5156" spans="28:35" ht="15" hidden="1" customHeight="1">
      <c r="AB5156" s="9"/>
      <c r="AC5156" s="9"/>
      <c r="AD5156" s="9"/>
      <c r="AF5156" s="10"/>
      <c r="AG5156" s="10"/>
      <c r="AH5156" s="10"/>
      <c r="AI5156" s="10"/>
    </row>
    <row r="5157" spans="28:35" ht="15" hidden="1" customHeight="1">
      <c r="AB5157" s="9"/>
      <c r="AC5157" s="9"/>
      <c r="AD5157" s="9"/>
      <c r="AF5157" s="10"/>
      <c r="AG5157" s="10"/>
      <c r="AH5157" s="10"/>
      <c r="AI5157" s="10"/>
    </row>
    <row r="5158" spans="28:35" ht="15" hidden="1" customHeight="1">
      <c r="AB5158" s="9"/>
      <c r="AC5158" s="9"/>
      <c r="AD5158" s="9"/>
      <c r="AF5158" s="10"/>
      <c r="AG5158" s="10"/>
      <c r="AH5158" s="10"/>
      <c r="AI5158" s="10"/>
    </row>
    <row r="5159" spans="28:35" ht="15" hidden="1" customHeight="1">
      <c r="AB5159" s="9"/>
      <c r="AC5159" s="9"/>
      <c r="AD5159" s="9"/>
      <c r="AF5159" s="10"/>
      <c r="AG5159" s="10"/>
      <c r="AH5159" s="10"/>
      <c r="AI5159" s="10"/>
    </row>
    <row r="5160" spans="28:35" ht="15" hidden="1" customHeight="1">
      <c r="AB5160" s="9"/>
      <c r="AC5160" s="9"/>
      <c r="AD5160" s="9"/>
      <c r="AF5160" s="10"/>
      <c r="AG5160" s="10"/>
      <c r="AH5160" s="10"/>
      <c r="AI5160" s="10"/>
    </row>
    <row r="5161" spans="28:35" ht="15" hidden="1" customHeight="1">
      <c r="AB5161" s="9"/>
      <c r="AC5161" s="9"/>
      <c r="AD5161" s="9"/>
      <c r="AF5161" s="10"/>
      <c r="AG5161" s="10"/>
      <c r="AH5161" s="10"/>
      <c r="AI5161" s="10"/>
    </row>
    <row r="5162" spans="28:35" ht="15" hidden="1" customHeight="1">
      <c r="AB5162" s="9"/>
      <c r="AC5162" s="9"/>
      <c r="AD5162" s="9"/>
      <c r="AF5162" s="10"/>
      <c r="AG5162" s="10"/>
      <c r="AH5162" s="10"/>
      <c r="AI5162" s="10"/>
    </row>
    <row r="5163" spans="28:35" ht="15" hidden="1" customHeight="1">
      <c r="AB5163" s="9"/>
      <c r="AC5163" s="9"/>
      <c r="AD5163" s="9"/>
      <c r="AF5163" s="10"/>
      <c r="AG5163" s="10"/>
      <c r="AH5163" s="10"/>
      <c r="AI5163" s="10"/>
    </row>
    <row r="5164" spans="28:35" ht="15" hidden="1" customHeight="1">
      <c r="AB5164" s="9"/>
      <c r="AC5164" s="9"/>
      <c r="AD5164" s="9"/>
      <c r="AF5164" s="10"/>
      <c r="AG5164" s="10"/>
      <c r="AH5164" s="10"/>
      <c r="AI5164" s="10"/>
    </row>
    <row r="5165" spans="28:35" ht="15" hidden="1" customHeight="1">
      <c r="AB5165" s="9"/>
      <c r="AC5165" s="9"/>
      <c r="AD5165" s="9"/>
      <c r="AF5165" s="10"/>
      <c r="AG5165" s="10"/>
      <c r="AH5165" s="10"/>
      <c r="AI5165" s="10"/>
    </row>
    <row r="5166" spans="28:35" ht="15" hidden="1" customHeight="1">
      <c r="AB5166" s="9"/>
      <c r="AC5166" s="9"/>
      <c r="AD5166" s="9"/>
      <c r="AF5166" s="10"/>
      <c r="AG5166" s="10"/>
      <c r="AH5166" s="10"/>
      <c r="AI5166" s="10"/>
    </row>
    <row r="5167" spans="28:35" ht="15" hidden="1" customHeight="1">
      <c r="AB5167" s="9"/>
      <c r="AC5167" s="9"/>
      <c r="AD5167" s="9"/>
      <c r="AF5167" s="10"/>
      <c r="AG5167" s="10"/>
      <c r="AH5167" s="10"/>
      <c r="AI5167" s="10"/>
    </row>
    <row r="5168" spans="28:35" ht="15" hidden="1" customHeight="1">
      <c r="AB5168" s="9"/>
      <c r="AC5168" s="9"/>
      <c r="AD5168" s="9"/>
      <c r="AF5168" s="10"/>
      <c r="AG5168" s="10"/>
      <c r="AH5168" s="10"/>
      <c r="AI5168" s="10"/>
    </row>
    <row r="5169" spans="28:35" ht="15" hidden="1" customHeight="1">
      <c r="AB5169" s="9"/>
      <c r="AC5169" s="9"/>
      <c r="AD5169" s="9"/>
      <c r="AF5169" s="10"/>
      <c r="AG5169" s="10"/>
      <c r="AH5169" s="10"/>
      <c r="AI5169" s="10"/>
    </row>
    <row r="5170" spans="28:35" ht="15" hidden="1" customHeight="1">
      <c r="AB5170" s="9"/>
      <c r="AC5170" s="9"/>
      <c r="AD5170" s="9"/>
      <c r="AF5170" s="10"/>
      <c r="AG5170" s="10"/>
      <c r="AH5170" s="10"/>
      <c r="AI5170" s="10"/>
    </row>
    <row r="5171" spans="28:35" ht="15" hidden="1" customHeight="1">
      <c r="AB5171" s="9"/>
      <c r="AC5171" s="9"/>
      <c r="AD5171" s="9"/>
      <c r="AF5171" s="10"/>
      <c r="AG5171" s="10"/>
      <c r="AH5171" s="10"/>
      <c r="AI5171" s="10"/>
    </row>
    <row r="5172" spans="28:35" ht="15" hidden="1" customHeight="1">
      <c r="AB5172" s="9"/>
      <c r="AC5172" s="9"/>
      <c r="AD5172" s="9"/>
      <c r="AF5172" s="10"/>
      <c r="AG5172" s="10"/>
      <c r="AH5172" s="10"/>
      <c r="AI5172" s="10"/>
    </row>
    <row r="5173" spans="28:35" ht="15" hidden="1" customHeight="1">
      <c r="AB5173" s="9"/>
      <c r="AC5173" s="9"/>
      <c r="AD5173" s="9"/>
      <c r="AF5173" s="10"/>
      <c r="AG5173" s="10"/>
      <c r="AH5173" s="10"/>
      <c r="AI5173" s="10"/>
    </row>
    <row r="5174" spans="28:35" ht="15" hidden="1" customHeight="1">
      <c r="AB5174" s="9"/>
      <c r="AC5174" s="9"/>
      <c r="AD5174" s="9"/>
      <c r="AF5174" s="10"/>
      <c r="AG5174" s="10"/>
      <c r="AH5174" s="10"/>
      <c r="AI5174" s="10"/>
    </row>
    <row r="5175" spans="28:35" ht="15" hidden="1" customHeight="1">
      <c r="AB5175" s="9"/>
      <c r="AC5175" s="9"/>
      <c r="AD5175" s="9"/>
      <c r="AF5175" s="10"/>
      <c r="AG5175" s="10"/>
      <c r="AH5175" s="10"/>
      <c r="AI5175" s="10"/>
    </row>
    <row r="5176" spans="28:35" ht="15" hidden="1" customHeight="1">
      <c r="AB5176" s="9"/>
      <c r="AC5176" s="9"/>
      <c r="AD5176" s="9"/>
      <c r="AF5176" s="10"/>
      <c r="AG5176" s="10"/>
      <c r="AH5176" s="10"/>
      <c r="AI5176" s="10"/>
    </row>
    <row r="5177" spans="28:35" ht="15" hidden="1" customHeight="1">
      <c r="AB5177" s="9"/>
      <c r="AC5177" s="9"/>
      <c r="AD5177" s="9"/>
      <c r="AF5177" s="10"/>
      <c r="AG5177" s="10"/>
      <c r="AH5177" s="10"/>
      <c r="AI5177" s="10"/>
    </row>
    <row r="5178" spans="28:35" ht="15" hidden="1" customHeight="1">
      <c r="AB5178" s="9"/>
      <c r="AC5178" s="9"/>
      <c r="AD5178" s="9"/>
      <c r="AF5178" s="10"/>
      <c r="AG5178" s="10"/>
      <c r="AH5178" s="10"/>
      <c r="AI5178" s="10"/>
    </row>
    <row r="5179" spans="28:35" ht="15" hidden="1" customHeight="1">
      <c r="AB5179" s="9"/>
      <c r="AC5179" s="9"/>
      <c r="AD5179" s="9"/>
      <c r="AF5179" s="10"/>
      <c r="AG5179" s="10"/>
      <c r="AH5179" s="10"/>
      <c r="AI5179" s="10"/>
    </row>
    <row r="5180" spans="28:35" ht="15" hidden="1" customHeight="1">
      <c r="AB5180" s="9"/>
      <c r="AC5180" s="9"/>
      <c r="AD5180" s="9"/>
      <c r="AF5180" s="10"/>
      <c r="AG5180" s="10"/>
      <c r="AH5180" s="10"/>
      <c r="AI5180" s="10"/>
    </row>
    <row r="5181" spans="28:35" ht="15" hidden="1" customHeight="1">
      <c r="AB5181" s="9"/>
      <c r="AC5181" s="9"/>
      <c r="AD5181" s="9"/>
      <c r="AF5181" s="10"/>
      <c r="AG5181" s="10"/>
      <c r="AH5181" s="10"/>
      <c r="AI5181" s="10"/>
    </row>
    <row r="5182" spans="28:35" ht="15" hidden="1" customHeight="1">
      <c r="AB5182" s="9"/>
      <c r="AC5182" s="9"/>
      <c r="AD5182" s="9"/>
      <c r="AF5182" s="10"/>
      <c r="AG5182" s="10"/>
      <c r="AH5182" s="10"/>
      <c r="AI5182" s="10"/>
    </row>
    <row r="5183" spans="28:35" ht="15" hidden="1" customHeight="1">
      <c r="AB5183" s="9"/>
      <c r="AC5183" s="9"/>
      <c r="AD5183" s="9"/>
      <c r="AF5183" s="10"/>
      <c r="AG5183" s="10"/>
      <c r="AH5183" s="10"/>
      <c r="AI5183" s="10"/>
    </row>
    <row r="5184" spans="28:35" ht="15" hidden="1" customHeight="1">
      <c r="AB5184" s="9"/>
      <c r="AC5184" s="9"/>
      <c r="AD5184" s="9"/>
      <c r="AF5184" s="10"/>
      <c r="AG5184" s="10"/>
      <c r="AH5184" s="10"/>
      <c r="AI5184" s="10"/>
    </row>
    <row r="5185" spans="28:35" ht="15" hidden="1" customHeight="1">
      <c r="AB5185" s="9"/>
      <c r="AC5185" s="9"/>
      <c r="AD5185" s="9"/>
      <c r="AF5185" s="10"/>
      <c r="AG5185" s="10"/>
      <c r="AH5185" s="10"/>
      <c r="AI5185" s="10"/>
    </row>
    <row r="5186" spans="28:35" ht="15" hidden="1" customHeight="1">
      <c r="AB5186" s="9"/>
      <c r="AC5186" s="9"/>
      <c r="AD5186" s="9"/>
      <c r="AF5186" s="10"/>
      <c r="AG5186" s="10"/>
      <c r="AH5186" s="10"/>
      <c r="AI5186" s="10"/>
    </row>
    <row r="5187" spans="28:35" ht="15" hidden="1" customHeight="1">
      <c r="AB5187" s="9"/>
      <c r="AC5187" s="9"/>
      <c r="AD5187" s="9"/>
      <c r="AF5187" s="10"/>
      <c r="AG5187" s="10"/>
      <c r="AH5187" s="10"/>
      <c r="AI5187" s="10"/>
    </row>
    <row r="5188" spans="28:35" ht="15" hidden="1" customHeight="1">
      <c r="AB5188" s="9"/>
      <c r="AC5188" s="9"/>
      <c r="AD5188" s="9"/>
      <c r="AF5188" s="10"/>
      <c r="AG5188" s="10"/>
      <c r="AH5188" s="10"/>
      <c r="AI5188" s="10"/>
    </row>
    <row r="5189" spans="28:35" ht="15" hidden="1" customHeight="1">
      <c r="AB5189" s="9"/>
      <c r="AC5189" s="9"/>
      <c r="AD5189" s="9"/>
      <c r="AF5189" s="10"/>
      <c r="AG5189" s="10"/>
      <c r="AH5189" s="10"/>
      <c r="AI5189" s="10"/>
    </row>
    <row r="5190" spans="28:35" ht="15" hidden="1" customHeight="1">
      <c r="AB5190" s="9"/>
      <c r="AC5190" s="9"/>
      <c r="AD5190" s="9"/>
      <c r="AF5190" s="10"/>
      <c r="AG5190" s="10"/>
      <c r="AH5190" s="10"/>
      <c r="AI5190" s="10"/>
    </row>
    <row r="5191" spans="28:35" ht="15" hidden="1" customHeight="1">
      <c r="AB5191" s="9"/>
      <c r="AC5191" s="9"/>
      <c r="AD5191" s="9"/>
      <c r="AF5191" s="10"/>
      <c r="AG5191" s="10"/>
      <c r="AH5191" s="10"/>
      <c r="AI5191" s="10"/>
    </row>
    <row r="5192" spans="28:35" ht="15" hidden="1" customHeight="1">
      <c r="AB5192" s="9"/>
      <c r="AC5192" s="9"/>
      <c r="AD5192" s="9"/>
      <c r="AF5192" s="10"/>
      <c r="AG5192" s="10"/>
      <c r="AH5192" s="10"/>
      <c r="AI5192" s="10"/>
    </row>
    <row r="5193" spans="28:35" ht="15" hidden="1" customHeight="1">
      <c r="AB5193" s="9"/>
      <c r="AC5193" s="9"/>
      <c r="AD5193" s="9"/>
      <c r="AF5193" s="10"/>
      <c r="AG5193" s="10"/>
      <c r="AH5193" s="10"/>
      <c r="AI5193" s="10"/>
    </row>
    <row r="5194" spans="28:35" ht="15" hidden="1" customHeight="1">
      <c r="AB5194" s="9"/>
      <c r="AC5194" s="9"/>
      <c r="AD5194" s="9"/>
      <c r="AF5194" s="10"/>
      <c r="AG5194" s="10"/>
      <c r="AH5194" s="10"/>
      <c r="AI5194" s="10"/>
    </row>
    <row r="5195" spans="28:35" ht="15" hidden="1" customHeight="1">
      <c r="AB5195" s="9"/>
      <c r="AC5195" s="9"/>
      <c r="AD5195" s="9"/>
      <c r="AF5195" s="10"/>
      <c r="AG5195" s="10"/>
      <c r="AH5195" s="10"/>
      <c r="AI5195" s="10"/>
    </row>
    <row r="5196" spans="28:35" ht="15" hidden="1" customHeight="1">
      <c r="AB5196" s="9"/>
      <c r="AC5196" s="9"/>
      <c r="AD5196" s="9"/>
      <c r="AF5196" s="10"/>
      <c r="AG5196" s="10"/>
      <c r="AH5196" s="10"/>
      <c r="AI5196" s="10"/>
    </row>
    <row r="5197" spans="28:35" ht="15" hidden="1" customHeight="1">
      <c r="AB5197" s="9"/>
      <c r="AC5197" s="9"/>
      <c r="AD5197" s="9"/>
      <c r="AF5197" s="10"/>
      <c r="AG5197" s="10"/>
      <c r="AH5197" s="10"/>
      <c r="AI5197" s="10"/>
    </row>
    <row r="5198" spans="28:35" ht="15" hidden="1" customHeight="1">
      <c r="AB5198" s="9"/>
      <c r="AC5198" s="9"/>
      <c r="AD5198" s="9"/>
      <c r="AF5198" s="10"/>
      <c r="AG5198" s="10"/>
      <c r="AH5198" s="10"/>
      <c r="AI5198" s="10"/>
    </row>
    <row r="5199" spans="28:35" ht="15" hidden="1" customHeight="1">
      <c r="AB5199" s="9"/>
      <c r="AC5199" s="9"/>
      <c r="AD5199" s="9"/>
      <c r="AF5199" s="10"/>
      <c r="AG5199" s="10"/>
      <c r="AH5199" s="10"/>
      <c r="AI5199" s="10"/>
    </row>
    <row r="5200" spans="28:35" ht="15" hidden="1" customHeight="1">
      <c r="AB5200" s="9"/>
      <c r="AC5200" s="9"/>
      <c r="AD5200" s="9"/>
      <c r="AF5200" s="10"/>
      <c r="AG5200" s="10"/>
      <c r="AH5200" s="10"/>
      <c r="AI5200" s="10"/>
    </row>
    <row r="5201" spans="28:35" ht="15" hidden="1" customHeight="1">
      <c r="AB5201" s="9"/>
      <c r="AC5201" s="9"/>
      <c r="AD5201" s="9"/>
      <c r="AF5201" s="10"/>
      <c r="AG5201" s="10"/>
      <c r="AH5201" s="10"/>
      <c r="AI5201" s="10"/>
    </row>
    <row r="5202" spans="28:35" ht="15" hidden="1" customHeight="1">
      <c r="AB5202" s="9"/>
      <c r="AC5202" s="9"/>
      <c r="AD5202" s="9"/>
      <c r="AF5202" s="10"/>
      <c r="AG5202" s="10"/>
      <c r="AH5202" s="10"/>
      <c r="AI5202" s="10"/>
    </row>
    <row r="5203" spans="28:35" ht="15" hidden="1" customHeight="1">
      <c r="AB5203" s="9"/>
      <c r="AC5203" s="9"/>
      <c r="AD5203" s="9"/>
      <c r="AF5203" s="10"/>
      <c r="AG5203" s="10"/>
      <c r="AH5203" s="10"/>
      <c r="AI5203" s="10"/>
    </row>
    <row r="5204" spans="28:35" ht="15" hidden="1" customHeight="1">
      <c r="AB5204" s="9"/>
      <c r="AC5204" s="9"/>
      <c r="AD5204" s="9"/>
      <c r="AF5204" s="10"/>
      <c r="AG5204" s="10"/>
      <c r="AH5204" s="10"/>
      <c r="AI5204" s="10"/>
    </row>
    <row r="5205" spans="28:35" ht="15" hidden="1" customHeight="1">
      <c r="AB5205" s="9"/>
      <c r="AC5205" s="9"/>
      <c r="AD5205" s="9"/>
      <c r="AF5205" s="10"/>
      <c r="AG5205" s="10"/>
      <c r="AH5205" s="10"/>
      <c r="AI5205" s="10"/>
    </row>
    <row r="5206" spans="28:35" ht="15" hidden="1" customHeight="1">
      <c r="AB5206" s="9"/>
      <c r="AC5206" s="9"/>
      <c r="AD5206" s="9"/>
      <c r="AF5206" s="10"/>
      <c r="AG5206" s="10"/>
      <c r="AH5206" s="10"/>
      <c r="AI5206" s="10"/>
    </row>
    <row r="5207" spans="28:35" ht="15" hidden="1" customHeight="1">
      <c r="AB5207" s="9"/>
      <c r="AC5207" s="9"/>
      <c r="AD5207" s="9"/>
      <c r="AF5207" s="10"/>
      <c r="AG5207" s="10"/>
      <c r="AH5207" s="10"/>
      <c r="AI5207" s="10"/>
    </row>
    <row r="5208" spans="28:35" ht="15" hidden="1" customHeight="1">
      <c r="AB5208" s="9"/>
      <c r="AC5208" s="9"/>
      <c r="AD5208" s="9"/>
      <c r="AF5208" s="10"/>
      <c r="AG5208" s="10"/>
      <c r="AH5208" s="10"/>
      <c r="AI5208" s="10"/>
    </row>
    <row r="5209" spans="28:35" ht="15" hidden="1" customHeight="1">
      <c r="AB5209" s="9"/>
      <c r="AC5209" s="9"/>
      <c r="AD5209" s="9"/>
      <c r="AF5209" s="10"/>
      <c r="AG5209" s="10"/>
      <c r="AH5209" s="10"/>
      <c r="AI5209" s="10"/>
    </row>
    <row r="5210" spans="28:35" ht="15" hidden="1" customHeight="1">
      <c r="AB5210" s="9"/>
      <c r="AC5210" s="9"/>
      <c r="AD5210" s="9"/>
      <c r="AF5210" s="10"/>
      <c r="AG5210" s="10"/>
      <c r="AH5210" s="10"/>
      <c r="AI5210" s="10"/>
    </row>
    <row r="5211" spans="28:35" ht="15" hidden="1" customHeight="1">
      <c r="AB5211" s="9"/>
      <c r="AC5211" s="9"/>
      <c r="AD5211" s="9"/>
      <c r="AF5211" s="10"/>
      <c r="AG5211" s="10"/>
      <c r="AH5211" s="10"/>
      <c r="AI5211" s="10"/>
    </row>
    <row r="5212" spans="28:35" ht="15" hidden="1" customHeight="1">
      <c r="AB5212" s="9"/>
      <c r="AC5212" s="9"/>
      <c r="AD5212" s="9"/>
      <c r="AF5212" s="10"/>
      <c r="AG5212" s="10"/>
      <c r="AH5212" s="10"/>
      <c r="AI5212" s="10"/>
    </row>
    <row r="5213" spans="28:35" ht="15" hidden="1" customHeight="1">
      <c r="AB5213" s="9"/>
      <c r="AC5213" s="9"/>
      <c r="AD5213" s="9"/>
      <c r="AF5213" s="10"/>
      <c r="AG5213" s="10"/>
      <c r="AH5213" s="10"/>
      <c r="AI5213" s="10"/>
    </row>
    <row r="5214" spans="28:35" ht="15" hidden="1" customHeight="1">
      <c r="AB5214" s="9"/>
      <c r="AC5214" s="9"/>
      <c r="AD5214" s="9"/>
      <c r="AF5214" s="10"/>
      <c r="AG5214" s="10"/>
      <c r="AH5214" s="10"/>
      <c r="AI5214" s="10"/>
    </row>
    <row r="5215" spans="28:35" ht="15" hidden="1" customHeight="1">
      <c r="AB5215" s="9"/>
      <c r="AC5215" s="9"/>
      <c r="AD5215" s="9"/>
      <c r="AF5215" s="10"/>
      <c r="AG5215" s="10"/>
      <c r="AH5215" s="10"/>
      <c r="AI5215" s="10"/>
    </row>
    <row r="5216" spans="28:35" ht="15" hidden="1" customHeight="1">
      <c r="AB5216" s="9"/>
      <c r="AC5216" s="9"/>
      <c r="AD5216" s="9"/>
      <c r="AF5216" s="10"/>
      <c r="AG5216" s="10"/>
      <c r="AH5216" s="10"/>
      <c r="AI5216" s="10"/>
    </row>
    <row r="5217" spans="28:35" ht="15" hidden="1" customHeight="1">
      <c r="AB5217" s="9"/>
      <c r="AC5217" s="9"/>
      <c r="AD5217" s="9"/>
      <c r="AF5217" s="10"/>
      <c r="AG5217" s="10"/>
      <c r="AH5217" s="10"/>
      <c r="AI5217" s="10"/>
    </row>
    <row r="5218" spans="28:35" ht="15" hidden="1" customHeight="1">
      <c r="AB5218" s="9"/>
      <c r="AC5218" s="9"/>
      <c r="AD5218" s="9"/>
      <c r="AF5218" s="10"/>
      <c r="AG5218" s="10"/>
      <c r="AH5218" s="10"/>
      <c r="AI5218" s="10"/>
    </row>
    <row r="5219" spans="28:35" ht="15" hidden="1" customHeight="1">
      <c r="AB5219" s="9"/>
      <c r="AC5219" s="9"/>
      <c r="AD5219" s="9"/>
      <c r="AF5219" s="10"/>
      <c r="AG5219" s="10"/>
      <c r="AH5219" s="10"/>
      <c r="AI5219" s="10"/>
    </row>
    <row r="5220" spans="28:35" ht="15" hidden="1" customHeight="1">
      <c r="AB5220" s="9"/>
      <c r="AC5220" s="9"/>
      <c r="AD5220" s="9"/>
      <c r="AF5220" s="10"/>
      <c r="AG5220" s="10"/>
      <c r="AH5220" s="10"/>
      <c r="AI5220" s="10"/>
    </row>
    <row r="5221" spans="28:35" ht="15" hidden="1" customHeight="1">
      <c r="AB5221" s="9"/>
      <c r="AC5221" s="9"/>
      <c r="AD5221" s="9"/>
      <c r="AF5221" s="10"/>
      <c r="AG5221" s="10"/>
      <c r="AH5221" s="10"/>
      <c r="AI5221" s="10"/>
    </row>
    <row r="5222" spans="28:35" ht="15" hidden="1" customHeight="1">
      <c r="AB5222" s="9"/>
      <c r="AC5222" s="9"/>
      <c r="AD5222" s="9"/>
      <c r="AF5222" s="10"/>
      <c r="AG5222" s="10"/>
      <c r="AH5222" s="10"/>
      <c r="AI5222" s="10"/>
    </row>
    <row r="5223" spans="28:35" ht="15" hidden="1" customHeight="1">
      <c r="AB5223" s="9"/>
      <c r="AC5223" s="9"/>
      <c r="AD5223" s="9"/>
      <c r="AF5223" s="10"/>
      <c r="AG5223" s="10"/>
      <c r="AH5223" s="10"/>
      <c r="AI5223" s="10"/>
    </row>
    <row r="5224" spans="28:35" ht="15" hidden="1" customHeight="1">
      <c r="AB5224" s="9"/>
      <c r="AC5224" s="9"/>
      <c r="AD5224" s="9"/>
      <c r="AF5224" s="10"/>
      <c r="AG5224" s="10"/>
      <c r="AH5224" s="10"/>
      <c r="AI5224" s="10"/>
    </row>
    <row r="5225" spans="28:35" ht="15" hidden="1" customHeight="1">
      <c r="AB5225" s="9"/>
      <c r="AC5225" s="9"/>
      <c r="AD5225" s="9"/>
      <c r="AF5225" s="10"/>
      <c r="AG5225" s="10"/>
      <c r="AH5225" s="10"/>
      <c r="AI5225" s="10"/>
    </row>
    <row r="5226" spans="28:35" ht="15" hidden="1" customHeight="1">
      <c r="AB5226" s="9"/>
      <c r="AC5226" s="9"/>
      <c r="AD5226" s="9"/>
      <c r="AF5226" s="10"/>
      <c r="AG5226" s="10"/>
      <c r="AH5226" s="10"/>
      <c r="AI5226" s="10"/>
    </row>
    <row r="5227" spans="28:35" ht="15" hidden="1" customHeight="1">
      <c r="AB5227" s="9"/>
      <c r="AC5227" s="9"/>
      <c r="AD5227" s="9"/>
      <c r="AF5227" s="10"/>
      <c r="AG5227" s="10"/>
      <c r="AH5227" s="10"/>
      <c r="AI5227" s="10"/>
    </row>
    <row r="5228" spans="28:35" ht="15" hidden="1" customHeight="1">
      <c r="AB5228" s="9"/>
      <c r="AC5228" s="9"/>
      <c r="AD5228" s="9"/>
      <c r="AF5228" s="10"/>
      <c r="AG5228" s="10"/>
      <c r="AH5228" s="10"/>
      <c r="AI5228" s="10"/>
    </row>
    <row r="5229" spans="28:35" ht="15" hidden="1" customHeight="1">
      <c r="AB5229" s="9"/>
      <c r="AC5229" s="9"/>
      <c r="AD5229" s="9"/>
      <c r="AF5229" s="10"/>
      <c r="AG5229" s="10"/>
      <c r="AH5229" s="10"/>
      <c r="AI5229" s="10"/>
    </row>
    <row r="5230" spans="28:35" ht="15" hidden="1" customHeight="1">
      <c r="AB5230" s="9"/>
      <c r="AC5230" s="9"/>
      <c r="AD5230" s="9"/>
      <c r="AF5230" s="10"/>
      <c r="AG5230" s="10"/>
      <c r="AH5230" s="10"/>
      <c r="AI5230" s="10"/>
    </row>
    <row r="5231" spans="28:35" ht="15" hidden="1" customHeight="1">
      <c r="AB5231" s="9"/>
      <c r="AC5231" s="9"/>
      <c r="AD5231" s="9"/>
      <c r="AF5231" s="10"/>
      <c r="AG5231" s="10"/>
      <c r="AH5231" s="10"/>
      <c r="AI5231" s="10"/>
    </row>
    <row r="5232" spans="28:35" ht="15" hidden="1" customHeight="1">
      <c r="AB5232" s="9"/>
      <c r="AC5232" s="9"/>
      <c r="AD5232" s="9"/>
      <c r="AF5232" s="10"/>
      <c r="AG5232" s="10"/>
      <c r="AH5232" s="10"/>
      <c r="AI5232" s="10"/>
    </row>
    <row r="5233" spans="28:35" ht="15" hidden="1" customHeight="1">
      <c r="AB5233" s="9"/>
      <c r="AC5233" s="9"/>
      <c r="AD5233" s="9"/>
      <c r="AF5233" s="10"/>
      <c r="AG5233" s="10"/>
      <c r="AH5233" s="10"/>
      <c r="AI5233" s="10"/>
    </row>
    <row r="5234" spans="28:35" ht="15" hidden="1" customHeight="1">
      <c r="AB5234" s="9"/>
      <c r="AC5234" s="9"/>
      <c r="AD5234" s="9"/>
      <c r="AF5234" s="10"/>
      <c r="AG5234" s="10"/>
      <c r="AH5234" s="10"/>
      <c r="AI5234" s="10"/>
    </row>
    <row r="5235" spans="28:35" ht="15" hidden="1" customHeight="1">
      <c r="AB5235" s="9"/>
      <c r="AC5235" s="9"/>
      <c r="AD5235" s="9"/>
      <c r="AF5235" s="10"/>
      <c r="AG5235" s="10"/>
      <c r="AH5235" s="10"/>
      <c r="AI5235" s="10"/>
    </row>
    <row r="5236" spans="28:35" ht="15" hidden="1" customHeight="1">
      <c r="AB5236" s="9"/>
      <c r="AC5236" s="9"/>
      <c r="AD5236" s="9"/>
      <c r="AF5236" s="10"/>
      <c r="AG5236" s="10"/>
      <c r="AH5236" s="10"/>
      <c r="AI5236" s="10"/>
    </row>
    <row r="5237" spans="28:35" ht="15" hidden="1" customHeight="1">
      <c r="AB5237" s="9"/>
      <c r="AC5237" s="9"/>
      <c r="AD5237" s="9"/>
      <c r="AF5237" s="10"/>
      <c r="AG5237" s="10"/>
      <c r="AH5237" s="10"/>
      <c r="AI5237" s="10"/>
    </row>
    <row r="5238" spans="28:35" ht="15" hidden="1" customHeight="1">
      <c r="AB5238" s="9"/>
      <c r="AC5238" s="9"/>
      <c r="AD5238" s="9"/>
      <c r="AF5238" s="10"/>
      <c r="AG5238" s="10"/>
      <c r="AH5238" s="10"/>
      <c r="AI5238" s="10"/>
    </row>
    <row r="5239" spans="28:35" ht="15" hidden="1" customHeight="1">
      <c r="AB5239" s="9"/>
      <c r="AC5239" s="9"/>
      <c r="AD5239" s="9"/>
      <c r="AF5239" s="10"/>
      <c r="AG5239" s="10"/>
      <c r="AH5239" s="10"/>
      <c r="AI5239" s="10"/>
    </row>
    <row r="5240" spans="28:35" ht="15" hidden="1" customHeight="1">
      <c r="AB5240" s="9"/>
      <c r="AC5240" s="9"/>
      <c r="AD5240" s="9"/>
      <c r="AF5240" s="10"/>
      <c r="AG5240" s="10"/>
      <c r="AH5240" s="10"/>
      <c r="AI5240" s="10"/>
    </row>
    <row r="5241" spans="28:35" ht="15" hidden="1" customHeight="1">
      <c r="AB5241" s="9"/>
      <c r="AC5241" s="9"/>
      <c r="AD5241" s="9"/>
      <c r="AF5241" s="10"/>
      <c r="AG5241" s="10"/>
      <c r="AH5241" s="10"/>
      <c r="AI5241" s="10"/>
    </row>
    <row r="5242" spans="28:35" ht="15" hidden="1" customHeight="1">
      <c r="AB5242" s="9"/>
      <c r="AC5242" s="9"/>
      <c r="AD5242" s="9"/>
      <c r="AF5242" s="10"/>
      <c r="AG5242" s="10"/>
      <c r="AH5242" s="10"/>
      <c r="AI5242" s="10"/>
    </row>
    <row r="5243" spans="28:35" ht="15" hidden="1" customHeight="1">
      <c r="AB5243" s="9"/>
      <c r="AC5243" s="9"/>
      <c r="AD5243" s="9"/>
      <c r="AF5243" s="10"/>
      <c r="AG5243" s="10"/>
      <c r="AH5243" s="10"/>
      <c r="AI5243" s="10"/>
    </row>
    <row r="5244" spans="28:35" ht="15" hidden="1" customHeight="1">
      <c r="AB5244" s="9"/>
      <c r="AC5244" s="9"/>
      <c r="AD5244" s="9"/>
      <c r="AF5244" s="10"/>
      <c r="AG5244" s="10"/>
      <c r="AH5244" s="10"/>
      <c r="AI5244" s="10"/>
    </row>
    <row r="5245" spans="28:35" ht="15" hidden="1" customHeight="1">
      <c r="AB5245" s="9"/>
      <c r="AC5245" s="9"/>
      <c r="AD5245" s="9"/>
      <c r="AF5245" s="10"/>
      <c r="AG5245" s="10"/>
      <c r="AH5245" s="10"/>
      <c r="AI5245" s="10"/>
    </row>
    <row r="5246" spans="28:35" ht="15" hidden="1" customHeight="1">
      <c r="AB5246" s="9"/>
      <c r="AC5246" s="9"/>
      <c r="AD5246" s="9"/>
      <c r="AF5246" s="10"/>
      <c r="AG5246" s="10"/>
      <c r="AH5246" s="10"/>
      <c r="AI5246" s="10"/>
    </row>
    <row r="5247" spans="28:35" ht="15" hidden="1" customHeight="1">
      <c r="AB5247" s="9"/>
      <c r="AC5247" s="9"/>
      <c r="AD5247" s="9"/>
      <c r="AF5247" s="10"/>
      <c r="AG5247" s="10"/>
      <c r="AH5247" s="10"/>
      <c r="AI5247" s="10"/>
    </row>
    <row r="5248" spans="28:35" ht="15" hidden="1" customHeight="1">
      <c r="AB5248" s="9"/>
      <c r="AC5248" s="9"/>
      <c r="AD5248" s="9"/>
      <c r="AF5248" s="10"/>
      <c r="AG5248" s="10"/>
      <c r="AH5248" s="10"/>
      <c r="AI5248" s="10"/>
    </row>
    <row r="5249" spans="28:35" ht="15" hidden="1" customHeight="1">
      <c r="AB5249" s="9"/>
      <c r="AC5249" s="9"/>
      <c r="AD5249" s="9"/>
      <c r="AF5249" s="10"/>
      <c r="AG5249" s="10"/>
      <c r="AH5249" s="10"/>
      <c r="AI5249" s="10"/>
    </row>
    <row r="5250" spans="28:35" ht="15" hidden="1" customHeight="1">
      <c r="AB5250" s="9"/>
      <c r="AC5250" s="9"/>
      <c r="AD5250" s="9"/>
      <c r="AF5250" s="10"/>
      <c r="AG5250" s="10"/>
      <c r="AH5250" s="10"/>
      <c r="AI5250" s="10"/>
    </row>
    <row r="5251" spans="28:35" ht="15" hidden="1" customHeight="1">
      <c r="AB5251" s="9"/>
      <c r="AC5251" s="9"/>
      <c r="AD5251" s="9"/>
      <c r="AF5251" s="10"/>
      <c r="AG5251" s="10"/>
      <c r="AH5251" s="10"/>
      <c r="AI5251" s="10"/>
    </row>
    <row r="5252" spans="28:35" ht="15" hidden="1" customHeight="1">
      <c r="AB5252" s="9"/>
      <c r="AC5252" s="9"/>
      <c r="AD5252" s="9"/>
      <c r="AF5252" s="10"/>
      <c r="AG5252" s="10"/>
      <c r="AH5252" s="10"/>
      <c r="AI5252" s="10"/>
    </row>
    <row r="5253" spans="28:35" ht="15" hidden="1" customHeight="1">
      <c r="AB5253" s="9"/>
      <c r="AC5253" s="9"/>
      <c r="AD5253" s="9"/>
      <c r="AF5253" s="10"/>
      <c r="AG5253" s="10"/>
      <c r="AH5253" s="10"/>
      <c r="AI5253" s="10"/>
    </row>
    <row r="5254" spans="28:35" ht="15" hidden="1" customHeight="1">
      <c r="AB5254" s="9"/>
      <c r="AC5254" s="9"/>
      <c r="AD5254" s="9"/>
      <c r="AF5254" s="10"/>
      <c r="AG5254" s="10"/>
      <c r="AH5254" s="10"/>
      <c r="AI5254" s="10"/>
    </row>
    <row r="5255" spans="28:35" ht="15" hidden="1" customHeight="1">
      <c r="AB5255" s="9"/>
      <c r="AC5255" s="9"/>
      <c r="AD5255" s="9"/>
      <c r="AF5255" s="10"/>
      <c r="AG5255" s="10"/>
      <c r="AH5255" s="10"/>
      <c r="AI5255" s="10"/>
    </row>
    <row r="5256" spans="28:35" ht="15" hidden="1" customHeight="1">
      <c r="AB5256" s="9"/>
      <c r="AC5256" s="9"/>
      <c r="AD5256" s="9"/>
      <c r="AF5256" s="10"/>
      <c r="AG5256" s="10"/>
      <c r="AH5256" s="10"/>
      <c r="AI5256" s="10"/>
    </row>
    <row r="5257" spans="28:35" ht="15" hidden="1" customHeight="1">
      <c r="AB5257" s="9"/>
      <c r="AC5257" s="9"/>
      <c r="AD5257" s="9"/>
      <c r="AF5257" s="10"/>
      <c r="AG5257" s="10"/>
      <c r="AH5257" s="10"/>
      <c r="AI5257" s="10"/>
    </row>
    <row r="5258" spans="28:35" ht="15" hidden="1" customHeight="1">
      <c r="AB5258" s="9"/>
      <c r="AC5258" s="9"/>
      <c r="AD5258" s="9"/>
      <c r="AF5258" s="10"/>
      <c r="AG5258" s="10"/>
      <c r="AH5258" s="10"/>
      <c r="AI5258" s="10"/>
    </row>
    <row r="5259" spans="28:35" ht="15" hidden="1" customHeight="1">
      <c r="AB5259" s="9"/>
      <c r="AC5259" s="9"/>
      <c r="AD5259" s="9"/>
      <c r="AF5259" s="10"/>
      <c r="AG5259" s="10"/>
      <c r="AH5259" s="10"/>
      <c r="AI5259" s="10"/>
    </row>
    <row r="5260" spans="28:35" ht="15" hidden="1" customHeight="1">
      <c r="AB5260" s="9"/>
      <c r="AC5260" s="9"/>
      <c r="AD5260" s="9"/>
      <c r="AF5260" s="10"/>
      <c r="AG5260" s="10"/>
      <c r="AH5260" s="10"/>
      <c r="AI5260" s="10"/>
    </row>
    <row r="5261" spans="28:35" ht="15" hidden="1" customHeight="1">
      <c r="AB5261" s="9"/>
      <c r="AC5261" s="9"/>
      <c r="AD5261" s="9"/>
      <c r="AF5261" s="10"/>
      <c r="AG5261" s="10"/>
      <c r="AH5261" s="10"/>
      <c r="AI5261" s="10"/>
    </row>
    <row r="5262" spans="28:35" ht="15" hidden="1" customHeight="1">
      <c r="AB5262" s="9"/>
      <c r="AC5262" s="9"/>
      <c r="AD5262" s="9"/>
      <c r="AF5262" s="10"/>
      <c r="AG5262" s="10"/>
      <c r="AH5262" s="10"/>
      <c r="AI5262" s="10"/>
    </row>
    <row r="5263" spans="28:35" ht="15" hidden="1" customHeight="1">
      <c r="AB5263" s="9"/>
      <c r="AC5263" s="9"/>
      <c r="AD5263" s="9"/>
      <c r="AF5263" s="10"/>
      <c r="AG5263" s="10"/>
      <c r="AH5263" s="10"/>
      <c r="AI5263" s="10"/>
    </row>
    <row r="5264" spans="28:35" ht="15" hidden="1" customHeight="1">
      <c r="AB5264" s="9"/>
      <c r="AC5264" s="9"/>
      <c r="AD5264" s="9"/>
      <c r="AF5264" s="10"/>
      <c r="AG5264" s="10"/>
      <c r="AH5264" s="10"/>
      <c r="AI5264" s="10"/>
    </row>
    <row r="5265" spans="28:35" ht="15" hidden="1" customHeight="1">
      <c r="AB5265" s="9"/>
      <c r="AC5265" s="9"/>
      <c r="AD5265" s="9"/>
      <c r="AF5265" s="10"/>
      <c r="AG5265" s="10"/>
      <c r="AH5265" s="10"/>
      <c r="AI5265" s="10"/>
    </row>
    <row r="5266" spans="28:35" ht="15" hidden="1" customHeight="1">
      <c r="AB5266" s="9"/>
      <c r="AC5266" s="9"/>
      <c r="AD5266" s="9"/>
      <c r="AF5266" s="10"/>
      <c r="AG5266" s="10"/>
      <c r="AH5266" s="10"/>
      <c r="AI5266" s="10"/>
    </row>
    <row r="5267" spans="28:35" ht="15" hidden="1" customHeight="1">
      <c r="AB5267" s="9"/>
      <c r="AC5267" s="9"/>
      <c r="AD5267" s="9"/>
      <c r="AF5267" s="10"/>
      <c r="AG5267" s="10"/>
      <c r="AH5267" s="10"/>
      <c r="AI5267" s="10"/>
    </row>
    <row r="5268" spans="28:35" ht="15" hidden="1" customHeight="1">
      <c r="AB5268" s="9"/>
      <c r="AC5268" s="9"/>
      <c r="AD5268" s="9"/>
      <c r="AF5268" s="10"/>
      <c r="AG5268" s="10"/>
      <c r="AH5268" s="10"/>
      <c r="AI5268" s="10"/>
    </row>
    <row r="5269" spans="28:35" ht="15" hidden="1" customHeight="1">
      <c r="AB5269" s="9"/>
      <c r="AC5269" s="9"/>
      <c r="AD5269" s="9"/>
      <c r="AF5269" s="10"/>
      <c r="AG5269" s="10"/>
      <c r="AH5269" s="10"/>
      <c r="AI5269" s="10"/>
    </row>
    <row r="5270" spans="28:35" ht="15" hidden="1" customHeight="1">
      <c r="AB5270" s="9"/>
      <c r="AC5270" s="9"/>
      <c r="AD5270" s="9"/>
      <c r="AF5270" s="10"/>
      <c r="AG5270" s="10"/>
      <c r="AH5270" s="10"/>
      <c r="AI5270" s="10"/>
    </row>
    <row r="5271" spans="28:35" ht="15" hidden="1" customHeight="1">
      <c r="AB5271" s="9"/>
      <c r="AC5271" s="9"/>
      <c r="AD5271" s="9"/>
      <c r="AF5271" s="10"/>
      <c r="AG5271" s="10"/>
      <c r="AH5271" s="10"/>
      <c r="AI5271" s="10"/>
    </row>
    <row r="5272" spans="28:35" ht="15" hidden="1" customHeight="1">
      <c r="AB5272" s="9"/>
      <c r="AC5272" s="9"/>
      <c r="AD5272" s="9"/>
      <c r="AF5272" s="10"/>
      <c r="AG5272" s="10"/>
      <c r="AH5272" s="10"/>
      <c r="AI5272" s="10"/>
    </row>
    <row r="5273" spans="28:35" ht="15" hidden="1" customHeight="1">
      <c r="AB5273" s="9"/>
      <c r="AC5273" s="9"/>
      <c r="AD5273" s="9"/>
      <c r="AF5273" s="10"/>
      <c r="AG5273" s="10"/>
      <c r="AH5273" s="10"/>
      <c r="AI5273" s="10"/>
    </row>
    <row r="5274" spans="28:35" ht="15" hidden="1" customHeight="1">
      <c r="AB5274" s="9"/>
      <c r="AC5274" s="9"/>
      <c r="AD5274" s="9"/>
      <c r="AF5274" s="10"/>
      <c r="AG5274" s="10"/>
      <c r="AH5274" s="10"/>
      <c r="AI5274" s="10"/>
    </row>
    <row r="5275" spans="28:35" ht="15" hidden="1" customHeight="1">
      <c r="AB5275" s="9"/>
      <c r="AC5275" s="9"/>
      <c r="AD5275" s="9"/>
      <c r="AF5275" s="10"/>
      <c r="AG5275" s="10"/>
      <c r="AH5275" s="10"/>
      <c r="AI5275" s="10"/>
    </row>
    <row r="5276" spans="28:35" ht="15" hidden="1" customHeight="1">
      <c r="AB5276" s="9"/>
      <c r="AC5276" s="9"/>
      <c r="AD5276" s="9"/>
      <c r="AF5276" s="10"/>
      <c r="AG5276" s="10"/>
      <c r="AH5276" s="10"/>
      <c r="AI5276" s="10"/>
    </row>
    <row r="5277" spans="28:35" ht="15" hidden="1" customHeight="1">
      <c r="AB5277" s="9"/>
      <c r="AC5277" s="9"/>
      <c r="AD5277" s="9"/>
      <c r="AF5277" s="10"/>
      <c r="AG5277" s="10"/>
      <c r="AH5277" s="10"/>
      <c r="AI5277" s="10"/>
    </row>
    <row r="5278" spans="28:35" ht="15" hidden="1" customHeight="1">
      <c r="AB5278" s="9"/>
      <c r="AC5278" s="9"/>
      <c r="AD5278" s="9"/>
      <c r="AF5278" s="10"/>
      <c r="AG5278" s="10"/>
      <c r="AH5278" s="10"/>
      <c r="AI5278" s="10"/>
    </row>
    <row r="5279" spans="28:35" ht="15" hidden="1" customHeight="1">
      <c r="AB5279" s="9"/>
      <c r="AC5279" s="9"/>
      <c r="AD5279" s="9"/>
      <c r="AF5279" s="10"/>
      <c r="AG5279" s="10"/>
      <c r="AH5279" s="10"/>
      <c r="AI5279" s="10"/>
    </row>
    <row r="5280" spans="28:35" ht="15" hidden="1" customHeight="1">
      <c r="AB5280" s="9"/>
      <c r="AC5280" s="9"/>
      <c r="AD5280" s="9"/>
      <c r="AF5280" s="10"/>
      <c r="AG5280" s="10"/>
      <c r="AH5280" s="10"/>
      <c r="AI5280" s="10"/>
    </row>
    <row r="5281" spans="28:35" ht="15" hidden="1" customHeight="1">
      <c r="AB5281" s="9"/>
      <c r="AC5281" s="9"/>
      <c r="AD5281" s="9"/>
      <c r="AF5281" s="10"/>
      <c r="AG5281" s="10"/>
      <c r="AH5281" s="10"/>
      <c r="AI5281" s="10"/>
    </row>
    <row r="5282" spans="28:35" ht="15" hidden="1" customHeight="1">
      <c r="AB5282" s="9"/>
      <c r="AC5282" s="9"/>
      <c r="AD5282" s="9"/>
      <c r="AF5282" s="10"/>
      <c r="AG5282" s="10"/>
      <c r="AH5282" s="10"/>
      <c r="AI5282" s="10"/>
    </row>
    <row r="5283" spans="28:35" ht="15" hidden="1" customHeight="1">
      <c r="AB5283" s="9"/>
      <c r="AC5283" s="9"/>
      <c r="AD5283" s="9"/>
      <c r="AF5283" s="10"/>
      <c r="AG5283" s="10"/>
      <c r="AH5283" s="10"/>
      <c r="AI5283" s="10"/>
    </row>
    <row r="5284" spans="28:35" ht="15" hidden="1" customHeight="1">
      <c r="AB5284" s="9"/>
      <c r="AC5284" s="9"/>
      <c r="AD5284" s="9"/>
      <c r="AF5284" s="10"/>
      <c r="AG5284" s="10"/>
      <c r="AH5284" s="10"/>
      <c r="AI5284" s="10"/>
    </row>
    <row r="5285" spans="28:35" ht="15" hidden="1" customHeight="1">
      <c r="AB5285" s="9"/>
      <c r="AC5285" s="9"/>
      <c r="AD5285" s="9"/>
      <c r="AF5285" s="10"/>
      <c r="AG5285" s="10"/>
      <c r="AH5285" s="10"/>
      <c r="AI5285" s="10"/>
    </row>
    <row r="5286" spans="28:35" ht="15" hidden="1" customHeight="1">
      <c r="AB5286" s="9"/>
      <c r="AC5286" s="9"/>
      <c r="AD5286" s="9"/>
      <c r="AF5286" s="10"/>
      <c r="AG5286" s="10"/>
      <c r="AH5286" s="10"/>
      <c r="AI5286" s="10"/>
    </row>
    <row r="5287" spans="28:35" ht="15" hidden="1" customHeight="1">
      <c r="AB5287" s="9"/>
      <c r="AC5287" s="9"/>
      <c r="AD5287" s="9"/>
      <c r="AF5287" s="10"/>
      <c r="AG5287" s="10"/>
      <c r="AH5287" s="10"/>
      <c r="AI5287" s="10"/>
    </row>
    <row r="5288" spans="28:35" ht="15" hidden="1" customHeight="1">
      <c r="AB5288" s="9"/>
      <c r="AC5288" s="9"/>
      <c r="AD5288" s="9"/>
      <c r="AF5288" s="10"/>
      <c r="AG5288" s="10"/>
      <c r="AH5288" s="10"/>
      <c r="AI5288" s="10"/>
    </row>
    <row r="5289" spans="28:35" ht="15" hidden="1" customHeight="1">
      <c r="AB5289" s="9"/>
      <c r="AC5289" s="9"/>
      <c r="AD5289" s="9"/>
      <c r="AF5289" s="10"/>
      <c r="AG5289" s="10"/>
      <c r="AH5289" s="10"/>
      <c r="AI5289" s="10"/>
    </row>
    <row r="5290" spans="28:35" ht="15" hidden="1" customHeight="1">
      <c r="AB5290" s="9"/>
      <c r="AC5290" s="9"/>
      <c r="AD5290" s="9"/>
      <c r="AF5290" s="10"/>
      <c r="AG5290" s="10"/>
      <c r="AH5290" s="10"/>
      <c r="AI5290" s="10"/>
    </row>
    <row r="5291" spans="28:35" ht="15" hidden="1" customHeight="1">
      <c r="AB5291" s="9"/>
      <c r="AC5291" s="9"/>
      <c r="AD5291" s="9"/>
      <c r="AF5291" s="10"/>
      <c r="AG5291" s="10"/>
      <c r="AH5291" s="10"/>
      <c r="AI5291" s="10"/>
    </row>
    <row r="5292" spans="28:35" ht="15" hidden="1" customHeight="1">
      <c r="AB5292" s="9"/>
      <c r="AC5292" s="9"/>
      <c r="AD5292" s="9"/>
      <c r="AF5292" s="10"/>
      <c r="AG5292" s="10"/>
      <c r="AH5292" s="10"/>
      <c r="AI5292" s="10"/>
    </row>
    <row r="5293" spans="28:35" ht="15" hidden="1" customHeight="1">
      <c r="AB5293" s="9"/>
      <c r="AC5293" s="9"/>
      <c r="AD5293" s="9"/>
      <c r="AF5293" s="10"/>
      <c r="AG5293" s="10"/>
      <c r="AH5293" s="10"/>
      <c r="AI5293" s="10"/>
    </row>
    <row r="5294" spans="28:35" ht="15" hidden="1" customHeight="1">
      <c r="AB5294" s="9"/>
      <c r="AC5294" s="9"/>
      <c r="AD5294" s="9"/>
      <c r="AF5294" s="10"/>
      <c r="AG5294" s="10"/>
      <c r="AH5294" s="10"/>
      <c r="AI5294" s="10"/>
    </row>
    <row r="5295" spans="28:35" ht="15" hidden="1" customHeight="1">
      <c r="AB5295" s="9"/>
      <c r="AC5295" s="9"/>
      <c r="AD5295" s="9"/>
      <c r="AF5295" s="10"/>
      <c r="AG5295" s="10"/>
      <c r="AH5295" s="10"/>
      <c r="AI5295" s="10"/>
    </row>
    <row r="5296" spans="28:35" ht="15" hidden="1" customHeight="1">
      <c r="AB5296" s="9"/>
      <c r="AC5296" s="9"/>
      <c r="AD5296" s="9"/>
      <c r="AF5296" s="10"/>
      <c r="AG5296" s="10"/>
      <c r="AH5296" s="10"/>
      <c r="AI5296" s="10"/>
    </row>
    <row r="5297" spans="28:35" ht="15" hidden="1" customHeight="1">
      <c r="AB5297" s="9"/>
      <c r="AC5297" s="9"/>
      <c r="AD5297" s="9"/>
      <c r="AF5297" s="10"/>
      <c r="AG5297" s="10"/>
      <c r="AH5297" s="10"/>
      <c r="AI5297" s="10"/>
    </row>
    <row r="5298" spans="28:35" ht="15" hidden="1" customHeight="1">
      <c r="AB5298" s="9"/>
      <c r="AC5298" s="9"/>
      <c r="AD5298" s="9"/>
      <c r="AF5298" s="10"/>
      <c r="AG5298" s="10"/>
      <c r="AH5298" s="10"/>
      <c r="AI5298" s="10"/>
    </row>
    <row r="5299" spans="28:35" ht="15" hidden="1" customHeight="1">
      <c r="AB5299" s="9"/>
      <c r="AC5299" s="9"/>
      <c r="AD5299" s="9"/>
      <c r="AF5299" s="10"/>
      <c r="AG5299" s="10"/>
      <c r="AH5299" s="10"/>
      <c r="AI5299" s="10"/>
    </row>
    <row r="5300" spans="28:35" ht="15" hidden="1" customHeight="1">
      <c r="AB5300" s="9"/>
      <c r="AC5300" s="9"/>
      <c r="AD5300" s="9"/>
      <c r="AF5300" s="10"/>
      <c r="AG5300" s="10"/>
      <c r="AH5300" s="10"/>
      <c r="AI5300" s="10"/>
    </row>
    <row r="5301" spans="28:35" ht="15" hidden="1" customHeight="1">
      <c r="AB5301" s="9"/>
      <c r="AC5301" s="9"/>
      <c r="AD5301" s="9"/>
      <c r="AF5301" s="10"/>
      <c r="AG5301" s="10"/>
      <c r="AH5301" s="10"/>
      <c r="AI5301" s="10"/>
    </row>
    <row r="5302" spans="28:35" ht="15" hidden="1" customHeight="1">
      <c r="AB5302" s="9"/>
      <c r="AC5302" s="9"/>
      <c r="AD5302" s="9"/>
      <c r="AF5302" s="10"/>
      <c r="AG5302" s="10"/>
      <c r="AH5302" s="10"/>
      <c r="AI5302" s="10"/>
    </row>
    <row r="5303" spans="28:35" ht="15" hidden="1" customHeight="1">
      <c r="AB5303" s="9"/>
      <c r="AC5303" s="9"/>
      <c r="AD5303" s="9"/>
      <c r="AF5303" s="10"/>
      <c r="AG5303" s="10"/>
      <c r="AH5303" s="10"/>
      <c r="AI5303" s="10"/>
    </row>
    <row r="5304" spans="28:35" ht="15" hidden="1" customHeight="1">
      <c r="AB5304" s="9"/>
      <c r="AC5304" s="9"/>
      <c r="AD5304" s="9"/>
      <c r="AF5304" s="10"/>
      <c r="AG5304" s="10"/>
      <c r="AH5304" s="10"/>
      <c r="AI5304" s="10"/>
    </row>
    <row r="5305" spans="28:35" ht="15" hidden="1" customHeight="1">
      <c r="AB5305" s="9"/>
      <c r="AC5305" s="9"/>
      <c r="AD5305" s="9"/>
      <c r="AF5305" s="10"/>
      <c r="AG5305" s="10"/>
      <c r="AH5305" s="10"/>
      <c r="AI5305" s="10"/>
    </row>
    <row r="5306" spans="28:35" ht="15" hidden="1" customHeight="1">
      <c r="AB5306" s="9"/>
      <c r="AC5306" s="9"/>
      <c r="AD5306" s="9"/>
      <c r="AF5306" s="10"/>
      <c r="AG5306" s="10"/>
      <c r="AH5306" s="10"/>
      <c r="AI5306" s="10"/>
    </row>
    <row r="5307" spans="28:35" ht="15" hidden="1" customHeight="1">
      <c r="AB5307" s="9"/>
      <c r="AC5307" s="9"/>
      <c r="AD5307" s="9"/>
      <c r="AF5307" s="10"/>
      <c r="AG5307" s="10"/>
      <c r="AH5307" s="10"/>
      <c r="AI5307" s="10"/>
    </row>
    <row r="5308" spans="28:35" ht="15" hidden="1" customHeight="1">
      <c r="AB5308" s="9"/>
      <c r="AC5308" s="9"/>
      <c r="AD5308" s="9"/>
      <c r="AF5308" s="10"/>
      <c r="AG5308" s="10"/>
      <c r="AH5308" s="10"/>
      <c r="AI5308" s="10"/>
    </row>
    <row r="5309" spans="28:35" ht="15" hidden="1" customHeight="1">
      <c r="AB5309" s="9"/>
      <c r="AC5309" s="9"/>
      <c r="AD5309" s="9"/>
      <c r="AF5309" s="10"/>
      <c r="AG5309" s="10"/>
      <c r="AH5309" s="10"/>
      <c r="AI5309" s="10"/>
    </row>
    <row r="5310" spans="28:35" ht="15" hidden="1" customHeight="1">
      <c r="AB5310" s="9"/>
      <c r="AC5310" s="9"/>
      <c r="AD5310" s="9"/>
      <c r="AF5310" s="10"/>
      <c r="AG5310" s="10"/>
      <c r="AH5310" s="10"/>
      <c r="AI5310" s="10"/>
    </row>
    <row r="5311" spans="28:35" ht="15" hidden="1" customHeight="1">
      <c r="AB5311" s="9"/>
      <c r="AC5311" s="9"/>
      <c r="AD5311" s="9"/>
      <c r="AF5311" s="10"/>
      <c r="AG5311" s="10"/>
      <c r="AH5311" s="10"/>
      <c r="AI5311" s="10"/>
    </row>
    <row r="5312" spans="28:35" ht="15" hidden="1" customHeight="1">
      <c r="AB5312" s="9"/>
      <c r="AC5312" s="9"/>
      <c r="AD5312" s="9"/>
      <c r="AF5312" s="10"/>
      <c r="AG5312" s="10"/>
      <c r="AH5312" s="10"/>
      <c r="AI5312" s="10"/>
    </row>
    <row r="5313" spans="28:35" ht="15" hidden="1" customHeight="1">
      <c r="AB5313" s="9"/>
      <c r="AC5313" s="9"/>
      <c r="AD5313" s="9"/>
      <c r="AF5313" s="10"/>
      <c r="AG5313" s="10"/>
      <c r="AH5313" s="10"/>
      <c r="AI5313" s="10"/>
    </row>
    <row r="5314" spans="28:35" ht="15" hidden="1" customHeight="1">
      <c r="AB5314" s="9"/>
      <c r="AC5314" s="9"/>
      <c r="AD5314" s="9"/>
      <c r="AF5314" s="10"/>
      <c r="AG5314" s="10"/>
      <c r="AH5314" s="10"/>
      <c r="AI5314" s="10"/>
    </row>
    <row r="5315" spans="28:35" ht="15" hidden="1" customHeight="1">
      <c r="AB5315" s="9"/>
      <c r="AC5315" s="9"/>
      <c r="AD5315" s="9"/>
      <c r="AF5315" s="10"/>
      <c r="AG5315" s="10"/>
      <c r="AH5315" s="10"/>
      <c r="AI5315" s="10"/>
    </row>
    <row r="5316" spans="28:35" ht="15" hidden="1" customHeight="1">
      <c r="AB5316" s="9"/>
      <c r="AC5316" s="9"/>
      <c r="AD5316" s="9"/>
      <c r="AF5316" s="10"/>
      <c r="AG5316" s="10"/>
      <c r="AH5316" s="10"/>
      <c r="AI5316" s="10"/>
    </row>
    <row r="5317" spans="28:35" ht="15" hidden="1" customHeight="1">
      <c r="AB5317" s="9"/>
      <c r="AC5317" s="9"/>
      <c r="AD5317" s="9"/>
      <c r="AF5317" s="10"/>
      <c r="AG5317" s="10"/>
      <c r="AH5317" s="10"/>
      <c r="AI5317" s="10"/>
    </row>
    <row r="5318" spans="28:35" ht="15" hidden="1" customHeight="1">
      <c r="AB5318" s="9"/>
      <c r="AC5318" s="9"/>
      <c r="AD5318" s="9"/>
      <c r="AF5318" s="10"/>
      <c r="AG5318" s="10"/>
      <c r="AH5318" s="10"/>
      <c r="AI5318" s="10"/>
    </row>
    <row r="5319" spans="28:35" ht="15" hidden="1" customHeight="1">
      <c r="AB5319" s="9"/>
      <c r="AC5319" s="9"/>
      <c r="AD5319" s="9"/>
      <c r="AF5319" s="10"/>
      <c r="AG5319" s="10"/>
      <c r="AH5319" s="10"/>
      <c r="AI5319" s="10"/>
    </row>
    <row r="5320" spans="28:35" ht="15" hidden="1" customHeight="1">
      <c r="AB5320" s="9"/>
      <c r="AC5320" s="9"/>
      <c r="AD5320" s="9"/>
      <c r="AF5320" s="10"/>
      <c r="AG5320" s="10"/>
      <c r="AH5320" s="10"/>
      <c r="AI5320" s="10"/>
    </row>
    <row r="5321" spans="28:35" ht="15" hidden="1" customHeight="1">
      <c r="AB5321" s="9"/>
      <c r="AC5321" s="9"/>
      <c r="AD5321" s="9"/>
      <c r="AF5321" s="10"/>
      <c r="AG5321" s="10"/>
      <c r="AH5321" s="10"/>
      <c r="AI5321" s="10"/>
    </row>
    <row r="5322" spans="28:35" ht="15" hidden="1" customHeight="1">
      <c r="AB5322" s="9"/>
      <c r="AC5322" s="9"/>
      <c r="AD5322" s="9"/>
      <c r="AF5322" s="10"/>
      <c r="AG5322" s="10"/>
      <c r="AH5322" s="10"/>
      <c r="AI5322" s="10"/>
    </row>
    <row r="5323" spans="28:35" ht="15" hidden="1" customHeight="1">
      <c r="AB5323" s="9"/>
      <c r="AC5323" s="9"/>
      <c r="AD5323" s="9"/>
      <c r="AF5323" s="10"/>
      <c r="AG5323" s="10"/>
      <c r="AH5323" s="10"/>
      <c r="AI5323" s="10"/>
    </row>
    <row r="5324" spans="28:35" ht="15" hidden="1" customHeight="1">
      <c r="AB5324" s="9"/>
      <c r="AC5324" s="9"/>
      <c r="AD5324" s="9"/>
      <c r="AF5324" s="10"/>
      <c r="AG5324" s="10"/>
      <c r="AH5324" s="10"/>
      <c r="AI5324" s="10"/>
    </row>
    <row r="5325" spans="28:35" ht="15" hidden="1" customHeight="1">
      <c r="AB5325" s="9"/>
      <c r="AC5325" s="9"/>
      <c r="AD5325" s="9"/>
      <c r="AF5325" s="10"/>
      <c r="AG5325" s="10"/>
      <c r="AH5325" s="10"/>
      <c r="AI5325" s="10"/>
    </row>
    <row r="5326" spans="28:35" ht="15" hidden="1" customHeight="1">
      <c r="AB5326" s="9"/>
      <c r="AC5326" s="9"/>
      <c r="AD5326" s="9"/>
      <c r="AF5326" s="10"/>
      <c r="AG5326" s="10"/>
      <c r="AH5326" s="10"/>
      <c r="AI5326" s="10"/>
    </row>
    <row r="5327" spans="28:35" ht="15" hidden="1" customHeight="1">
      <c r="AB5327" s="9"/>
      <c r="AC5327" s="9"/>
      <c r="AD5327" s="9"/>
      <c r="AF5327" s="10"/>
      <c r="AG5327" s="10"/>
      <c r="AH5327" s="10"/>
      <c r="AI5327" s="10"/>
    </row>
    <row r="5328" spans="28:35" ht="15" hidden="1" customHeight="1">
      <c r="AB5328" s="9"/>
      <c r="AC5328" s="9"/>
      <c r="AD5328" s="9"/>
      <c r="AF5328" s="10"/>
      <c r="AG5328" s="10"/>
      <c r="AH5328" s="10"/>
      <c r="AI5328" s="10"/>
    </row>
    <row r="5329" spans="28:35" ht="15" hidden="1" customHeight="1">
      <c r="AB5329" s="9"/>
      <c r="AC5329" s="9"/>
      <c r="AD5329" s="9"/>
      <c r="AF5329" s="10"/>
      <c r="AG5329" s="10"/>
      <c r="AH5329" s="10"/>
      <c r="AI5329" s="10"/>
    </row>
    <row r="5330" spans="28:35" ht="15" hidden="1" customHeight="1">
      <c r="AB5330" s="9"/>
      <c r="AC5330" s="9"/>
      <c r="AD5330" s="9"/>
      <c r="AF5330" s="10"/>
      <c r="AG5330" s="10"/>
      <c r="AH5330" s="10"/>
      <c r="AI5330" s="10"/>
    </row>
    <row r="5331" spans="28:35" ht="15" hidden="1" customHeight="1">
      <c r="AB5331" s="9"/>
      <c r="AC5331" s="9"/>
      <c r="AD5331" s="9"/>
      <c r="AF5331" s="10"/>
      <c r="AG5331" s="10"/>
      <c r="AH5331" s="10"/>
      <c r="AI5331" s="10"/>
    </row>
    <row r="5332" spans="28:35" ht="15" hidden="1" customHeight="1">
      <c r="AB5332" s="9"/>
      <c r="AC5332" s="9"/>
      <c r="AD5332" s="9"/>
      <c r="AF5332" s="10"/>
      <c r="AG5332" s="10"/>
      <c r="AH5332" s="10"/>
      <c r="AI5332" s="10"/>
    </row>
    <row r="5333" spans="28:35" ht="15" hidden="1" customHeight="1">
      <c r="AB5333" s="9"/>
      <c r="AC5333" s="9"/>
      <c r="AD5333" s="9"/>
      <c r="AF5333" s="10"/>
      <c r="AG5333" s="10"/>
      <c r="AH5333" s="10"/>
      <c r="AI5333" s="10"/>
    </row>
    <row r="5334" spans="28:35" ht="15" hidden="1" customHeight="1">
      <c r="AB5334" s="9"/>
      <c r="AC5334" s="9"/>
      <c r="AD5334" s="9"/>
      <c r="AF5334" s="10"/>
      <c r="AG5334" s="10"/>
      <c r="AH5334" s="10"/>
      <c r="AI5334" s="10"/>
    </row>
    <row r="5335" spans="28:35" ht="15" hidden="1" customHeight="1">
      <c r="AB5335" s="9"/>
      <c r="AC5335" s="9"/>
      <c r="AD5335" s="9"/>
      <c r="AF5335" s="10"/>
      <c r="AG5335" s="10"/>
      <c r="AH5335" s="10"/>
      <c r="AI5335" s="10"/>
    </row>
    <row r="5336" spans="28:35" ht="15" hidden="1" customHeight="1">
      <c r="AB5336" s="9"/>
      <c r="AC5336" s="9"/>
      <c r="AD5336" s="9"/>
      <c r="AF5336" s="10"/>
      <c r="AG5336" s="10"/>
      <c r="AH5336" s="10"/>
      <c r="AI5336" s="10"/>
    </row>
    <row r="5337" spans="28:35" ht="15" hidden="1" customHeight="1">
      <c r="AB5337" s="9"/>
      <c r="AC5337" s="9"/>
      <c r="AD5337" s="9"/>
      <c r="AF5337" s="10"/>
      <c r="AG5337" s="10"/>
      <c r="AH5337" s="10"/>
      <c r="AI5337" s="10"/>
    </row>
    <row r="5338" spans="28:35" ht="15" hidden="1" customHeight="1">
      <c r="AB5338" s="9"/>
      <c r="AC5338" s="9"/>
      <c r="AD5338" s="9"/>
      <c r="AF5338" s="10"/>
      <c r="AG5338" s="10"/>
      <c r="AH5338" s="10"/>
      <c r="AI5338" s="10"/>
    </row>
    <row r="5339" spans="28:35" ht="15" hidden="1" customHeight="1">
      <c r="AB5339" s="9"/>
      <c r="AC5339" s="9"/>
      <c r="AD5339" s="9"/>
      <c r="AF5339" s="10"/>
      <c r="AG5339" s="10"/>
      <c r="AH5339" s="10"/>
      <c r="AI5339" s="10"/>
    </row>
    <row r="5340" spans="28:35" ht="15" hidden="1" customHeight="1">
      <c r="AB5340" s="9"/>
      <c r="AC5340" s="9"/>
      <c r="AD5340" s="9"/>
      <c r="AF5340" s="10"/>
      <c r="AG5340" s="10"/>
      <c r="AH5340" s="10"/>
      <c r="AI5340" s="10"/>
    </row>
    <row r="5341" spans="28:35" ht="15" hidden="1" customHeight="1">
      <c r="AB5341" s="9"/>
      <c r="AC5341" s="9"/>
      <c r="AD5341" s="9"/>
      <c r="AF5341" s="10"/>
      <c r="AG5341" s="10"/>
      <c r="AH5341" s="10"/>
      <c r="AI5341" s="10"/>
    </row>
    <row r="5342" spans="28:35" ht="15" hidden="1" customHeight="1">
      <c r="AB5342" s="9"/>
      <c r="AC5342" s="9"/>
      <c r="AD5342" s="9"/>
      <c r="AF5342" s="10"/>
      <c r="AG5342" s="10"/>
      <c r="AH5342" s="10"/>
      <c r="AI5342" s="10"/>
    </row>
    <row r="5343" spans="28:35" ht="15" hidden="1" customHeight="1">
      <c r="AB5343" s="9"/>
      <c r="AC5343" s="9"/>
      <c r="AD5343" s="9"/>
      <c r="AF5343" s="10"/>
      <c r="AG5343" s="10"/>
      <c r="AH5343" s="10"/>
      <c r="AI5343" s="10"/>
    </row>
    <row r="5344" spans="28:35" ht="15" hidden="1" customHeight="1">
      <c r="AB5344" s="9"/>
      <c r="AC5344" s="9"/>
      <c r="AD5344" s="9"/>
      <c r="AF5344" s="10"/>
      <c r="AG5344" s="10"/>
      <c r="AH5344" s="10"/>
      <c r="AI5344" s="10"/>
    </row>
    <row r="5345" spans="28:35" ht="15" hidden="1" customHeight="1">
      <c r="AB5345" s="9"/>
      <c r="AC5345" s="9"/>
      <c r="AD5345" s="9"/>
      <c r="AF5345" s="10"/>
      <c r="AG5345" s="10"/>
      <c r="AH5345" s="10"/>
      <c r="AI5345" s="10"/>
    </row>
    <row r="5346" spans="28:35" ht="15" hidden="1" customHeight="1">
      <c r="AB5346" s="9"/>
      <c r="AC5346" s="9"/>
      <c r="AD5346" s="9"/>
      <c r="AF5346" s="10"/>
      <c r="AG5346" s="10"/>
      <c r="AH5346" s="10"/>
      <c r="AI5346" s="10"/>
    </row>
    <row r="5347" spans="28:35" ht="15" hidden="1" customHeight="1">
      <c r="AB5347" s="9"/>
      <c r="AC5347" s="9"/>
      <c r="AD5347" s="9"/>
      <c r="AF5347" s="10"/>
      <c r="AG5347" s="10"/>
      <c r="AH5347" s="10"/>
      <c r="AI5347" s="10"/>
    </row>
    <row r="5348" spans="28:35" ht="15" hidden="1" customHeight="1">
      <c r="AB5348" s="9"/>
      <c r="AC5348" s="9"/>
      <c r="AD5348" s="9"/>
      <c r="AF5348" s="10"/>
      <c r="AG5348" s="10"/>
      <c r="AH5348" s="10"/>
      <c r="AI5348" s="10"/>
    </row>
    <row r="5349" spans="28:35" ht="15" hidden="1" customHeight="1">
      <c r="AB5349" s="9"/>
      <c r="AC5349" s="9"/>
      <c r="AD5349" s="9"/>
      <c r="AF5349" s="10"/>
      <c r="AG5349" s="10"/>
      <c r="AH5349" s="10"/>
      <c r="AI5349" s="10"/>
    </row>
    <row r="5350" spans="28:35" ht="15" hidden="1" customHeight="1">
      <c r="AB5350" s="9"/>
      <c r="AC5350" s="9"/>
      <c r="AD5350" s="9"/>
      <c r="AF5350" s="10"/>
      <c r="AG5350" s="10"/>
      <c r="AH5350" s="10"/>
      <c r="AI5350" s="10"/>
    </row>
    <row r="5351" spans="28:35" ht="15" hidden="1" customHeight="1">
      <c r="AB5351" s="9"/>
      <c r="AC5351" s="9"/>
      <c r="AD5351" s="9"/>
      <c r="AF5351" s="10"/>
      <c r="AG5351" s="10"/>
      <c r="AH5351" s="10"/>
      <c r="AI5351" s="10"/>
    </row>
    <row r="5352" spans="28:35" ht="15" hidden="1" customHeight="1">
      <c r="AB5352" s="9"/>
      <c r="AC5352" s="9"/>
      <c r="AD5352" s="9"/>
      <c r="AF5352" s="10"/>
      <c r="AG5352" s="10"/>
      <c r="AH5352" s="10"/>
      <c r="AI5352" s="10"/>
    </row>
    <row r="5353" spans="28:35" ht="15" hidden="1" customHeight="1">
      <c r="AB5353" s="9"/>
      <c r="AC5353" s="9"/>
      <c r="AD5353" s="9"/>
      <c r="AF5353" s="10"/>
      <c r="AG5353" s="10"/>
      <c r="AH5353" s="10"/>
      <c r="AI5353" s="10"/>
    </row>
    <row r="5354" spans="28:35" ht="15" hidden="1" customHeight="1">
      <c r="AB5354" s="9"/>
      <c r="AC5354" s="9"/>
      <c r="AD5354" s="9"/>
      <c r="AF5354" s="10"/>
      <c r="AG5354" s="10"/>
      <c r="AH5354" s="10"/>
      <c r="AI5354" s="10"/>
    </row>
    <row r="5355" spans="28:35" ht="15" hidden="1" customHeight="1">
      <c r="AB5355" s="9"/>
      <c r="AC5355" s="9"/>
      <c r="AD5355" s="9"/>
      <c r="AF5355" s="10"/>
      <c r="AG5355" s="10"/>
      <c r="AH5355" s="10"/>
      <c r="AI5355" s="10"/>
    </row>
    <row r="5356" spans="28:35" ht="15" hidden="1" customHeight="1">
      <c r="AB5356" s="9"/>
      <c r="AC5356" s="9"/>
      <c r="AD5356" s="9"/>
      <c r="AF5356" s="10"/>
      <c r="AG5356" s="10"/>
      <c r="AH5356" s="10"/>
      <c r="AI5356" s="10"/>
    </row>
    <row r="5357" spans="28:35" ht="15" hidden="1" customHeight="1">
      <c r="AB5357" s="9"/>
      <c r="AC5357" s="9"/>
      <c r="AD5357" s="9"/>
      <c r="AF5357" s="10"/>
      <c r="AG5357" s="10"/>
      <c r="AH5357" s="10"/>
      <c r="AI5357" s="10"/>
    </row>
    <row r="5358" spans="28:35" ht="15" hidden="1" customHeight="1">
      <c r="AB5358" s="9"/>
      <c r="AC5358" s="9"/>
      <c r="AD5358" s="9"/>
      <c r="AF5358" s="10"/>
      <c r="AG5358" s="10"/>
      <c r="AH5358" s="10"/>
      <c r="AI5358" s="10"/>
    </row>
    <row r="5359" spans="28:35" ht="15" hidden="1" customHeight="1">
      <c r="AB5359" s="9"/>
      <c r="AC5359" s="9"/>
      <c r="AD5359" s="9"/>
      <c r="AF5359" s="10"/>
      <c r="AG5359" s="10"/>
      <c r="AH5359" s="10"/>
      <c r="AI5359" s="10"/>
    </row>
    <row r="5360" spans="28:35" ht="15" hidden="1" customHeight="1">
      <c r="AB5360" s="9"/>
      <c r="AC5360" s="9"/>
      <c r="AD5360" s="9"/>
      <c r="AF5360" s="10"/>
      <c r="AG5360" s="10"/>
      <c r="AH5360" s="10"/>
      <c r="AI5360" s="10"/>
    </row>
    <row r="5361" spans="28:35" ht="15" hidden="1" customHeight="1">
      <c r="AB5361" s="9"/>
      <c r="AC5361" s="9"/>
      <c r="AD5361" s="9"/>
      <c r="AF5361" s="10"/>
      <c r="AG5361" s="10"/>
      <c r="AH5361" s="10"/>
      <c r="AI5361" s="10"/>
    </row>
    <row r="5362" spans="28:35" ht="15" hidden="1" customHeight="1">
      <c r="AB5362" s="9"/>
      <c r="AC5362" s="9"/>
      <c r="AD5362" s="9"/>
      <c r="AF5362" s="10"/>
      <c r="AG5362" s="10"/>
      <c r="AH5362" s="10"/>
      <c r="AI5362" s="10"/>
    </row>
    <row r="5363" spans="28:35" ht="15" hidden="1" customHeight="1">
      <c r="AB5363" s="9"/>
      <c r="AC5363" s="9"/>
      <c r="AD5363" s="9"/>
      <c r="AF5363" s="10"/>
      <c r="AG5363" s="10"/>
      <c r="AH5363" s="10"/>
      <c r="AI5363" s="10"/>
    </row>
    <row r="5364" spans="28:35" ht="15" hidden="1" customHeight="1">
      <c r="AB5364" s="9"/>
      <c r="AC5364" s="9"/>
      <c r="AD5364" s="9"/>
      <c r="AF5364" s="10"/>
      <c r="AG5364" s="10"/>
      <c r="AH5364" s="10"/>
      <c r="AI5364" s="10"/>
    </row>
    <row r="5365" spans="28:35" ht="15" hidden="1" customHeight="1">
      <c r="AB5365" s="9"/>
      <c r="AC5365" s="9"/>
      <c r="AD5365" s="9"/>
      <c r="AF5365" s="10"/>
      <c r="AG5365" s="10"/>
      <c r="AH5365" s="10"/>
      <c r="AI5365" s="10"/>
    </row>
    <row r="5366" spans="28:35" ht="15" hidden="1" customHeight="1">
      <c r="AB5366" s="9"/>
      <c r="AC5366" s="9"/>
      <c r="AD5366" s="9"/>
      <c r="AF5366" s="10"/>
      <c r="AG5366" s="10"/>
      <c r="AH5366" s="10"/>
      <c r="AI5366" s="10"/>
    </row>
    <row r="5367" spans="28:35" ht="15" hidden="1" customHeight="1">
      <c r="AB5367" s="9"/>
      <c r="AC5367" s="9"/>
      <c r="AD5367" s="9"/>
      <c r="AF5367" s="10"/>
      <c r="AG5367" s="10"/>
      <c r="AH5367" s="10"/>
      <c r="AI5367" s="10"/>
    </row>
    <row r="5368" spans="28:35" ht="15" hidden="1" customHeight="1">
      <c r="AB5368" s="9"/>
      <c r="AC5368" s="9"/>
      <c r="AD5368" s="9"/>
      <c r="AF5368" s="10"/>
      <c r="AG5368" s="10"/>
      <c r="AH5368" s="10"/>
      <c r="AI5368" s="10"/>
    </row>
    <row r="5369" spans="28:35" ht="15" hidden="1" customHeight="1">
      <c r="AB5369" s="9"/>
      <c r="AC5369" s="9"/>
      <c r="AD5369" s="9"/>
      <c r="AF5369" s="10"/>
      <c r="AG5369" s="10"/>
      <c r="AH5369" s="10"/>
      <c r="AI5369" s="10"/>
    </row>
    <row r="5370" spans="28:35" ht="15" hidden="1" customHeight="1">
      <c r="AB5370" s="9"/>
      <c r="AC5370" s="9"/>
      <c r="AD5370" s="9"/>
      <c r="AF5370" s="10"/>
      <c r="AG5370" s="10"/>
      <c r="AH5370" s="10"/>
      <c r="AI5370" s="10"/>
    </row>
    <row r="5371" spans="28:35" ht="15" hidden="1" customHeight="1">
      <c r="AB5371" s="9"/>
      <c r="AC5371" s="9"/>
      <c r="AD5371" s="9"/>
      <c r="AF5371" s="10"/>
      <c r="AG5371" s="10"/>
      <c r="AH5371" s="10"/>
      <c r="AI5371" s="10"/>
    </row>
    <row r="5372" spans="28:35" ht="15" hidden="1" customHeight="1">
      <c r="AB5372" s="9"/>
      <c r="AC5372" s="9"/>
      <c r="AD5372" s="9"/>
      <c r="AF5372" s="10"/>
      <c r="AG5372" s="10"/>
      <c r="AH5372" s="10"/>
      <c r="AI5372" s="10"/>
    </row>
    <row r="5373" spans="28:35" ht="15" hidden="1" customHeight="1">
      <c r="AB5373" s="9"/>
      <c r="AC5373" s="9"/>
      <c r="AD5373" s="9"/>
      <c r="AF5373" s="10"/>
      <c r="AG5373" s="10"/>
      <c r="AH5373" s="10"/>
      <c r="AI5373" s="10"/>
    </row>
    <row r="5374" spans="28:35" ht="15" hidden="1" customHeight="1">
      <c r="AB5374" s="9"/>
      <c r="AC5374" s="9"/>
      <c r="AD5374" s="9"/>
      <c r="AF5374" s="10"/>
      <c r="AG5374" s="10"/>
      <c r="AH5374" s="10"/>
      <c r="AI5374" s="10"/>
    </row>
    <row r="5375" spans="28:35" ht="15" hidden="1" customHeight="1">
      <c r="AB5375" s="9"/>
      <c r="AC5375" s="9"/>
      <c r="AD5375" s="9"/>
      <c r="AF5375" s="10"/>
      <c r="AG5375" s="10"/>
      <c r="AH5375" s="10"/>
      <c r="AI5375" s="10"/>
    </row>
    <row r="5376" spans="28:35" ht="15" hidden="1" customHeight="1">
      <c r="AB5376" s="9"/>
      <c r="AC5376" s="9"/>
      <c r="AD5376" s="9"/>
      <c r="AF5376" s="10"/>
      <c r="AG5376" s="10"/>
      <c r="AH5376" s="10"/>
      <c r="AI5376" s="10"/>
    </row>
    <row r="5377" spans="28:35" ht="15" hidden="1" customHeight="1">
      <c r="AB5377" s="9"/>
      <c r="AC5377" s="9"/>
      <c r="AD5377" s="9"/>
      <c r="AF5377" s="10"/>
      <c r="AG5377" s="10"/>
      <c r="AH5377" s="10"/>
      <c r="AI5377" s="10"/>
    </row>
    <row r="5378" spans="28:35" ht="15" hidden="1" customHeight="1">
      <c r="AB5378" s="9"/>
      <c r="AC5378" s="9"/>
      <c r="AD5378" s="9"/>
      <c r="AF5378" s="10"/>
      <c r="AG5378" s="10"/>
      <c r="AH5378" s="10"/>
      <c r="AI5378" s="10"/>
    </row>
    <row r="5379" spans="28:35" ht="15" hidden="1" customHeight="1">
      <c r="AB5379" s="9"/>
      <c r="AC5379" s="9"/>
      <c r="AD5379" s="9"/>
      <c r="AF5379" s="10"/>
      <c r="AG5379" s="10"/>
      <c r="AH5379" s="10"/>
      <c r="AI5379" s="10"/>
    </row>
    <row r="5380" spans="28:35" ht="15" hidden="1" customHeight="1">
      <c r="AB5380" s="9"/>
      <c r="AC5380" s="9"/>
      <c r="AD5380" s="9"/>
      <c r="AF5380" s="10"/>
      <c r="AG5380" s="10"/>
      <c r="AH5380" s="10"/>
      <c r="AI5380" s="10"/>
    </row>
    <row r="5381" spans="28:35" ht="15" hidden="1" customHeight="1">
      <c r="AB5381" s="9"/>
      <c r="AC5381" s="9"/>
      <c r="AD5381" s="9"/>
      <c r="AF5381" s="10"/>
      <c r="AG5381" s="10"/>
      <c r="AH5381" s="10"/>
      <c r="AI5381" s="10"/>
    </row>
    <row r="5382" spans="28:35" ht="15" hidden="1" customHeight="1">
      <c r="AB5382" s="9"/>
      <c r="AC5382" s="9"/>
      <c r="AD5382" s="9"/>
      <c r="AF5382" s="10"/>
      <c r="AG5382" s="10"/>
      <c r="AH5382" s="10"/>
      <c r="AI5382" s="10"/>
    </row>
    <row r="5383" spans="28:35" ht="15" hidden="1" customHeight="1">
      <c r="AB5383" s="9"/>
      <c r="AC5383" s="9"/>
      <c r="AD5383" s="9"/>
      <c r="AF5383" s="10"/>
      <c r="AG5383" s="10"/>
      <c r="AH5383" s="10"/>
      <c r="AI5383" s="10"/>
    </row>
    <row r="5384" spans="28:35" ht="15" hidden="1" customHeight="1">
      <c r="AB5384" s="9"/>
      <c r="AC5384" s="9"/>
      <c r="AD5384" s="9"/>
      <c r="AF5384" s="10"/>
      <c r="AG5384" s="10"/>
      <c r="AH5384" s="10"/>
      <c r="AI5384" s="10"/>
    </row>
    <row r="5385" spans="28:35" ht="15" hidden="1" customHeight="1">
      <c r="AB5385" s="9"/>
      <c r="AC5385" s="9"/>
      <c r="AD5385" s="9"/>
      <c r="AF5385" s="10"/>
      <c r="AG5385" s="10"/>
      <c r="AH5385" s="10"/>
      <c r="AI5385" s="10"/>
    </row>
    <row r="5386" spans="28:35" ht="15" hidden="1" customHeight="1">
      <c r="AB5386" s="9"/>
      <c r="AC5386" s="9"/>
      <c r="AD5386" s="9"/>
      <c r="AF5386" s="10"/>
      <c r="AG5386" s="10"/>
      <c r="AH5386" s="10"/>
      <c r="AI5386" s="10"/>
    </row>
    <row r="5387" spans="28:35" ht="15" hidden="1" customHeight="1">
      <c r="AB5387" s="9"/>
      <c r="AC5387" s="9"/>
      <c r="AD5387" s="9"/>
      <c r="AF5387" s="10"/>
      <c r="AG5387" s="10"/>
      <c r="AH5387" s="10"/>
      <c r="AI5387" s="10"/>
    </row>
    <row r="5388" spans="28:35" ht="15" hidden="1" customHeight="1">
      <c r="AB5388" s="9"/>
      <c r="AC5388" s="9"/>
      <c r="AD5388" s="9"/>
      <c r="AF5388" s="10"/>
      <c r="AG5388" s="10"/>
      <c r="AH5388" s="10"/>
      <c r="AI5388" s="10"/>
    </row>
    <row r="5389" spans="28:35" ht="15" hidden="1" customHeight="1">
      <c r="AB5389" s="9"/>
      <c r="AC5389" s="9"/>
      <c r="AD5389" s="9"/>
      <c r="AF5389" s="10"/>
      <c r="AG5389" s="10"/>
      <c r="AH5389" s="10"/>
      <c r="AI5389" s="10"/>
    </row>
    <row r="5390" spans="28:35" ht="15" hidden="1" customHeight="1">
      <c r="AB5390" s="9"/>
      <c r="AC5390" s="9"/>
      <c r="AD5390" s="9"/>
      <c r="AF5390" s="10"/>
      <c r="AG5390" s="10"/>
      <c r="AH5390" s="10"/>
      <c r="AI5390" s="10"/>
    </row>
    <row r="5391" spans="28:35" ht="15" hidden="1" customHeight="1">
      <c r="AB5391" s="9"/>
      <c r="AC5391" s="9"/>
      <c r="AD5391" s="9"/>
      <c r="AF5391" s="10"/>
      <c r="AG5391" s="10"/>
      <c r="AH5391" s="10"/>
      <c r="AI5391" s="10"/>
    </row>
    <row r="5392" spans="28:35" ht="15" hidden="1" customHeight="1">
      <c r="AB5392" s="9"/>
      <c r="AC5392" s="9"/>
      <c r="AD5392" s="9"/>
      <c r="AF5392" s="10"/>
      <c r="AG5392" s="10"/>
      <c r="AH5392" s="10"/>
      <c r="AI5392" s="10"/>
    </row>
    <row r="5393" spans="28:35" ht="15" hidden="1" customHeight="1">
      <c r="AB5393" s="9"/>
      <c r="AC5393" s="9"/>
      <c r="AD5393" s="9"/>
      <c r="AF5393" s="10"/>
      <c r="AG5393" s="10"/>
      <c r="AH5393" s="10"/>
      <c r="AI5393" s="10"/>
    </row>
    <row r="5394" spans="28:35" ht="15" hidden="1" customHeight="1">
      <c r="AB5394" s="9"/>
      <c r="AC5394" s="9"/>
      <c r="AD5394" s="9"/>
      <c r="AF5394" s="10"/>
      <c r="AG5394" s="10"/>
      <c r="AH5394" s="10"/>
      <c r="AI5394" s="10"/>
    </row>
    <row r="5395" spans="28:35" ht="15" hidden="1" customHeight="1">
      <c r="AB5395" s="9"/>
      <c r="AC5395" s="9"/>
      <c r="AD5395" s="9"/>
      <c r="AF5395" s="10"/>
      <c r="AG5395" s="10"/>
      <c r="AH5395" s="10"/>
      <c r="AI5395" s="10"/>
    </row>
    <row r="5396" spans="28:35" ht="15" hidden="1" customHeight="1">
      <c r="AB5396" s="9"/>
      <c r="AC5396" s="9"/>
      <c r="AD5396" s="9"/>
      <c r="AF5396" s="10"/>
      <c r="AG5396" s="10"/>
      <c r="AH5396" s="10"/>
      <c r="AI5396" s="10"/>
    </row>
    <row r="5397" spans="28:35" ht="15" hidden="1" customHeight="1">
      <c r="AB5397" s="9"/>
      <c r="AC5397" s="9"/>
      <c r="AD5397" s="9"/>
      <c r="AF5397" s="10"/>
      <c r="AG5397" s="10"/>
      <c r="AH5397" s="10"/>
      <c r="AI5397" s="10"/>
    </row>
    <row r="5398" spans="28:35" ht="15" hidden="1" customHeight="1">
      <c r="AB5398" s="9"/>
      <c r="AC5398" s="9"/>
      <c r="AD5398" s="9"/>
      <c r="AF5398" s="10"/>
      <c r="AG5398" s="10"/>
      <c r="AH5398" s="10"/>
      <c r="AI5398" s="10"/>
    </row>
    <row r="5399" spans="28:35" ht="15" hidden="1" customHeight="1">
      <c r="AB5399" s="9"/>
      <c r="AC5399" s="9"/>
      <c r="AD5399" s="9"/>
      <c r="AF5399" s="10"/>
      <c r="AG5399" s="10"/>
      <c r="AH5399" s="10"/>
      <c r="AI5399" s="10"/>
    </row>
    <row r="5400" spans="28:35" ht="15" hidden="1" customHeight="1">
      <c r="AB5400" s="9"/>
      <c r="AC5400" s="9"/>
      <c r="AD5400" s="9"/>
      <c r="AF5400" s="10"/>
      <c r="AG5400" s="10"/>
      <c r="AH5400" s="10"/>
      <c r="AI5400" s="10"/>
    </row>
    <row r="5401" spans="28:35" ht="15" hidden="1" customHeight="1">
      <c r="AB5401" s="9"/>
      <c r="AC5401" s="9"/>
      <c r="AD5401" s="9"/>
      <c r="AF5401" s="10"/>
      <c r="AG5401" s="10"/>
      <c r="AH5401" s="10"/>
      <c r="AI5401" s="10"/>
    </row>
    <row r="5402" spans="28:35" ht="15" hidden="1" customHeight="1">
      <c r="AB5402" s="9"/>
      <c r="AC5402" s="9"/>
      <c r="AD5402" s="9"/>
      <c r="AF5402" s="10"/>
      <c r="AG5402" s="10"/>
      <c r="AH5402" s="10"/>
      <c r="AI5402" s="10"/>
    </row>
    <row r="5403" spans="28:35" ht="15" hidden="1" customHeight="1">
      <c r="AB5403" s="9"/>
      <c r="AC5403" s="9"/>
      <c r="AD5403" s="9"/>
      <c r="AF5403" s="10"/>
      <c r="AG5403" s="10"/>
      <c r="AH5403" s="10"/>
      <c r="AI5403" s="10"/>
    </row>
    <row r="5404" spans="28:35" ht="15" hidden="1" customHeight="1">
      <c r="AB5404" s="9"/>
      <c r="AC5404" s="9"/>
      <c r="AD5404" s="9"/>
      <c r="AF5404" s="10"/>
      <c r="AG5404" s="10"/>
      <c r="AH5404" s="10"/>
      <c r="AI5404" s="10"/>
    </row>
    <row r="5405" spans="28:35" ht="15" hidden="1" customHeight="1">
      <c r="AB5405" s="9"/>
      <c r="AC5405" s="9"/>
      <c r="AD5405" s="9"/>
      <c r="AF5405" s="10"/>
      <c r="AG5405" s="10"/>
      <c r="AH5405" s="10"/>
      <c r="AI5405" s="10"/>
    </row>
    <row r="5406" spans="28:35" ht="15" hidden="1" customHeight="1">
      <c r="AB5406" s="9"/>
      <c r="AC5406" s="9"/>
      <c r="AD5406" s="9"/>
      <c r="AF5406" s="10"/>
      <c r="AG5406" s="10"/>
      <c r="AH5406" s="10"/>
      <c r="AI5406" s="10"/>
    </row>
    <row r="5407" spans="28:35" ht="15" hidden="1" customHeight="1">
      <c r="AB5407" s="9"/>
      <c r="AC5407" s="9"/>
      <c r="AD5407" s="9"/>
      <c r="AF5407" s="10"/>
      <c r="AG5407" s="10"/>
      <c r="AH5407" s="10"/>
      <c r="AI5407" s="10"/>
    </row>
    <row r="5408" spans="28:35" ht="15" hidden="1" customHeight="1">
      <c r="AB5408" s="9"/>
      <c r="AC5408" s="9"/>
      <c r="AD5408" s="9"/>
      <c r="AF5408" s="10"/>
      <c r="AG5408" s="10"/>
      <c r="AH5408" s="10"/>
      <c r="AI5408" s="10"/>
    </row>
    <row r="5409" spans="28:35" ht="15" hidden="1" customHeight="1">
      <c r="AB5409" s="9"/>
      <c r="AC5409" s="9"/>
      <c r="AD5409" s="9"/>
      <c r="AF5409" s="10"/>
      <c r="AG5409" s="10"/>
      <c r="AH5409" s="10"/>
      <c r="AI5409" s="10"/>
    </row>
    <row r="5410" spans="28:35" ht="15" hidden="1" customHeight="1">
      <c r="AB5410" s="9"/>
      <c r="AC5410" s="9"/>
      <c r="AD5410" s="9"/>
      <c r="AF5410" s="10"/>
      <c r="AG5410" s="10"/>
      <c r="AH5410" s="10"/>
      <c r="AI5410" s="10"/>
    </row>
    <row r="5411" spans="28:35" ht="15" hidden="1" customHeight="1">
      <c r="AB5411" s="9"/>
      <c r="AC5411" s="9"/>
      <c r="AD5411" s="9"/>
      <c r="AF5411" s="10"/>
      <c r="AG5411" s="10"/>
      <c r="AH5411" s="10"/>
      <c r="AI5411" s="10"/>
    </row>
    <row r="5412" spans="28:35" ht="15" hidden="1" customHeight="1">
      <c r="AB5412" s="9"/>
      <c r="AC5412" s="9"/>
      <c r="AD5412" s="9"/>
      <c r="AF5412" s="10"/>
      <c r="AG5412" s="10"/>
      <c r="AH5412" s="10"/>
      <c r="AI5412" s="10"/>
    </row>
    <row r="5413" spans="28:35" ht="15" hidden="1" customHeight="1">
      <c r="AB5413" s="9"/>
      <c r="AC5413" s="9"/>
      <c r="AD5413" s="9"/>
      <c r="AF5413" s="10"/>
      <c r="AG5413" s="10"/>
      <c r="AH5413" s="10"/>
      <c r="AI5413" s="10"/>
    </row>
    <row r="5414" spans="28:35" ht="15" hidden="1" customHeight="1">
      <c r="AB5414" s="9"/>
      <c r="AC5414" s="9"/>
      <c r="AD5414" s="9"/>
      <c r="AF5414" s="10"/>
      <c r="AG5414" s="10"/>
      <c r="AH5414" s="10"/>
      <c r="AI5414" s="10"/>
    </row>
    <row r="5415" spans="28:35" ht="15" hidden="1" customHeight="1">
      <c r="AB5415" s="9"/>
      <c r="AC5415" s="9"/>
      <c r="AD5415" s="9"/>
      <c r="AF5415" s="10"/>
      <c r="AG5415" s="10"/>
      <c r="AH5415" s="10"/>
      <c r="AI5415" s="10"/>
    </row>
    <row r="5416" spans="28:35" ht="15" hidden="1" customHeight="1">
      <c r="AB5416" s="9"/>
      <c r="AC5416" s="9"/>
      <c r="AD5416" s="9"/>
      <c r="AF5416" s="10"/>
      <c r="AG5416" s="10"/>
      <c r="AH5416" s="10"/>
      <c r="AI5416" s="10"/>
    </row>
    <row r="5417" spans="28:35" ht="15" hidden="1" customHeight="1">
      <c r="AB5417" s="9"/>
      <c r="AC5417" s="9"/>
      <c r="AD5417" s="9"/>
      <c r="AF5417" s="10"/>
      <c r="AG5417" s="10"/>
      <c r="AH5417" s="10"/>
      <c r="AI5417" s="10"/>
    </row>
    <row r="5418" spans="28:35" ht="15" hidden="1" customHeight="1">
      <c r="AB5418" s="9"/>
      <c r="AC5418" s="9"/>
      <c r="AD5418" s="9"/>
      <c r="AF5418" s="10"/>
      <c r="AG5418" s="10"/>
      <c r="AH5418" s="10"/>
      <c r="AI5418" s="10"/>
    </row>
    <row r="5419" spans="28:35" ht="15" hidden="1" customHeight="1">
      <c r="AB5419" s="9"/>
      <c r="AC5419" s="9"/>
      <c r="AD5419" s="9"/>
      <c r="AF5419" s="10"/>
      <c r="AG5419" s="10"/>
      <c r="AH5419" s="10"/>
      <c r="AI5419" s="10"/>
    </row>
    <row r="5420" spans="28:35" ht="15" hidden="1" customHeight="1">
      <c r="AB5420" s="9"/>
      <c r="AC5420" s="9"/>
      <c r="AD5420" s="9"/>
      <c r="AF5420" s="10"/>
      <c r="AG5420" s="10"/>
      <c r="AH5420" s="10"/>
      <c r="AI5420" s="10"/>
    </row>
    <row r="5421" spans="28:35" ht="15" hidden="1" customHeight="1">
      <c r="AB5421" s="9"/>
      <c r="AC5421" s="9"/>
      <c r="AD5421" s="9"/>
      <c r="AF5421" s="10"/>
      <c r="AG5421" s="10"/>
      <c r="AH5421" s="10"/>
      <c r="AI5421" s="10"/>
    </row>
    <row r="5422" spans="28:35" ht="15" hidden="1" customHeight="1">
      <c r="AB5422" s="9"/>
      <c r="AC5422" s="9"/>
      <c r="AD5422" s="9"/>
      <c r="AF5422" s="10"/>
      <c r="AG5422" s="10"/>
      <c r="AH5422" s="10"/>
      <c r="AI5422" s="10"/>
    </row>
    <row r="5423" spans="28:35" ht="15" hidden="1" customHeight="1">
      <c r="AB5423" s="9"/>
      <c r="AC5423" s="9"/>
      <c r="AD5423" s="9"/>
      <c r="AF5423" s="10"/>
      <c r="AG5423" s="10"/>
      <c r="AH5423" s="10"/>
      <c r="AI5423" s="10"/>
    </row>
    <row r="5424" spans="28:35" ht="15" hidden="1" customHeight="1">
      <c r="AB5424" s="9"/>
      <c r="AC5424" s="9"/>
      <c r="AD5424" s="9"/>
      <c r="AF5424" s="10"/>
      <c r="AG5424" s="10"/>
      <c r="AH5424" s="10"/>
      <c r="AI5424" s="10"/>
    </row>
    <row r="5425" spans="28:35" ht="15" hidden="1" customHeight="1">
      <c r="AB5425" s="9"/>
      <c r="AC5425" s="9"/>
      <c r="AD5425" s="9"/>
      <c r="AF5425" s="10"/>
      <c r="AG5425" s="10"/>
      <c r="AH5425" s="10"/>
      <c r="AI5425" s="10"/>
    </row>
    <row r="5426" spans="28:35" ht="15" hidden="1" customHeight="1">
      <c r="AB5426" s="9"/>
      <c r="AC5426" s="9"/>
      <c r="AD5426" s="9"/>
      <c r="AF5426" s="10"/>
      <c r="AG5426" s="10"/>
      <c r="AH5426" s="10"/>
      <c r="AI5426" s="10"/>
    </row>
    <row r="5427" spans="28:35" ht="15" hidden="1" customHeight="1">
      <c r="AB5427" s="9"/>
      <c r="AC5427" s="9"/>
      <c r="AD5427" s="9"/>
      <c r="AF5427" s="10"/>
      <c r="AG5427" s="10"/>
      <c r="AH5427" s="10"/>
      <c r="AI5427" s="10"/>
    </row>
    <row r="5428" spans="28:35" ht="15" hidden="1" customHeight="1">
      <c r="AB5428" s="9"/>
      <c r="AC5428" s="9"/>
      <c r="AD5428" s="9"/>
      <c r="AF5428" s="10"/>
      <c r="AG5428" s="10"/>
      <c r="AH5428" s="10"/>
      <c r="AI5428" s="10"/>
    </row>
    <row r="5429" spans="28:35" ht="15" hidden="1" customHeight="1">
      <c r="AB5429" s="9"/>
      <c r="AC5429" s="9"/>
      <c r="AD5429" s="9"/>
      <c r="AF5429" s="10"/>
      <c r="AG5429" s="10"/>
      <c r="AH5429" s="10"/>
      <c r="AI5429" s="10"/>
    </row>
    <row r="5430" spans="28:35" ht="15" hidden="1" customHeight="1">
      <c r="AB5430" s="9"/>
      <c r="AC5430" s="9"/>
      <c r="AD5430" s="9"/>
      <c r="AF5430" s="10"/>
      <c r="AG5430" s="10"/>
      <c r="AH5430" s="10"/>
      <c r="AI5430" s="10"/>
    </row>
    <row r="5431" spans="28:35" ht="15" hidden="1" customHeight="1">
      <c r="AB5431" s="9"/>
      <c r="AC5431" s="9"/>
      <c r="AD5431" s="9"/>
      <c r="AF5431" s="10"/>
      <c r="AG5431" s="10"/>
      <c r="AH5431" s="10"/>
      <c r="AI5431" s="10"/>
    </row>
    <row r="5432" spans="28:35" ht="15" hidden="1" customHeight="1">
      <c r="AB5432" s="9"/>
      <c r="AC5432" s="9"/>
      <c r="AD5432" s="9"/>
      <c r="AF5432" s="10"/>
      <c r="AG5432" s="10"/>
      <c r="AH5432" s="10"/>
      <c r="AI5432" s="10"/>
    </row>
    <row r="5433" spans="28:35" ht="15" hidden="1" customHeight="1">
      <c r="AB5433" s="9"/>
      <c r="AC5433" s="9"/>
      <c r="AD5433" s="9"/>
      <c r="AF5433" s="10"/>
      <c r="AG5433" s="10"/>
      <c r="AH5433" s="10"/>
      <c r="AI5433" s="10"/>
    </row>
    <row r="5434" spans="28:35" ht="15" hidden="1" customHeight="1">
      <c r="AB5434" s="9"/>
      <c r="AC5434" s="9"/>
      <c r="AD5434" s="9"/>
      <c r="AF5434" s="10"/>
      <c r="AG5434" s="10"/>
      <c r="AH5434" s="10"/>
      <c r="AI5434" s="10"/>
    </row>
    <row r="5435" spans="28:35" ht="15" hidden="1" customHeight="1">
      <c r="AB5435" s="9"/>
      <c r="AC5435" s="9"/>
      <c r="AD5435" s="9"/>
      <c r="AF5435" s="10"/>
      <c r="AG5435" s="10"/>
      <c r="AH5435" s="10"/>
      <c r="AI5435" s="10"/>
    </row>
    <row r="5436" spans="28:35" ht="15" hidden="1" customHeight="1">
      <c r="AB5436" s="9"/>
      <c r="AC5436" s="9"/>
      <c r="AD5436" s="9"/>
      <c r="AF5436" s="10"/>
      <c r="AG5436" s="10"/>
      <c r="AH5436" s="10"/>
      <c r="AI5436" s="10"/>
    </row>
    <row r="5437" spans="28:35" ht="15" hidden="1" customHeight="1">
      <c r="AB5437" s="9"/>
      <c r="AC5437" s="9"/>
      <c r="AD5437" s="9"/>
      <c r="AF5437" s="10"/>
      <c r="AG5437" s="10"/>
      <c r="AH5437" s="10"/>
      <c r="AI5437" s="10"/>
    </row>
    <row r="5438" spans="28:35" ht="15" hidden="1" customHeight="1">
      <c r="AB5438" s="9"/>
      <c r="AC5438" s="9"/>
      <c r="AD5438" s="9"/>
      <c r="AF5438" s="10"/>
      <c r="AG5438" s="10"/>
      <c r="AH5438" s="10"/>
      <c r="AI5438" s="10"/>
    </row>
    <row r="5439" spans="28:35" ht="15" hidden="1" customHeight="1">
      <c r="AB5439" s="9"/>
      <c r="AC5439" s="9"/>
      <c r="AD5439" s="9"/>
      <c r="AF5439" s="10"/>
      <c r="AG5439" s="10"/>
      <c r="AH5439" s="10"/>
      <c r="AI5439" s="10"/>
    </row>
    <row r="5440" spans="28:35" ht="15" hidden="1" customHeight="1">
      <c r="AB5440" s="9"/>
      <c r="AC5440" s="9"/>
      <c r="AD5440" s="9"/>
      <c r="AF5440" s="10"/>
      <c r="AG5440" s="10"/>
      <c r="AH5440" s="10"/>
      <c r="AI5440" s="10"/>
    </row>
    <row r="5441" spans="28:35" ht="15" hidden="1" customHeight="1">
      <c r="AB5441" s="9"/>
      <c r="AC5441" s="9"/>
      <c r="AD5441" s="9"/>
      <c r="AF5441" s="10"/>
      <c r="AG5441" s="10"/>
      <c r="AH5441" s="10"/>
      <c r="AI5441" s="10"/>
    </row>
    <row r="5442" spans="28:35" ht="15" hidden="1" customHeight="1">
      <c r="AB5442" s="9"/>
      <c r="AC5442" s="9"/>
      <c r="AD5442" s="9"/>
      <c r="AF5442" s="10"/>
      <c r="AG5442" s="10"/>
      <c r="AH5442" s="10"/>
      <c r="AI5442" s="10"/>
    </row>
    <row r="5443" spans="28:35" ht="15" hidden="1" customHeight="1">
      <c r="AB5443" s="9"/>
      <c r="AC5443" s="9"/>
      <c r="AD5443" s="9"/>
      <c r="AF5443" s="10"/>
      <c r="AG5443" s="10"/>
      <c r="AH5443" s="10"/>
      <c r="AI5443" s="10"/>
    </row>
    <row r="5444" spans="28:35" ht="15" hidden="1" customHeight="1">
      <c r="AB5444" s="9"/>
      <c r="AC5444" s="9"/>
      <c r="AD5444" s="9"/>
      <c r="AF5444" s="10"/>
      <c r="AG5444" s="10"/>
      <c r="AH5444" s="10"/>
      <c r="AI5444" s="10"/>
    </row>
    <row r="5445" spans="28:35" ht="15" hidden="1" customHeight="1">
      <c r="AB5445" s="9"/>
      <c r="AC5445" s="9"/>
      <c r="AD5445" s="9"/>
      <c r="AF5445" s="10"/>
      <c r="AG5445" s="10"/>
      <c r="AH5445" s="10"/>
      <c r="AI5445" s="10"/>
    </row>
    <row r="5446" spans="28:35" ht="15" hidden="1" customHeight="1">
      <c r="AB5446" s="9"/>
      <c r="AC5446" s="9"/>
      <c r="AD5446" s="9"/>
      <c r="AF5446" s="10"/>
      <c r="AG5446" s="10"/>
      <c r="AH5446" s="10"/>
      <c r="AI5446" s="10"/>
    </row>
    <row r="5447" spans="28:35" ht="15" hidden="1" customHeight="1">
      <c r="AB5447" s="9"/>
      <c r="AC5447" s="9"/>
      <c r="AD5447" s="9"/>
      <c r="AF5447" s="10"/>
      <c r="AG5447" s="10"/>
      <c r="AH5447" s="10"/>
      <c r="AI5447" s="10"/>
    </row>
    <row r="5448" spans="28:35" ht="15" hidden="1" customHeight="1">
      <c r="AB5448" s="9"/>
      <c r="AC5448" s="9"/>
      <c r="AD5448" s="9"/>
      <c r="AF5448" s="10"/>
      <c r="AG5448" s="10"/>
      <c r="AH5448" s="10"/>
      <c r="AI5448" s="10"/>
    </row>
    <row r="5449" spans="28:35" ht="15" hidden="1" customHeight="1">
      <c r="AB5449" s="9"/>
      <c r="AC5449" s="9"/>
      <c r="AD5449" s="9"/>
      <c r="AF5449" s="10"/>
      <c r="AG5449" s="10"/>
      <c r="AH5449" s="10"/>
      <c r="AI5449" s="10"/>
    </row>
    <row r="5450" spans="28:35" ht="15" hidden="1" customHeight="1">
      <c r="AB5450" s="9"/>
      <c r="AC5450" s="9"/>
      <c r="AD5450" s="9"/>
      <c r="AF5450" s="10"/>
      <c r="AG5450" s="10"/>
      <c r="AH5450" s="10"/>
      <c r="AI5450" s="10"/>
    </row>
    <row r="5451" spans="28:35" ht="15" hidden="1" customHeight="1">
      <c r="AB5451" s="9"/>
      <c r="AC5451" s="9"/>
      <c r="AD5451" s="9"/>
      <c r="AF5451" s="10"/>
      <c r="AG5451" s="10"/>
      <c r="AH5451" s="10"/>
      <c r="AI5451" s="10"/>
    </row>
    <row r="5452" spans="28:35" ht="15" hidden="1" customHeight="1">
      <c r="AB5452" s="9"/>
      <c r="AC5452" s="9"/>
      <c r="AD5452" s="9"/>
      <c r="AF5452" s="10"/>
      <c r="AG5452" s="10"/>
      <c r="AH5452" s="10"/>
      <c r="AI5452" s="10"/>
    </row>
    <row r="5453" spans="28:35" ht="15" hidden="1" customHeight="1">
      <c r="AB5453" s="9"/>
      <c r="AC5453" s="9"/>
      <c r="AD5453" s="9"/>
      <c r="AF5453" s="10"/>
      <c r="AG5453" s="10"/>
      <c r="AH5453" s="10"/>
      <c r="AI5453" s="10"/>
    </row>
    <row r="5454" spans="28:35" ht="15" hidden="1" customHeight="1">
      <c r="AB5454" s="9"/>
      <c r="AC5454" s="9"/>
      <c r="AD5454" s="9"/>
      <c r="AF5454" s="10"/>
      <c r="AG5454" s="10"/>
      <c r="AH5454" s="10"/>
      <c r="AI5454" s="10"/>
    </row>
    <row r="5455" spans="28:35" ht="15" hidden="1" customHeight="1">
      <c r="AB5455" s="9"/>
      <c r="AC5455" s="9"/>
      <c r="AD5455" s="9"/>
      <c r="AF5455" s="10"/>
      <c r="AG5455" s="10"/>
      <c r="AH5455" s="10"/>
      <c r="AI5455" s="10"/>
    </row>
    <row r="5456" spans="28:35" ht="15" hidden="1" customHeight="1">
      <c r="AB5456" s="9"/>
      <c r="AC5456" s="9"/>
      <c r="AD5456" s="9"/>
      <c r="AF5456" s="10"/>
      <c r="AG5456" s="10"/>
      <c r="AH5456" s="10"/>
      <c r="AI5456" s="10"/>
    </row>
    <row r="5457" spans="28:35" ht="15" hidden="1" customHeight="1">
      <c r="AB5457" s="9"/>
      <c r="AC5457" s="9"/>
      <c r="AD5457" s="9"/>
      <c r="AF5457" s="10"/>
      <c r="AG5457" s="10"/>
      <c r="AH5457" s="10"/>
      <c r="AI5457" s="10"/>
    </row>
    <row r="5458" spans="28:35" ht="15" hidden="1" customHeight="1">
      <c r="AB5458" s="9"/>
      <c r="AC5458" s="9"/>
      <c r="AD5458" s="9"/>
      <c r="AF5458" s="10"/>
      <c r="AG5458" s="10"/>
      <c r="AH5458" s="10"/>
      <c r="AI5458" s="10"/>
    </row>
    <row r="5459" spans="28:35" ht="15" hidden="1" customHeight="1">
      <c r="AB5459" s="9"/>
      <c r="AC5459" s="9"/>
      <c r="AD5459" s="9"/>
      <c r="AF5459" s="10"/>
      <c r="AG5459" s="10"/>
      <c r="AH5459" s="10"/>
      <c r="AI5459" s="10"/>
    </row>
    <row r="5460" spans="28:35" ht="15" hidden="1" customHeight="1">
      <c r="AB5460" s="9"/>
      <c r="AC5460" s="9"/>
      <c r="AD5460" s="9"/>
      <c r="AF5460" s="10"/>
      <c r="AG5460" s="10"/>
      <c r="AH5460" s="10"/>
      <c r="AI5460" s="10"/>
    </row>
    <row r="5461" spans="28:35" ht="15" hidden="1" customHeight="1">
      <c r="AB5461" s="9"/>
      <c r="AC5461" s="9"/>
      <c r="AD5461" s="9"/>
      <c r="AF5461" s="10"/>
      <c r="AG5461" s="10"/>
      <c r="AH5461" s="10"/>
      <c r="AI5461" s="10"/>
    </row>
    <row r="5462" spans="28:35" ht="15" hidden="1" customHeight="1">
      <c r="AB5462" s="9"/>
      <c r="AC5462" s="9"/>
      <c r="AD5462" s="9"/>
      <c r="AF5462" s="10"/>
      <c r="AG5462" s="10"/>
      <c r="AH5462" s="10"/>
      <c r="AI5462" s="10"/>
    </row>
    <row r="5463" spans="28:35" ht="15" hidden="1" customHeight="1">
      <c r="AB5463" s="9"/>
      <c r="AC5463" s="9"/>
      <c r="AD5463" s="9"/>
      <c r="AF5463" s="10"/>
      <c r="AG5463" s="10"/>
      <c r="AH5463" s="10"/>
      <c r="AI5463" s="10"/>
    </row>
    <row r="5464" spans="28:35" ht="15" hidden="1" customHeight="1">
      <c r="AB5464" s="9"/>
      <c r="AC5464" s="9"/>
      <c r="AD5464" s="9"/>
      <c r="AF5464" s="10"/>
      <c r="AG5464" s="10"/>
      <c r="AH5464" s="10"/>
      <c r="AI5464" s="10"/>
    </row>
    <row r="5465" spans="28:35" ht="15" hidden="1" customHeight="1">
      <c r="AB5465" s="9"/>
      <c r="AC5465" s="9"/>
      <c r="AD5465" s="9"/>
      <c r="AF5465" s="10"/>
      <c r="AG5465" s="10"/>
      <c r="AH5465" s="10"/>
      <c r="AI5465" s="10"/>
    </row>
    <row r="5466" spans="28:35" ht="15" hidden="1" customHeight="1">
      <c r="AB5466" s="9"/>
      <c r="AC5466" s="9"/>
      <c r="AD5466" s="9"/>
      <c r="AF5466" s="10"/>
      <c r="AG5466" s="10"/>
      <c r="AH5466" s="10"/>
      <c r="AI5466" s="10"/>
    </row>
    <row r="5467" spans="28:35" ht="15" hidden="1" customHeight="1">
      <c r="AB5467" s="9"/>
      <c r="AC5467" s="9"/>
      <c r="AD5467" s="9"/>
      <c r="AF5467" s="10"/>
      <c r="AG5467" s="10"/>
      <c r="AH5467" s="10"/>
      <c r="AI5467" s="10"/>
    </row>
    <row r="5468" spans="28:35" ht="15" hidden="1" customHeight="1">
      <c r="AB5468" s="9"/>
      <c r="AC5468" s="9"/>
      <c r="AD5468" s="9"/>
      <c r="AF5468" s="10"/>
      <c r="AG5468" s="10"/>
      <c r="AH5468" s="10"/>
      <c r="AI5468" s="10"/>
    </row>
    <row r="5469" spans="28:35" ht="15" hidden="1" customHeight="1">
      <c r="AB5469" s="9"/>
      <c r="AC5469" s="9"/>
      <c r="AD5469" s="9"/>
      <c r="AF5469" s="10"/>
      <c r="AG5469" s="10"/>
      <c r="AH5469" s="10"/>
      <c r="AI5469" s="10"/>
    </row>
    <row r="5470" spans="28:35" ht="15" hidden="1" customHeight="1">
      <c r="AB5470" s="9"/>
      <c r="AC5470" s="9"/>
      <c r="AD5470" s="9"/>
      <c r="AF5470" s="10"/>
      <c r="AG5470" s="10"/>
      <c r="AH5470" s="10"/>
      <c r="AI5470" s="10"/>
    </row>
    <row r="5471" spans="28:35" ht="15" hidden="1" customHeight="1">
      <c r="AB5471" s="9"/>
      <c r="AC5471" s="9"/>
      <c r="AD5471" s="9"/>
      <c r="AF5471" s="10"/>
      <c r="AG5471" s="10"/>
      <c r="AH5471" s="10"/>
      <c r="AI5471" s="10"/>
    </row>
    <row r="5472" spans="28:35" ht="15" hidden="1" customHeight="1">
      <c r="AB5472" s="9"/>
      <c r="AC5472" s="9"/>
      <c r="AD5472" s="9"/>
      <c r="AF5472" s="10"/>
      <c r="AG5472" s="10"/>
      <c r="AH5472" s="10"/>
      <c r="AI5472" s="10"/>
    </row>
    <row r="5473" spans="28:35" ht="15" hidden="1" customHeight="1">
      <c r="AB5473" s="9"/>
      <c r="AC5473" s="9"/>
      <c r="AD5473" s="9"/>
      <c r="AF5473" s="10"/>
      <c r="AG5473" s="10"/>
      <c r="AH5473" s="10"/>
      <c r="AI5473" s="10"/>
    </row>
    <row r="5474" spans="28:35" ht="15" hidden="1" customHeight="1">
      <c r="AB5474" s="9"/>
      <c r="AC5474" s="9"/>
      <c r="AD5474" s="9"/>
      <c r="AF5474" s="10"/>
      <c r="AG5474" s="10"/>
      <c r="AH5474" s="10"/>
      <c r="AI5474" s="10"/>
    </row>
    <row r="5475" spans="28:35" ht="15" hidden="1" customHeight="1">
      <c r="AB5475" s="9"/>
      <c r="AC5475" s="9"/>
      <c r="AD5475" s="9"/>
      <c r="AF5475" s="10"/>
      <c r="AG5475" s="10"/>
      <c r="AH5475" s="10"/>
      <c r="AI5475" s="10"/>
    </row>
    <row r="5476" spans="28:35" ht="15" hidden="1" customHeight="1">
      <c r="AB5476" s="9"/>
      <c r="AC5476" s="9"/>
      <c r="AD5476" s="9"/>
      <c r="AF5476" s="10"/>
      <c r="AG5476" s="10"/>
      <c r="AH5476" s="10"/>
      <c r="AI5476" s="10"/>
    </row>
    <row r="5477" spans="28:35" ht="15" hidden="1" customHeight="1">
      <c r="AB5477" s="9"/>
      <c r="AC5477" s="9"/>
      <c r="AD5477" s="9"/>
      <c r="AF5477" s="10"/>
      <c r="AG5477" s="10"/>
      <c r="AH5477" s="10"/>
      <c r="AI5477" s="10"/>
    </row>
    <row r="5478" spans="28:35" ht="15" hidden="1" customHeight="1">
      <c r="AB5478" s="9"/>
      <c r="AC5478" s="9"/>
      <c r="AD5478" s="9"/>
      <c r="AF5478" s="10"/>
      <c r="AG5478" s="10"/>
      <c r="AH5478" s="10"/>
      <c r="AI5478" s="10"/>
    </row>
    <row r="5479" spans="28:35" ht="15" hidden="1" customHeight="1">
      <c r="AB5479" s="9"/>
      <c r="AC5479" s="9"/>
      <c r="AD5479" s="9"/>
      <c r="AF5479" s="10"/>
      <c r="AG5479" s="10"/>
      <c r="AH5479" s="10"/>
      <c r="AI5479" s="10"/>
    </row>
    <row r="5480" spans="28:35" ht="15" hidden="1" customHeight="1">
      <c r="AB5480" s="9"/>
      <c r="AC5480" s="9"/>
      <c r="AD5480" s="9"/>
      <c r="AF5480" s="10"/>
      <c r="AG5480" s="10"/>
      <c r="AH5480" s="10"/>
      <c r="AI5480" s="10"/>
    </row>
    <row r="5481" spans="28:35" ht="15" hidden="1" customHeight="1">
      <c r="AB5481" s="9"/>
      <c r="AC5481" s="9"/>
      <c r="AD5481" s="9"/>
      <c r="AF5481" s="10"/>
      <c r="AG5481" s="10"/>
      <c r="AH5481" s="10"/>
      <c r="AI5481" s="10"/>
    </row>
    <row r="5482" spans="28:35" ht="15" hidden="1" customHeight="1">
      <c r="AB5482" s="9"/>
      <c r="AC5482" s="9"/>
      <c r="AD5482" s="9"/>
      <c r="AF5482" s="10"/>
      <c r="AG5482" s="10"/>
      <c r="AH5482" s="10"/>
      <c r="AI5482" s="10"/>
    </row>
    <row r="5483" spans="28:35" ht="15" hidden="1" customHeight="1">
      <c r="AB5483" s="9"/>
      <c r="AC5483" s="9"/>
      <c r="AD5483" s="9"/>
      <c r="AF5483" s="10"/>
      <c r="AG5483" s="10"/>
      <c r="AH5483" s="10"/>
      <c r="AI5483" s="10"/>
    </row>
    <row r="5484" spans="28:35" ht="15" hidden="1" customHeight="1">
      <c r="AB5484" s="9"/>
      <c r="AC5484" s="9"/>
      <c r="AD5484" s="9"/>
      <c r="AF5484" s="10"/>
      <c r="AG5484" s="10"/>
      <c r="AH5484" s="10"/>
      <c r="AI5484" s="10"/>
    </row>
    <row r="5485" spans="28:35" ht="15" hidden="1" customHeight="1">
      <c r="AB5485" s="9"/>
      <c r="AC5485" s="9"/>
      <c r="AD5485" s="9"/>
      <c r="AF5485" s="10"/>
      <c r="AG5485" s="10"/>
      <c r="AH5485" s="10"/>
      <c r="AI5485" s="10"/>
    </row>
    <row r="5486" spans="28:35" ht="15" hidden="1" customHeight="1">
      <c r="AB5486" s="9"/>
      <c r="AC5486" s="9"/>
      <c r="AD5486" s="9"/>
      <c r="AF5486" s="10"/>
      <c r="AG5486" s="10"/>
      <c r="AH5486" s="10"/>
      <c r="AI5486" s="10"/>
    </row>
    <row r="5487" spans="28:35" ht="15" hidden="1" customHeight="1">
      <c r="AB5487" s="9"/>
      <c r="AC5487" s="9"/>
      <c r="AD5487" s="9"/>
      <c r="AF5487" s="10"/>
      <c r="AG5487" s="10"/>
      <c r="AH5487" s="10"/>
      <c r="AI5487" s="10"/>
    </row>
    <row r="5488" spans="28:35" ht="15" hidden="1" customHeight="1">
      <c r="AB5488" s="9"/>
      <c r="AC5488" s="9"/>
      <c r="AD5488" s="9"/>
      <c r="AF5488" s="10"/>
      <c r="AG5488" s="10"/>
      <c r="AH5488" s="10"/>
      <c r="AI5488" s="10"/>
    </row>
    <row r="5489" spans="28:35" ht="15" hidden="1" customHeight="1">
      <c r="AB5489" s="9"/>
      <c r="AC5489" s="9"/>
      <c r="AD5489" s="9"/>
      <c r="AF5489" s="10"/>
      <c r="AG5489" s="10"/>
      <c r="AH5489" s="10"/>
      <c r="AI5489" s="10"/>
    </row>
    <row r="5490" spans="28:35" ht="15" hidden="1" customHeight="1">
      <c r="AB5490" s="9"/>
      <c r="AC5490" s="9"/>
      <c r="AD5490" s="9"/>
      <c r="AF5490" s="10"/>
      <c r="AG5490" s="10"/>
      <c r="AH5490" s="10"/>
      <c r="AI5490" s="10"/>
    </row>
    <row r="5491" spans="28:35" ht="15" hidden="1" customHeight="1">
      <c r="AB5491" s="9"/>
      <c r="AC5491" s="9"/>
      <c r="AD5491" s="9"/>
      <c r="AF5491" s="10"/>
      <c r="AG5491" s="10"/>
      <c r="AH5491" s="10"/>
      <c r="AI5491" s="10"/>
    </row>
    <row r="5492" spans="28:35" ht="15" hidden="1" customHeight="1">
      <c r="AB5492" s="9"/>
      <c r="AC5492" s="9"/>
      <c r="AD5492" s="9"/>
      <c r="AF5492" s="10"/>
      <c r="AG5492" s="10"/>
      <c r="AH5492" s="10"/>
      <c r="AI5492" s="10"/>
    </row>
    <row r="5493" spans="28:35" ht="15" hidden="1" customHeight="1">
      <c r="AB5493" s="9"/>
      <c r="AC5493" s="9"/>
      <c r="AD5493" s="9"/>
      <c r="AF5493" s="10"/>
      <c r="AG5493" s="10"/>
      <c r="AH5493" s="10"/>
      <c r="AI5493" s="10"/>
    </row>
    <row r="5494" spans="28:35" ht="15" hidden="1" customHeight="1">
      <c r="AB5494" s="9"/>
      <c r="AC5494" s="9"/>
      <c r="AD5494" s="9"/>
      <c r="AF5494" s="10"/>
      <c r="AG5494" s="10"/>
      <c r="AH5494" s="10"/>
      <c r="AI5494" s="10"/>
    </row>
    <row r="5495" spans="28:35" ht="15" hidden="1" customHeight="1">
      <c r="AB5495" s="9"/>
      <c r="AC5495" s="9"/>
      <c r="AD5495" s="9"/>
      <c r="AF5495" s="10"/>
      <c r="AG5495" s="10"/>
      <c r="AH5495" s="10"/>
      <c r="AI5495" s="10"/>
    </row>
    <row r="5496" spans="28:35" ht="15" hidden="1" customHeight="1">
      <c r="AB5496" s="9"/>
      <c r="AC5496" s="9"/>
      <c r="AD5496" s="9"/>
      <c r="AF5496" s="10"/>
      <c r="AG5496" s="10"/>
      <c r="AH5496" s="10"/>
      <c r="AI5496" s="10"/>
    </row>
    <row r="5497" spans="28:35" ht="15" hidden="1" customHeight="1">
      <c r="AB5497" s="9"/>
      <c r="AC5497" s="9"/>
      <c r="AD5497" s="9"/>
      <c r="AF5497" s="10"/>
      <c r="AG5497" s="10"/>
      <c r="AH5497" s="10"/>
      <c r="AI5497" s="10"/>
    </row>
    <row r="5498" spans="28:35" ht="15" hidden="1" customHeight="1">
      <c r="AB5498" s="9"/>
      <c r="AC5498" s="9"/>
      <c r="AD5498" s="9"/>
      <c r="AF5498" s="10"/>
      <c r="AG5498" s="10"/>
      <c r="AH5498" s="10"/>
      <c r="AI5498" s="10"/>
    </row>
    <row r="5499" spans="28:35" ht="15" hidden="1" customHeight="1">
      <c r="AB5499" s="9"/>
      <c r="AC5499" s="9"/>
      <c r="AD5499" s="9"/>
      <c r="AF5499" s="10"/>
      <c r="AG5499" s="10"/>
      <c r="AH5499" s="10"/>
      <c r="AI5499" s="10"/>
    </row>
    <row r="5500" spans="28:35" ht="15" hidden="1" customHeight="1">
      <c r="AB5500" s="9"/>
      <c r="AC5500" s="9"/>
      <c r="AD5500" s="9"/>
      <c r="AF5500" s="10"/>
      <c r="AG5500" s="10"/>
      <c r="AH5500" s="10"/>
      <c r="AI5500" s="10"/>
    </row>
    <row r="5501" spans="28:35" ht="15" hidden="1" customHeight="1">
      <c r="AB5501" s="9"/>
      <c r="AC5501" s="9"/>
      <c r="AD5501" s="9"/>
      <c r="AF5501" s="10"/>
      <c r="AG5501" s="10"/>
      <c r="AH5501" s="10"/>
      <c r="AI5501" s="10"/>
    </row>
    <row r="5502" spans="28:35" ht="15" hidden="1" customHeight="1">
      <c r="AB5502" s="9"/>
      <c r="AC5502" s="9"/>
      <c r="AD5502" s="9"/>
      <c r="AF5502" s="10"/>
      <c r="AG5502" s="10"/>
      <c r="AH5502" s="10"/>
      <c r="AI5502" s="10"/>
    </row>
    <row r="5503" spans="28:35" ht="15" hidden="1" customHeight="1">
      <c r="AB5503" s="9"/>
      <c r="AC5503" s="9"/>
      <c r="AD5503" s="9"/>
      <c r="AF5503" s="10"/>
      <c r="AG5503" s="10"/>
      <c r="AH5503" s="10"/>
      <c r="AI5503" s="10"/>
    </row>
    <row r="5504" spans="28:35" ht="15" hidden="1" customHeight="1">
      <c r="AB5504" s="9"/>
      <c r="AC5504" s="9"/>
      <c r="AD5504" s="9"/>
      <c r="AF5504" s="10"/>
      <c r="AG5504" s="10"/>
      <c r="AH5504" s="10"/>
      <c r="AI5504" s="10"/>
    </row>
    <row r="5505" spans="28:35" ht="15" hidden="1" customHeight="1">
      <c r="AB5505" s="9"/>
      <c r="AC5505" s="9"/>
      <c r="AD5505" s="9"/>
      <c r="AF5505" s="10"/>
      <c r="AG5505" s="10"/>
      <c r="AH5505" s="10"/>
      <c r="AI5505" s="10"/>
    </row>
    <row r="5506" spans="28:35" ht="15" hidden="1" customHeight="1">
      <c r="AB5506" s="9"/>
      <c r="AC5506" s="9"/>
      <c r="AD5506" s="9"/>
      <c r="AF5506" s="10"/>
      <c r="AG5506" s="10"/>
      <c r="AH5506" s="10"/>
      <c r="AI5506" s="10"/>
    </row>
    <row r="5507" spans="28:35" ht="15" hidden="1" customHeight="1">
      <c r="AB5507" s="9"/>
      <c r="AC5507" s="9"/>
      <c r="AD5507" s="9"/>
      <c r="AF5507" s="10"/>
      <c r="AG5507" s="10"/>
      <c r="AH5507" s="10"/>
      <c r="AI5507" s="10"/>
    </row>
    <row r="5508" spans="28:35" ht="15" hidden="1" customHeight="1">
      <c r="AB5508" s="9"/>
      <c r="AC5508" s="9"/>
      <c r="AD5508" s="9"/>
      <c r="AF5508" s="10"/>
      <c r="AG5508" s="10"/>
      <c r="AH5508" s="10"/>
      <c r="AI5508" s="10"/>
    </row>
    <row r="5509" spans="28:35" ht="15" hidden="1" customHeight="1">
      <c r="AB5509" s="9"/>
      <c r="AC5509" s="9"/>
      <c r="AD5509" s="9"/>
      <c r="AF5509" s="10"/>
      <c r="AG5509" s="10"/>
      <c r="AH5509" s="10"/>
      <c r="AI5509" s="10"/>
    </row>
    <row r="5510" spans="28:35" ht="15" hidden="1" customHeight="1">
      <c r="AB5510" s="9"/>
      <c r="AC5510" s="9"/>
      <c r="AD5510" s="9"/>
      <c r="AF5510" s="10"/>
      <c r="AG5510" s="10"/>
      <c r="AH5510" s="10"/>
      <c r="AI5510" s="10"/>
    </row>
    <row r="5511" spans="28:35" ht="15" hidden="1" customHeight="1">
      <c r="AB5511" s="9"/>
      <c r="AC5511" s="9"/>
      <c r="AD5511" s="9"/>
      <c r="AF5511" s="10"/>
      <c r="AG5511" s="10"/>
      <c r="AH5511" s="10"/>
      <c r="AI5511" s="10"/>
    </row>
    <row r="5512" spans="28:35" ht="15" hidden="1" customHeight="1">
      <c r="AB5512" s="9"/>
      <c r="AC5512" s="9"/>
      <c r="AD5512" s="9"/>
      <c r="AF5512" s="10"/>
      <c r="AG5512" s="10"/>
      <c r="AH5512" s="10"/>
      <c r="AI5512" s="10"/>
    </row>
    <row r="5513" spans="28:35" ht="15" hidden="1" customHeight="1">
      <c r="AB5513" s="9"/>
      <c r="AC5513" s="9"/>
      <c r="AD5513" s="9"/>
      <c r="AF5513" s="10"/>
      <c r="AG5513" s="10"/>
      <c r="AH5513" s="10"/>
      <c r="AI5513" s="10"/>
    </row>
    <row r="5514" spans="28:35" ht="15" hidden="1" customHeight="1">
      <c r="AB5514" s="9"/>
      <c r="AC5514" s="9"/>
      <c r="AD5514" s="9"/>
      <c r="AF5514" s="10"/>
      <c r="AG5514" s="10"/>
      <c r="AH5514" s="10"/>
      <c r="AI5514" s="10"/>
    </row>
    <row r="5515" spans="28:35" ht="15" hidden="1" customHeight="1">
      <c r="AB5515" s="9"/>
      <c r="AC5515" s="9"/>
      <c r="AD5515" s="9"/>
      <c r="AF5515" s="10"/>
      <c r="AG5515" s="10"/>
      <c r="AH5515" s="10"/>
      <c r="AI5515" s="10"/>
    </row>
    <row r="5516" spans="28:35" ht="15" hidden="1" customHeight="1">
      <c r="AB5516" s="9"/>
      <c r="AC5516" s="9"/>
      <c r="AD5516" s="9"/>
      <c r="AF5516" s="10"/>
      <c r="AG5516" s="10"/>
      <c r="AH5516" s="10"/>
      <c r="AI5516" s="10"/>
    </row>
    <row r="5517" spans="28:35" ht="15" hidden="1" customHeight="1">
      <c r="AB5517" s="9"/>
      <c r="AC5517" s="9"/>
      <c r="AD5517" s="9"/>
      <c r="AF5517" s="10"/>
      <c r="AG5517" s="10"/>
      <c r="AH5517" s="10"/>
      <c r="AI5517" s="10"/>
    </row>
    <row r="5518" spans="28:35" ht="15" hidden="1" customHeight="1">
      <c r="AB5518" s="9"/>
      <c r="AC5518" s="9"/>
      <c r="AD5518" s="9"/>
      <c r="AF5518" s="10"/>
      <c r="AG5518" s="10"/>
      <c r="AH5518" s="10"/>
      <c r="AI5518" s="10"/>
    </row>
    <row r="5519" spans="28:35" ht="15" hidden="1" customHeight="1">
      <c r="AB5519" s="9"/>
      <c r="AC5519" s="9"/>
      <c r="AD5519" s="9"/>
      <c r="AF5519" s="10"/>
      <c r="AG5519" s="10"/>
      <c r="AH5519" s="10"/>
      <c r="AI5519" s="10"/>
    </row>
    <row r="5520" spans="28:35" ht="15" hidden="1" customHeight="1">
      <c r="AB5520" s="9"/>
      <c r="AC5520" s="9"/>
      <c r="AD5520" s="9"/>
      <c r="AF5520" s="10"/>
      <c r="AG5520" s="10"/>
      <c r="AH5520" s="10"/>
      <c r="AI5520" s="10"/>
    </row>
    <row r="5521" spans="28:35" ht="15" hidden="1" customHeight="1">
      <c r="AB5521" s="9"/>
      <c r="AC5521" s="9"/>
      <c r="AD5521" s="9"/>
      <c r="AF5521" s="10"/>
      <c r="AG5521" s="10"/>
      <c r="AH5521" s="10"/>
      <c r="AI5521" s="10"/>
    </row>
    <row r="5522" spans="28:35" ht="15" hidden="1" customHeight="1">
      <c r="AB5522" s="9"/>
      <c r="AC5522" s="9"/>
      <c r="AD5522" s="9"/>
      <c r="AF5522" s="10"/>
      <c r="AG5522" s="10"/>
      <c r="AH5522" s="10"/>
      <c r="AI5522" s="10"/>
    </row>
    <row r="5523" spans="28:35" ht="15" hidden="1" customHeight="1">
      <c r="AB5523" s="9"/>
      <c r="AC5523" s="9"/>
      <c r="AD5523" s="9"/>
      <c r="AF5523" s="10"/>
      <c r="AG5523" s="10"/>
      <c r="AH5523" s="10"/>
      <c r="AI5523" s="10"/>
    </row>
    <row r="5524" spans="28:35" ht="15" hidden="1" customHeight="1">
      <c r="AB5524" s="9"/>
      <c r="AC5524" s="9"/>
      <c r="AD5524" s="9"/>
      <c r="AF5524" s="10"/>
      <c r="AG5524" s="10"/>
      <c r="AH5524" s="10"/>
      <c r="AI5524" s="10"/>
    </row>
    <row r="5525" spans="28:35" ht="15" hidden="1" customHeight="1">
      <c r="AB5525" s="9"/>
      <c r="AC5525" s="9"/>
      <c r="AD5525" s="9"/>
      <c r="AF5525" s="10"/>
      <c r="AG5525" s="10"/>
      <c r="AH5525" s="10"/>
      <c r="AI5525" s="10"/>
    </row>
    <row r="5526" spans="28:35" ht="15" hidden="1" customHeight="1">
      <c r="AB5526" s="9"/>
      <c r="AC5526" s="9"/>
      <c r="AD5526" s="9"/>
      <c r="AF5526" s="10"/>
      <c r="AG5526" s="10"/>
      <c r="AH5526" s="10"/>
      <c r="AI5526" s="10"/>
    </row>
    <row r="5527" spans="28:35" ht="15" hidden="1" customHeight="1">
      <c r="AB5527" s="9"/>
      <c r="AC5527" s="9"/>
      <c r="AD5527" s="9"/>
      <c r="AF5527" s="10"/>
      <c r="AG5527" s="10"/>
      <c r="AH5527" s="10"/>
      <c r="AI5527" s="10"/>
    </row>
    <row r="5528" spans="28:35" ht="15" hidden="1" customHeight="1">
      <c r="AB5528" s="9"/>
      <c r="AC5528" s="9"/>
      <c r="AD5528" s="9"/>
      <c r="AF5528" s="10"/>
      <c r="AG5528" s="10"/>
      <c r="AH5528" s="10"/>
      <c r="AI5528" s="10"/>
    </row>
    <row r="5529" spans="28:35" ht="15" hidden="1" customHeight="1">
      <c r="AB5529" s="9"/>
      <c r="AC5529" s="9"/>
      <c r="AD5529" s="9"/>
      <c r="AF5529" s="10"/>
      <c r="AG5529" s="10"/>
      <c r="AH5529" s="10"/>
      <c r="AI5529" s="10"/>
    </row>
    <row r="5530" spans="28:35" ht="15" hidden="1" customHeight="1">
      <c r="AB5530" s="9"/>
      <c r="AC5530" s="9"/>
      <c r="AD5530" s="9"/>
      <c r="AF5530" s="10"/>
      <c r="AG5530" s="10"/>
      <c r="AH5530" s="10"/>
      <c r="AI5530" s="10"/>
    </row>
    <row r="5531" spans="28:35" ht="15" hidden="1" customHeight="1">
      <c r="AB5531" s="9"/>
      <c r="AC5531" s="9"/>
      <c r="AD5531" s="9"/>
      <c r="AF5531" s="10"/>
      <c r="AG5531" s="10"/>
      <c r="AH5531" s="10"/>
      <c r="AI5531" s="10"/>
    </row>
    <row r="5532" spans="28:35" ht="15" hidden="1" customHeight="1">
      <c r="AB5532" s="9"/>
      <c r="AC5532" s="9"/>
      <c r="AD5532" s="9"/>
      <c r="AF5532" s="10"/>
      <c r="AG5532" s="10"/>
      <c r="AH5532" s="10"/>
      <c r="AI5532" s="10"/>
    </row>
    <row r="5533" spans="28:35" ht="15" hidden="1" customHeight="1">
      <c r="AB5533" s="9"/>
      <c r="AC5533" s="9"/>
      <c r="AD5533" s="9"/>
      <c r="AF5533" s="10"/>
      <c r="AG5533" s="10"/>
      <c r="AH5533" s="10"/>
      <c r="AI5533" s="10"/>
    </row>
    <row r="5534" spans="28:35" ht="15" hidden="1" customHeight="1">
      <c r="AB5534" s="9"/>
      <c r="AC5534" s="9"/>
      <c r="AD5534" s="9"/>
      <c r="AF5534" s="10"/>
      <c r="AG5534" s="10"/>
      <c r="AH5534" s="10"/>
      <c r="AI5534" s="10"/>
    </row>
    <row r="5535" spans="28:35" ht="15" hidden="1" customHeight="1">
      <c r="AB5535" s="9"/>
      <c r="AC5535" s="9"/>
      <c r="AD5535" s="9"/>
      <c r="AF5535" s="10"/>
      <c r="AG5535" s="10"/>
      <c r="AH5535" s="10"/>
      <c r="AI5535" s="10"/>
    </row>
    <row r="5536" spans="28:35" ht="15" hidden="1" customHeight="1">
      <c r="AB5536" s="9"/>
      <c r="AC5536" s="9"/>
      <c r="AD5536" s="9"/>
      <c r="AF5536" s="10"/>
      <c r="AG5536" s="10"/>
      <c r="AH5536" s="10"/>
      <c r="AI5536" s="10"/>
    </row>
    <row r="5537" spans="28:35" ht="15" hidden="1" customHeight="1">
      <c r="AB5537" s="9"/>
      <c r="AC5537" s="9"/>
      <c r="AD5537" s="9"/>
      <c r="AF5537" s="10"/>
      <c r="AG5537" s="10"/>
      <c r="AH5537" s="10"/>
      <c r="AI5537" s="10"/>
    </row>
    <row r="5538" spans="28:35" ht="15" hidden="1" customHeight="1">
      <c r="AB5538" s="9"/>
      <c r="AC5538" s="9"/>
      <c r="AD5538" s="9"/>
      <c r="AF5538" s="10"/>
      <c r="AG5538" s="10"/>
      <c r="AH5538" s="10"/>
      <c r="AI5538" s="10"/>
    </row>
    <row r="5539" spans="28:35" ht="15" hidden="1" customHeight="1">
      <c r="AB5539" s="9"/>
      <c r="AC5539" s="9"/>
      <c r="AD5539" s="9"/>
      <c r="AF5539" s="10"/>
      <c r="AG5539" s="10"/>
      <c r="AH5539" s="10"/>
      <c r="AI5539" s="10"/>
    </row>
    <row r="5540" spans="28:35" ht="15" hidden="1" customHeight="1">
      <c r="AB5540" s="9"/>
      <c r="AC5540" s="9"/>
      <c r="AD5540" s="9"/>
      <c r="AF5540" s="10"/>
      <c r="AG5540" s="10"/>
      <c r="AH5540" s="10"/>
      <c r="AI5540" s="10"/>
    </row>
    <row r="5541" spans="28:35" ht="15" hidden="1" customHeight="1">
      <c r="AB5541" s="9"/>
      <c r="AC5541" s="9"/>
      <c r="AD5541" s="9"/>
      <c r="AF5541" s="10"/>
      <c r="AG5541" s="10"/>
      <c r="AH5541" s="10"/>
      <c r="AI5541" s="10"/>
    </row>
    <row r="5542" spans="28:35" ht="15" hidden="1" customHeight="1">
      <c r="AB5542" s="9"/>
      <c r="AC5542" s="9"/>
      <c r="AD5542" s="9"/>
      <c r="AF5542" s="10"/>
      <c r="AG5542" s="10"/>
      <c r="AH5542" s="10"/>
      <c r="AI5542" s="10"/>
    </row>
    <row r="5543" spans="28:35" ht="15" hidden="1" customHeight="1">
      <c r="AB5543" s="9"/>
      <c r="AC5543" s="9"/>
      <c r="AD5543" s="9"/>
      <c r="AF5543" s="10"/>
      <c r="AG5543" s="10"/>
      <c r="AH5543" s="10"/>
      <c r="AI5543" s="10"/>
    </row>
    <row r="5544" spans="28:35" ht="15" hidden="1" customHeight="1">
      <c r="AB5544" s="9"/>
      <c r="AC5544" s="9"/>
      <c r="AD5544" s="9"/>
      <c r="AF5544" s="10"/>
      <c r="AG5544" s="10"/>
      <c r="AH5544" s="10"/>
      <c r="AI5544" s="10"/>
    </row>
    <row r="5545" spans="28:35" ht="15" hidden="1" customHeight="1">
      <c r="AB5545" s="9"/>
      <c r="AC5545" s="9"/>
      <c r="AD5545" s="9"/>
      <c r="AF5545" s="10"/>
      <c r="AG5545" s="10"/>
      <c r="AH5545" s="10"/>
      <c r="AI5545" s="10"/>
    </row>
    <row r="5546" spans="28:35" ht="15" hidden="1" customHeight="1">
      <c r="AB5546" s="9"/>
      <c r="AC5546" s="9"/>
      <c r="AD5546" s="9"/>
      <c r="AF5546" s="10"/>
      <c r="AG5546" s="10"/>
      <c r="AH5546" s="10"/>
      <c r="AI5546" s="10"/>
    </row>
    <row r="5547" spans="28:35" ht="15" hidden="1" customHeight="1">
      <c r="AB5547" s="9"/>
      <c r="AC5547" s="9"/>
      <c r="AD5547" s="9"/>
      <c r="AF5547" s="10"/>
      <c r="AG5547" s="10"/>
      <c r="AH5547" s="10"/>
      <c r="AI5547" s="10"/>
    </row>
    <row r="5548" spans="28:35" ht="15" hidden="1" customHeight="1">
      <c r="AB5548" s="9"/>
      <c r="AC5548" s="9"/>
      <c r="AD5548" s="9"/>
      <c r="AF5548" s="10"/>
      <c r="AG5548" s="10"/>
      <c r="AH5548" s="10"/>
      <c r="AI5548" s="10"/>
    </row>
    <row r="5549" spans="28:35" ht="15" hidden="1" customHeight="1">
      <c r="AB5549" s="9"/>
      <c r="AC5549" s="9"/>
      <c r="AD5549" s="9"/>
      <c r="AF5549" s="10"/>
      <c r="AG5549" s="10"/>
      <c r="AH5549" s="10"/>
      <c r="AI5549" s="10"/>
    </row>
    <row r="5550" spans="28:35" ht="15" hidden="1" customHeight="1">
      <c r="AB5550" s="9"/>
      <c r="AC5550" s="9"/>
      <c r="AD5550" s="9"/>
      <c r="AF5550" s="10"/>
      <c r="AG5550" s="10"/>
      <c r="AH5550" s="10"/>
      <c r="AI5550" s="10"/>
    </row>
    <row r="5551" spans="28:35" ht="15" hidden="1" customHeight="1">
      <c r="AB5551" s="9"/>
      <c r="AC5551" s="9"/>
      <c r="AD5551" s="9"/>
      <c r="AF5551" s="10"/>
      <c r="AG5551" s="10"/>
      <c r="AH5551" s="10"/>
      <c r="AI5551" s="10"/>
    </row>
    <row r="5552" spans="28:35" ht="15" hidden="1" customHeight="1">
      <c r="AB5552" s="9"/>
      <c r="AC5552" s="9"/>
      <c r="AD5552" s="9"/>
      <c r="AF5552" s="10"/>
      <c r="AG5552" s="10"/>
      <c r="AH5552" s="10"/>
      <c r="AI5552" s="10"/>
    </row>
    <row r="5553" spans="28:35" ht="15" hidden="1" customHeight="1">
      <c r="AB5553" s="9"/>
      <c r="AC5553" s="9"/>
      <c r="AD5553" s="9"/>
      <c r="AF5553" s="10"/>
      <c r="AG5553" s="10"/>
      <c r="AH5553" s="10"/>
      <c r="AI5553" s="10"/>
    </row>
    <row r="5554" spans="28:35" ht="15" hidden="1" customHeight="1">
      <c r="AB5554" s="9"/>
      <c r="AC5554" s="9"/>
      <c r="AD5554" s="9"/>
      <c r="AF5554" s="10"/>
      <c r="AG5554" s="10"/>
      <c r="AH5554" s="10"/>
      <c r="AI5554" s="10"/>
    </row>
    <row r="5555" spans="28:35" ht="15" hidden="1" customHeight="1">
      <c r="AB5555" s="9"/>
      <c r="AC5555" s="9"/>
      <c r="AD5555" s="9"/>
      <c r="AF5555" s="10"/>
      <c r="AG5555" s="10"/>
      <c r="AH5555" s="10"/>
      <c r="AI5555" s="10"/>
    </row>
    <row r="5556" spans="28:35" ht="15" hidden="1" customHeight="1">
      <c r="AB5556" s="9"/>
      <c r="AC5556" s="9"/>
      <c r="AD5556" s="9"/>
      <c r="AF5556" s="10"/>
      <c r="AG5556" s="10"/>
      <c r="AH5556" s="10"/>
      <c r="AI5556" s="10"/>
    </row>
    <row r="5557" spans="28:35" ht="15" hidden="1" customHeight="1">
      <c r="AB5557" s="9"/>
      <c r="AC5557" s="9"/>
      <c r="AD5557" s="9"/>
      <c r="AF5557" s="10"/>
      <c r="AG5557" s="10"/>
      <c r="AH5557" s="10"/>
      <c r="AI5557" s="10"/>
    </row>
    <row r="5558" spans="28:35" ht="15" hidden="1" customHeight="1">
      <c r="AB5558" s="9"/>
      <c r="AC5558" s="9"/>
      <c r="AD5558" s="9"/>
      <c r="AF5558" s="10"/>
      <c r="AG5558" s="10"/>
      <c r="AH5558" s="10"/>
      <c r="AI5558" s="10"/>
    </row>
    <row r="5559" spans="28:35" ht="15" hidden="1" customHeight="1">
      <c r="AB5559" s="9"/>
      <c r="AC5559" s="9"/>
      <c r="AD5559" s="9"/>
      <c r="AF5559" s="10"/>
      <c r="AG5559" s="10"/>
      <c r="AH5559" s="10"/>
      <c r="AI5559" s="10"/>
    </row>
    <row r="5560" spans="28:35" ht="15" hidden="1" customHeight="1">
      <c r="AB5560" s="9"/>
      <c r="AC5560" s="9"/>
      <c r="AD5560" s="9"/>
      <c r="AF5560" s="10"/>
      <c r="AG5560" s="10"/>
      <c r="AH5560" s="10"/>
      <c r="AI5560" s="10"/>
    </row>
    <row r="5561" spans="28:35" ht="15" hidden="1" customHeight="1">
      <c r="AB5561" s="9"/>
      <c r="AC5561" s="9"/>
      <c r="AD5561" s="9"/>
      <c r="AF5561" s="10"/>
      <c r="AG5561" s="10"/>
      <c r="AH5561" s="10"/>
      <c r="AI5561" s="10"/>
    </row>
    <row r="5562" spans="28:35" ht="15" hidden="1" customHeight="1">
      <c r="AB5562" s="9"/>
      <c r="AC5562" s="9"/>
      <c r="AD5562" s="9"/>
      <c r="AF5562" s="10"/>
      <c r="AG5562" s="10"/>
      <c r="AH5562" s="10"/>
      <c r="AI5562" s="10"/>
    </row>
    <row r="5563" spans="28:35" ht="15" hidden="1" customHeight="1">
      <c r="AB5563" s="9"/>
      <c r="AC5563" s="9"/>
      <c r="AD5563" s="9"/>
      <c r="AF5563" s="10"/>
      <c r="AG5563" s="10"/>
      <c r="AH5563" s="10"/>
      <c r="AI5563" s="10"/>
    </row>
    <row r="5564" spans="28:35" ht="15" hidden="1" customHeight="1">
      <c r="AB5564" s="9"/>
      <c r="AC5564" s="9"/>
      <c r="AD5564" s="9"/>
      <c r="AF5564" s="10"/>
      <c r="AG5564" s="10"/>
      <c r="AH5564" s="10"/>
      <c r="AI5564" s="10"/>
    </row>
    <row r="5565" spans="28:35" ht="15" hidden="1" customHeight="1">
      <c r="AB5565" s="9"/>
      <c r="AC5565" s="9"/>
      <c r="AD5565" s="9"/>
      <c r="AF5565" s="10"/>
      <c r="AG5565" s="10"/>
      <c r="AH5565" s="10"/>
      <c r="AI5565" s="10"/>
    </row>
    <row r="5566" spans="28:35" ht="15" hidden="1" customHeight="1">
      <c r="AB5566" s="9"/>
      <c r="AC5566" s="9"/>
      <c r="AD5566" s="9"/>
      <c r="AF5566" s="10"/>
      <c r="AG5566" s="10"/>
      <c r="AH5566" s="10"/>
      <c r="AI5566" s="10"/>
    </row>
    <row r="5567" spans="28:35" ht="15" hidden="1" customHeight="1">
      <c r="AB5567" s="9"/>
      <c r="AC5567" s="9"/>
      <c r="AD5567" s="9"/>
      <c r="AF5567" s="10"/>
      <c r="AG5567" s="10"/>
      <c r="AH5567" s="10"/>
      <c r="AI5567" s="10"/>
    </row>
    <row r="5568" spans="28:35" ht="15" hidden="1" customHeight="1">
      <c r="AB5568" s="9"/>
      <c r="AC5568" s="9"/>
      <c r="AD5568" s="9"/>
      <c r="AF5568" s="10"/>
      <c r="AG5568" s="10"/>
      <c r="AH5568" s="10"/>
      <c r="AI5568" s="10"/>
    </row>
    <row r="5569" spans="28:35" ht="15" hidden="1" customHeight="1">
      <c r="AB5569" s="9"/>
      <c r="AC5569" s="9"/>
      <c r="AD5569" s="9"/>
      <c r="AF5569" s="10"/>
      <c r="AG5569" s="10"/>
      <c r="AH5569" s="10"/>
      <c r="AI5569" s="10"/>
    </row>
    <row r="5570" spans="28:35" ht="15" hidden="1" customHeight="1">
      <c r="AB5570" s="9"/>
      <c r="AC5570" s="9"/>
      <c r="AD5570" s="9"/>
      <c r="AF5570" s="10"/>
      <c r="AG5570" s="10"/>
      <c r="AH5570" s="10"/>
      <c r="AI5570" s="10"/>
    </row>
    <row r="5571" spans="28:35" ht="15" hidden="1" customHeight="1">
      <c r="AB5571" s="9"/>
      <c r="AC5571" s="9"/>
      <c r="AD5571" s="9"/>
      <c r="AF5571" s="10"/>
      <c r="AG5571" s="10"/>
      <c r="AH5571" s="10"/>
      <c r="AI5571" s="10"/>
    </row>
    <row r="5572" spans="28:35" ht="15" hidden="1" customHeight="1">
      <c r="AB5572" s="9"/>
      <c r="AC5572" s="9"/>
      <c r="AD5572" s="9"/>
      <c r="AF5572" s="10"/>
      <c r="AG5572" s="10"/>
      <c r="AH5572" s="10"/>
      <c r="AI5572" s="10"/>
    </row>
    <row r="5573" spans="28:35" ht="15" hidden="1" customHeight="1">
      <c r="AB5573" s="9"/>
      <c r="AC5573" s="9"/>
      <c r="AD5573" s="9"/>
      <c r="AF5573" s="10"/>
      <c r="AG5573" s="10"/>
      <c r="AH5573" s="10"/>
      <c r="AI5573" s="10"/>
    </row>
    <row r="5574" spans="28:35" ht="15" hidden="1" customHeight="1">
      <c r="AB5574" s="9"/>
      <c r="AC5574" s="9"/>
      <c r="AD5574" s="9"/>
      <c r="AF5574" s="10"/>
      <c r="AG5574" s="10"/>
      <c r="AH5574" s="10"/>
      <c r="AI5574" s="10"/>
    </row>
    <row r="5575" spans="28:35" ht="15" hidden="1" customHeight="1">
      <c r="AB5575" s="9"/>
      <c r="AC5575" s="9"/>
      <c r="AD5575" s="9"/>
      <c r="AF5575" s="10"/>
      <c r="AG5575" s="10"/>
      <c r="AH5575" s="10"/>
      <c r="AI5575" s="10"/>
    </row>
    <row r="5576" spans="28:35" ht="15" hidden="1" customHeight="1">
      <c r="AB5576" s="9"/>
      <c r="AC5576" s="9"/>
      <c r="AD5576" s="9"/>
      <c r="AF5576" s="10"/>
      <c r="AG5576" s="10"/>
      <c r="AH5576" s="10"/>
      <c r="AI5576" s="10"/>
    </row>
    <row r="5577" spans="28:35" ht="15" hidden="1" customHeight="1">
      <c r="AB5577" s="9"/>
      <c r="AC5577" s="9"/>
      <c r="AD5577" s="9"/>
      <c r="AF5577" s="10"/>
      <c r="AG5577" s="10"/>
      <c r="AH5577" s="10"/>
      <c r="AI5577" s="10"/>
    </row>
    <row r="5578" spans="28:35" ht="15" hidden="1" customHeight="1">
      <c r="AB5578" s="9"/>
      <c r="AC5578" s="9"/>
      <c r="AD5578" s="9"/>
      <c r="AF5578" s="10"/>
      <c r="AG5578" s="10"/>
      <c r="AH5578" s="10"/>
      <c r="AI5578" s="10"/>
    </row>
    <row r="5579" spans="28:35" ht="15" hidden="1" customHeight="1">
      <c r="AB5579" s="9"/>
      <c r="AC5579" s="9"/>
      <c r="AD5579" s="9"/>
      <c r="AF5579" s="10"/>
      <c r="AG5579" s="10"/>
      <c r="AH5579" s="10"/>
      <c r="AI5579" s="10"/>
    </row>
    <row r="5580" spans="28:35" ht="15" hidden="1" customHeight="1">
      <c r="AB5580" s="9"/>
      <c r="AC5580" s="9"/>
      <c r="AD5580" s="9"/>
      <c r="AF5580" s="10"/>
      <c r="AG5580" s="10"/>
      <c r="AH5580" s="10"/>
      <c r="AI5580" s="10"/>
    </row>
    <row r="5581" spans="28:35" ht="15" hidden="1" customHeight="1">
      <c r="AB5581" s="9"/>
      <c r="AC5581" s="9"/>
      <c r="AD5581" s="9"/>
      <c r="AF5581" s="10"/>
      <c r="AG5581" s="10"/>
      <c r="AH5581" s="10"/>
      <c r="AI5581" s="10"/>
    </row>
    <row r="5582" spans="28:35" ht="15" hidden="1" customHeight="1">
      <c r="AB5582" s="9"/>
      <c r="AC5582" s="9"/>
      <c r="AD5582" s="9"/>
      <c r="AF5582" s="10"/>
      <c r="AG5582" s="10"/>
      <c r="AH5582" s="10"/>
      <c r="AI5582" s="10"/>
    </row>
    <row r="5583" spans="28:35" ht="15" hidden="1" customHeight="1">
      <c r="AB5583" s="9"/>
      <c r="AC5583" s="9"/>
      <c r="AD5583" s="9"/>
      <c r="AF5583" s="10"/>
      <c r="AG5583" s="10"/>
      <c r="AH5583" s="10"/>
      <c r="AI5583" s="10"/>
    </row>
    <row r="5584" spans="28:35" ht="15" hidden="1" customHeight="1">
      <c r="AB5584" s="9"/>
      <c r="AC5584" s="9"/>
      <c r="AD5584" s="9"/>
      <c r="AF5584" s="10"/>
      <c r="AG5584" s="10"/>
      <c r="AH5584" s="10"/>
      <c r="AI5584" s="10"/>
    </row>
    <row r="5585" spans="28:35" ht="15" hidden="1" customHeight="1">
      <c r="AB5585" s="9"/>
      <c r="AC5585" s="9"/>
      <c r="AD5585" s="9"/>
      <c r="AF5585" s="10"/>
      <c r="AG5585" s="10"/>
      <c r="AH5585" s="10"/>
      <c r="AI5585" s="10"/>
    </row>
    <row r="5586" spans="28:35" ht="15" hidden="1" customHeight="1">
      <c r="AB5586" s="9"/>
      <c r="AC5586" s="9"/>
      <c r="AD5586" s="9"/>
      <c r="AF5586" s="10"/>
      <c r="AG5586" s="10"/>
      <c r="AH5586" s="10"/>
      <c r="AI5586" s="10"/>
    </row>
    <row r="5587" spans="28:35" ht="15" hidden="1" customHeight="1">
      <c r="AB5587" s="9"/>
      <c r="AC5587" s="9"/>
      <c r="AD5587" s="9"/>
      <c r="AF5587" s="10"/>
      <c r="AG5587" s="10"/>
      <c r="AH5587" s="10"/>
      <c r="AI5587" s="10"/>
    </row>
    <row r="5588" spans="28:35" ht="15" hidden="1" customHeight="1">
      <c r="AB5588" s="9"/>
      <c r="AC5588" s="9"/>
      <c r="AD5588" s="9"/>
      <c r="AF5588" s="10"/>
      <c r="AG5588" s="10"/>
      <c r="AH5588" s="10"/>
      <c r="AI5588" s="10"/>
    </row>
    <row r="5589" spans="28:35" ht="15" hidden="1" customHeight="1">
      <c r="AB5589" s="9"/>
      <c r="AC5589" s="9"/>
      <c r="AD5589" s="9"/>
      <c r="AF5589" s="10"/>
      <c r="AG5589" s="10"/>
      <c r="AH5589" s="10"/>
      <c r="AI5589" s="10"/>
    </row>
    <row r="5590" spans="28:35" ht="15" hidden="1" customHeight="1">
      <c r="AB5590" s="9"/>
      <c r="AC5590" s="9"/>
      <c r="AD5590" s="9"/>
      <c r="AF5590" s="10"/>
      <c r="AG5590" s="10"/>
      <c r="AH5590" s="10"/>
      <c r="AI5590" s="10"/>
    </row>
    <row r="5591" spans="28:35" ht="15" hidden="1" customHeight="1">
      <c r="AB5591" s="9"/>
      <c r="AC5591" s="9"/>
      <c r="AD5591" s="9"/>
      <c r="AF5591" s="10"/>
      <c r="AG5591" s="10"/>
      <c r="AH5591" s="10"/>
      <c r="AI5591" s="10"/>
    </row>
    <row r="5592" spans="28:35" ht="15" hidden="1" customHeight="1">
      <c r="AB5592" s="9"/>
      <c r="AC5592" s="9"/>
      <c r="AD5592" s="9"/>
      <c r="AF5592" s="10"/>
      <c r="AG5592" s="10"/>
      <c r="AH5592" s="10"/>
      <c r="AI5592" s="10"/>
    </row>
    <row r="5593" spans="28:35" ht="15" hidden="1" customHeight="1">
      <c r="AB5593" s="9"/>
      <c r="AC5593" s="9"/>
      <c r="AD5593" s="9"/>
      <c r="AF5593" s="10"/>
      <c r="AG5593" s="10"/>
      <c r="AH5593" s="10"/>
      <c r="AI5593" s="10"/>
    </row>
    <row r="5594" spans="28:35" ht="15" hidden="1" customHeight="1">
      <c r="AB5594" s="9"/>
      <c r="AC5594" s="9"/>
      <c r="AD5594" s="9"/>
      <c r="AF5594" s="10"/>
      <c r="AG5594" s="10"/>
      <c r="AH5594" s="10"/>
      <c r="AI5594" s="10"/>
    </row>
    <row r="5595" spans="28:35" ht="15" hidden="1" customHeight="1">
      <c r="AB5595" s="9"/>
      <c r="AC5595" s="9"/>
      <c r="AD5595" s="9"/>
      <c r="AF5595" s="10"/>
      <c r="AG5595" s="10"/>
      <c r="AH5595" s="10"/>
      <c r="AI5595" s="10"/>
    </row>
    <row r="5596" spans="28:35" ht="15" hidden="1" customHeight="1">
      <c r="AB5596" s="9"/>
      <c r="AC5596" s="9"/>
      <c r="AD5596" s="9"/>
      <c r="AF5596" s="10"/>
      <c r="AG5596" s="10"/>
      <c r="AH5596" s="10"/>
      <c r="AI5596" s="10"/>
    </row>
    <row r="5597" spans="28:35" ht="15" hidden="1" customHeight="1">
      <c r="AB5597" s="9"/>
      <c r="AC5597" s="9"/>
      <c r="AD5597" s="9"/>
      <c r="AF5597" s="10"/>
      <c r="AG5597" s="10"/>
      <c r="AH5597" s="10"/>
      <c r="AI5597" s="10"/>
    </row>
    <row r="5598" spans="28:35" ht="15" hidden="1" customHeight="1">
      <c r="AB5598" s="9"/>
      <c r="AC5598" s="9"/>
      <c r="AD5598" s="9"/>
      <c r="AF5598" s="10"/>
      <c r="AG5598" s="10"/>
      <c r="AH5598" s="10"/>
      <c r="AI5598" s="10"/>
    </row>
    <row r="5599" spans="28:35" ht="15" hidden="1" customHeight="1">
      <c r="AB5599" s="9"/>
      <c r="AC5599" s="9"/>
      <c r="AD5599" s="9"/>
      <c r="AF5599" s="10"/>
      <c r="AG5599" s="10"/>
      <c r="AH5599" s="10"/>
      <c r="AI5599" s="10"/>
    </row>
    <row r="5600" spans="28:35" ht="15" hidden="1" customHeight="1">
      <c r="AB5600" s="9"/>
      <c r="AC5600" s="9"/>
      <c r="AD5600" s="9"/>
      <c r="AF5600" s="10"/>
      <c r="AG5600" s="10"/>
      <c r="AH5600" s="10"/>
      <c r="AI5600" s="10"/>
    </row>
    <row r="5601" spans="28:35" ht="15" hidden="1" customHeight="1">
      <c r="AB5601" s="9"/>
      <c r="AC5601" s="9"/>
      <c r="AD5601" s="9"/>
      <c r="AF5601" s="10"/>
      <c r="AG5601" s="10"/>
      <c r="AH5601" s="10"/>
      <c r="AI5601" s="10"/>
    </row>
    <row r="5602" spans="28:35" ht="15" hidden="1" customHeight="1">
      <c r="AB5602" s="9"/>
      <c r="AC5602" s="9"/>
      <c r="AD5602" s="9"/>
      <c r="AF5602" s="10"/>
      <c r="AG5602" s="10"/>
      <c r="AH5602" s="10"/>
      <c r="AI5602" s="10"/>
    </row>
    <row r="5603" spans="28:35" ht="15" hidden="1" customHeight="1">
      <c r="AB5603" s="9"/>
      <c r="AC5603" s="9"/>
      <c r="AD5603" s="9"/>
      <c r="AF5603" s="10"/>
      <c r="AG5603" s="10"/>
      <c r="AH5603" s="10"/>
      <c r="AI5603" s="10"/>
    </row>
    <row r="5604" spans="28:35" ht="15" hidden="1" customHeight="1">
      <c r="AB5604" s="9"/>
      <c r="AC5604" s="9"/>
      <c r="AD5604" s="9"/>
      <c r="AF5604" s="10"/>
      <c r="AG5604" s="10"/>
      <c r="AH5604" s="10"/>
      <c r="AI5604" s="10"/>
    </row>
    <row r="5605" spans="28:35" ht="15" hidden="1" customHeight="1">
      <c r="AB5605" s="9"/>
      <c r="AC5605" s="9"/>
      <c r="AD5605" s="9"/>
      <c r="AF5605" s="10"/>
      <c r="AG5605" s="10"/>
      <c r="AH5605" s="10"/>
      <c r="AI5605" s="10"/>
    </row>
    <row r="5606" spans="28:35" ht="15" hidden="1" customHeight="1">
      <c r="AB5606" s="9"/>
      <c r="AC5606" s="9"/>
      <c r="AD5606" s="9"/>
      <c r="AF5606" s="10"/>
      <c r="AG5606" s="10"/>
      <c r="AH5606" s="10"/>
      <c r="AI5606" s="10"/>
    </row>
    <row r="5607" spans="28:35" ht="15" hidden="1" customHeight="1">
      <c r="AB5607" s="9"/>
      <c r="AC5607" s="9"/>
      <c r="AD5607" s="9"/>
      <c r="AF5607" s="10"/>
      <c r="AG5607" s="10"/>
      <c r="AH5607" s="10"/>
      <c r="AI5607" s="10"/>
    </row>
    <row r="5608" spans="28:35" ht="15" hidden="1" customHeight="1">
      <c r="AB5608" s="9"/>
      <c r="AC5608" s="9"/>
      <c r="AD5608" s="9"/>
      <c r="AF5608" s="10"/>
      <c r="AG5608" s="10"/>
      <c r="AH5608" s="10"/>
      <c r="AI5608" s="10"/>
    </row>
    <row r="5609" spans="28:35" ht="15" hidden="1" customHeight="1">
      <c r="AB5609" s="9"/>
      <c r="AC5609" s="9"/>
      <c r="AD5609" s="9"/>
      <c r="AF5609" s="10"/>
      <c r="AG5609" s="10"/>
      <c r="AH5609" s="10"/>
      <c r="AI5609" s="10"/>
    </row>
    <row r="5610" spans="28:35" ht="15" hidden="1" customHeight="1">
      <c r="AB5610" s="9"/>
      <c r="AC5610" s="9"/>
      <c r="AD5610" s="9"/>
      <c r="AF5610" s="10"/>
      <c r="AG5610" s="10"/>
      <c r="AH5610" s="10"/>
      <c r="AI5610" s="10"/>
    </row>
    <row r="5611" spans="28:35" ht="15" hidden="1" customHeight="1">
      <c r="AB5611" s="9"/>
      <c r="AC5611" s="9"/>
      <c r="AD5611" s="9"/>
      <c r="AF5611" s="10"/>
      <c r="AG5611" s="10"/>
      <c r="AH5611" s="10"/>
      <c r="AI5611" s="10"/>
    </row>
    <row r="5612" spans="28:35" ht="15" hidden="1" customHeight="1">
      <c r="AB5612" s="9"/>
      <c r="AC5612" s="9"/>
      <c r="AD5612" s="9"/>
      <c r="AF5612" s="10"/>
      <c r="AG5612" s="10"/>
      <c r="AH5612" s="10"/>
      <c r="AI5612" s="10"/>
    </row>
    <row r="5613" spans="28:35" ht="15" hidden="1" customHeight="1">
      <c r="AB5613" s="9"/>
      <c r="AC5613" s="9"/>
      <c r="AD5613" s="9"/>
      <c r="AF5613" s="10"/>
      <c r="AG5613" s="10"/>
      <c r="AH5613" s="10"/>
      <c r="AI5613" s="10"/>
    </row>
    <row r="5614" spans="28:35" ht="15" hidden="1" customHeight="1">
      <c r="AB5614" s="9"/>
      <c r="AC5614" s="9"/>
      <c r="AD5614" s="9"/>
      <c r="AF5614" s="10"/>
      <c r="AG5614" s="10"/>
      <c r="AH5614" s="10"/>
      <c r="AI5614" s="10"/>
    </row>
    <row r="5615" spans="28:35" ht="15" hidden="1" customHeight="1">
      <c r="AB5615" s="9"/>
      <c r="AC5615" s="9"/>
      <c r="AD5615" s="9"/>
      <c r="AF5615" s="10"/>
      <c r="AG5615" s="10"/>
      <c r="AH5615" s="10"/>
      <c r="AI5615" s="10"/>
    </row>
    <row r="5616" spans="28:35" ht="15" hidden="1" customHeight="1">
      <c r="AB5616" s="9"/>
      <c r="AC5616" s="9"/>
      <c r="AD5616" s="9"/>
      <c r="AF5616" s="10"/>
      <c r="AG5616" s="10"/>
      <c r="AH5616" s="10"/>
      <c r="AI5616" s="10"/>
    </row>
    <row r="5617" spans="28:35" ht="15" hidden="1" customHeight="1">
      <c r="AB5617" s="9"/>
      <c r="AC5617" s="9"/>
      <c r="AD5617" s="9"/>
      <c r="AF5617" s="10"/>
      <c r="AG5617" s="10"/>
      <c r="AH5617" s="10"/>
      <c r="AI5617" s="10"/>
    </row>
    <row r="5618" spans="28:35" ht="15" hidden="1" customHeight="1">
      <c r="AB5618" s="9"/>
      <c r="AC5618" s="9"/>
      <c r="AD5618" s="9"/>
      <c r="AF5618" s="10"/>
      <c r="AG5618" s="10"/>
      <c r="AH5618" s="10"/>
      <c r="AI5618" s="10"/>
    </row>
    <row r="5619" spans="28:35" ht="15" hidden="1" customHeight="1">
      <c r="AB5619" s="9"/>
      <c r="AC5619" s="9"/>
      <c r="AD5619" s="9"/>
      <c r="AF5619" s="10"/>
      <c r="AG5619" s="10"/>
      <c r="AH5619" s="10"/>
      <c r="AI5619" s="10"/>
    </row>
    <row r="5620" spans="28:35" ht="15" hidden="1" customHeight="1">
      <c r="AB5620" s="9"/>
      <c r="AC5620" s="9"/>
      <c r="AD5620" s="9"/>
      <c r="AF5620" s="10"/>
      <c r="AG5620" s="10"/>
      <c r="AH5620" s="10"/>
      <c r="AI5620" s="10"/>
    </row>
    <row r="5621" spans="28:35" ht="15" hidden="1" customHeight="1">
      <c r="AB5621" s="9"/>
      <c r="AC5621" s="9"/>
      <c r="AD5621" s="9"/>
      <c r="AF5621" s="10"/>
      <c r="AG5621" s="10"/>
      <c r="AH5621" s="10"/>
      <c r="AI5621" s="10"/>
    </row>
    <row r="5622" spans="28:35" ht="15" hidden="1" customHeight="1">
      <c r="AB5622" s="9"/>
      <c r="AC5622" s="9"/>
      <c r="AD5622" s="9"/>
      <c r="AF5622" s="10"/>
      <c r="AG5622" s="10"/>
      <c r="AH5622" s="10"/>
      <c r="AI5622" s="10"/>
    </row>
    <row r="5623" spans="28:35" ht="15" hidden="1" customHeight="1">
      <c r="AB5623" s="9"/>
      <c r="AC5623" s="9"/>
      <c r="AD5623" s="9"/>
      <c r="AF5623" s="10"/>
      <c r="AG5623" s="10"/>
      <c r="AH5623" s="10"/>
      <c r="AI5623" s="10"/>
    </row>
    <row r="5624" spans="28:35" ht="15" hidden="1" customHeight="1">
      <c r="AB5624" s="9"/>
      <c r="AC5624" s="9"/>
      <c r="AD5624" s="9"/>
      <c r="AF5624" s="10"/>
      <c r="AG5624" s="10"/>
      <c r="AH5624" s="10"/>
      <c r="AI5624" s="10"/>
    </row>
    <row r="5625" spans="28:35" ht="15" hidden="1" customHeight="1">
      <c r="AB5625" s="9"/>
      <c r="AC5625" s="9"/>
      <c r="AD5625" s="9"/>
      <c r="AF5625" s="10"/>
      <c r="AG5625" s="10"/>
      <c r="AH5625" s="10"/>
      <c r="AI5625" s="10"/>
    </row>
    <row r="5626" spans="28:35" ht="15" hidden="1" customHeight="1">
      <c r="AB5626" s="9"/>
      <c r="AC5626" s="9"/>
      <c r="AD5626" s="9"/>
      <c r="AF5626" s="10"/>
      <c r="AG5626" s="10"/>
      <c r="AH5626" s="10"/>
      <c r="AI5626" s="10"/>
    </row>
    <row r="5627" spans="28:35" ht="15" hidden="1" customHeight="1">
      <c r="AB5627" s="9"/>
      <c r="AC5627" s="9"/>
      <c r="AD5627" s="9"/>
      <c r="AF5627" s="10"/>
      <c r="AG5627" s="10"/>
      <c r="AH5627" s="10"/>
      <c r="AI5627" s="10"/>
    </row>
    <row r="5628" spans="28:35" ht="15" hidden="1" customHeight="1">
      <c r="AB5628" s="9"/>
      <c r="AC5628" s="9"/>
      <c r="AD5628" s="9"/>
      <c r="AF5628" s="10"/>
      <c r="AG5628" s="10"/>
      <c r="AH5628" s="10"/>
      <c r="AI5628" s="10"/>
    </row>
    <row r="5629" spans="28:35" ht="15" hidden="1" customHeight="1">
      <c r="AB5629" s="9"/>
      <c r="AC5629" s="9"/>
      <c r="AD5629" s="9"/>
      <c r="AF5629" s="10"/>
      <c r="AG5629" s="10"/>
      <c r="AH5629" s="10"/>
      <c r="AI5629" s="10"/>
    </row>
    <row r="5630" spans="28:35" ht="15" hidden="1" customHeight="1">
      <c r="AB5630" s="9"/>
      <c r="AC5630" s="9"/>
      <c r="AD5630" s="9"/>
      <c r="AF5630" s="10"/>
      <c r="AG5630" s="10"/>
      <c r="AH5630" s="10"/>
      <c r="AI5630" s="10"/>
    </row>
    <row r="5631" spans="28:35" ht="15" hidden="1" customHeight="1">
      <c r="AB5631" s="9"/>
      <c r="AC5631" s="9"/>
      <c r="AD5631" s="9"/>
      <c r="AF5631" s="10"/>
      <c r="AG5631" s="10"/>
      <c r="AH5631" s="10"/>
      <c r="AI5631" s="10"/>
    </row>
    <row r="5632" spans="28:35" ht="15" hidden="1" customHeight="1">
      <c r="AB5632" s="9"/>
      <c r="AC5632" s="9"/>
      <c r="AD5632" s="9"/>
      <c r="AF5632" s="10"/>
      <c r="AG5632" s="10"/>
      <c r="AH5632" s="10"/>
      <c r="AI5632" s="10"/>
    </row>
    <row r="5633" spans="28:35" ht="15" hidden="1" customHeight="1">
      <c r="AB5633" s="9"/>
      <c r="AC5633" s="9"/>
      <c r="AD5633" s="9"/>
      <c r="AF5633" s="10"/>
      <c r="AG5633" s="10"/>
      <c r="AH5633" s="10"/>
      <c r="AI5633" s="10"/>
    </row>
    <row r="5634" spans="28:35" ht="15" hidden="1" customHeight="1">
      <c r="AB5634" s="9"/>
      <c r="AC5634" s="9"/>
      <c r="AD5634" s="9"/>
      <c r="AF5634" s="10"/>
      <c r="AG5634" s="10"/>
      <c r="AH5634" s="10"/>
      <c r="AI5634" s="10"/>
    </row>
    <row r="5635" spans="28:35" ht="15" hidden="1" customHeight="1">
      <c r="AB5635" s="9"/>
      <c r="AC5635" s="9"/>
      <c r="AD5635" s="9"/>
      <c r="AF5635" s="10"/>
      <c r="AG5635" s="10"/>
      <c r="AH5635" s="10"/>
      <c r="AI5635" s="10"/>
    </row>
    <row r="5636" spans="28:35" ht="15" hidden="1" customHeight="1">
      <c r="AB5636" s="9"/>
      <c r="AC5636" s="9"/>
      <c r="AD5636" s="9"/>
      <c r="AF5636" s="10"/>
      <c r="AG5636" s="10"/>
      <c r="AH5636" s="10"/>
      <c r="AI5636" s="10"/>
    </row>
    <row r="5637" spans="28:35" ht="15" hidden="1" customHeight="1">
      <c r="AB5637" s="9"/>
      <c r="AC5637" s="9"/>
      <c r="AD5637" s="9"/>
      <c r="AF5637" s="10"/>
      <c r="AG5637" s="10"/>
      <c r="AH5637" s="10"/>
      <c r="AI5637" s="10"/>
    </row>
    <row r="5638" spans="28:35" ht="15" hidden="1" customHeight="1">
      <c r="AB5638" s="9"/>
      <c r="AC5638" s="9"/>
      <c r="AD5638" s="9"/>
      <c r="AF5638" s="10"/>
      <c r="AG5638" s="10"/>
      <c r="AH5638" s="10"/>
      <c r="AI5638" s="10"/>
    </row>
    <row r="5639" spans="28:35" ht="15" hidden="1" customHeight="1">
      <c r="AB5639" s="9"/>
      <c r="AC5639" s="9"/>
      <c r="AD5639" s="9"/>
      <c r="AF5639" s="10"/>
      <c r="AG5639" s="10"/>
      <c r="AH5639" s="10"/>
      <c r="AI5639" s="10"/>
    </row>
    <row r="5640" spans="28:35" ht="15" hidden="1" customHeight="1">
      <c r="AB5640" s="9"/>
      <c r="AC5640" s="9"/>
      <c r="AD5640" s="9"/>
      <c r="AF5640" s="10"/>
      <c r="AG5640" s="10"/>
      <c r="AH5640" s="10"/>
      <c r="AI5640" s="10"/>
    </row>
    <row r="5641" spans="28:35" ht="15" hidden="1" customHeight="1">
      <c r="AB5641" s="9"/>
      <c r="AC5641" s="9"/>
      <c r="AD5641" s="9"/>
      <c r="AF5641" s="10"/>
      <c r="AG5641" s="10"/>
      <c r="AH5641" s="10"/>
      <c r="AI5641" s="10"/>
    </row>
    <row r="5642" spans="28:35" ht="15" hidden="1" customHeight="1">
      <c r="AB5642" s="9"/>
      <c r="AC5642" s="9"/>
      <c r="AD5642" s="9"/>
      <c r="AF5642" s="10"/>
      <c r="AG5642" s="10"/>
      <c r="AH5642" s="10"/>
      <c r="AI5642" s="10"/>
    </row>
    <row r="5643" spans="28:35" ht="15" hidden="1" customHeight="1">
      <c r="AB5643" s="9"/>
      <c r="AC5643" s="9"/>
      <c r="AD5643" s="9"/>
      <c r="AF5643" s="10"/>
      <c r="AG5643" s="10"/>
      <c r="AH5643" s="10"/>
      <c r="AI5643" s="10"/>
    </row>
    <row r="5644" spans="28:35" ht="15" hidden="1" customHeight="1">
      <c r="AB5644" s="9"/>
      <c r="AC5644" s="9"/>
      <c r="AD5644" s="9"/>
      <c r="AF5644" s="10"/>
      <c r="AG5644" s="10"/>
      <c r="AH5644" s="10"/>
      <c r="AI5644" s="10"/>
    </row>
    <row r="5645" spans="28:35" ht="15" hidden="1" customHeight="1">
      <c r="AB5645" s="9"/>
      <c r="AC5645" s="9"/>
      <c r="AD5645" s="9"/>
      <c r="AF5645" s="10"/>
      <c r="AG5645" s="10"/>
      <c r="AH5645" s="10"/>
      <c r="AI5645" s="10"/>
    </row>
    <row r="5646" spans="28:35" ht="15" hidden="1" customHeight="1">
      <c r="AB5646" s="9"/>
      <c r="AC5646" s="9"/>
      <c r="AD5646" s="9"/>
      <c r="AF5646" s="10"/>
      <c r="AG5646" s="10"/>
      <c r="AH5646" s="10"/>
      <c r="AI5646" s="10"/>
    </row>
    <row r="5647" spans="28:35" ht="15" hidden="1" customHeight="1">
      <c r="AB5647" s="9"/>
      <c r="AC5647" s="9"/>
      <c r="AD5647" s="9"/>
      <c r="AF5647" s="10"/>
      <c r="AG5647" s="10"/>
      <c r="AH5647" s="10"/>
      <c r="AI5647" s="10"/>
    </row>
    <row r="5648" spans="28:35" ht="15" hidden="1" customHeight="1">
      <c r="AB5648" s="9"/>
      <c r="AC5648" s="9"/>
      <c r="AD5648" s="9"/>
      <c r="AF5648" s="10"/>
      <c r="AG5648" s="10"/>
      <c r="AH5648" s="10"/>
      <c r="AI5648" s="10"/>
    </row>
    <row r="5649" spans="28:35" ht="15" hidden="1" customHeight="1">
      <c r="AB5649" s="9"/>
      <c r="AC5649" s="9"/>
      <c r="AD5649" s="9"/>
      <c r="AF5649" s="10"/>
      <c r="AG5649" s="10"/>
      <c r="AH5649" s="10"/>
      <c r="AI5649" s="10"/>
    </row>
    <row r="5650" spans="28:35" ht="15" hidden="1" customHeight="1">
      <c r="AB5650" s="9"/>
      <c r="AC5650" s="9"/>
      <c r="AD5650" s="9"/>
      <c r="AF5650" s="10"/>
      <c r="AG5650" s="10"/>
      <c r="AH5650" s="10"/>
      <c r="AI5650" s="10"/>
    </row>
    <row r="5651" spans="28:35" ht="15" hidden="1" customHeight="1">
      <c r="AB5651" s="9"/>
      <c r="AC5651" s="9"/>
      <c r="AD5651" s="9"/>
      <c r="AF5651" s="10"/>
      <c r="AG5651" s="10"/>
      <c r="AH5651" s="10"/>
      <c r="AI5651" s="10"/>
    </row>
    <row r="5652" spans="28:35" ht="15" hidden="1" customHeight="1">
      <c r="AB5652" s="9"/>
      <c r="AC5652" s="9"/>
      <c r="AD5652" s="9"/>
      <c r="AF5652" s="10"/>
      <c r="AG5652" s="10"/>
      <c r="AH5652" s="10"/>
      <c r="AI5652" s="10"/>
    </row>
    <row r="5653" spans="28:35" ht="15" hidden="1" customHeight="1">
      <c r="AB5653" s="9"/>
      <c r="AC5653" s="9"/>
      <c r="AD5653" s="9"/>
      <c r="AF5653" s="10"/>
      <c r="AG5653" s="10"/>
      <c r="AH5653" s="10"/>
      <c r="AI5653" s="10"/>
    </row>
    <row r="5654" spans="28:35" ht="15" hidden="1" customHeight="1">
      <c r="AB5654" s="9"/>
      <c r="AC5654" s="9"/>
      <c r="AD5654" s="9"/>
      <c r="AF5654" s="10"/>
      <c r="AG5654" s="10"/>
      <c r="AH5654" s="10"/>
      <c r="AI5654" s="10"/>
    </row>
    <row r="5655" spans="28:35" ht="15" hidden="1" customHeight="1">
      <c r="AB5655" s="9"/>
      <c r="AC5655" s="9"/>
      <c r="AD5655" s="9"/>
      <c r="AF5655" s="10"/>
      <c r="AG5655" s="10"/>
      <c r="AH5655" s="10"/>
      <c r="AI5655" s="10"/>
    </row>
    <row r="5656" spans="28:35" ht="15" hidden="1" customHeight="1">
      <c r="AB5656" s="9"/>
      <c r="AC5656" s="9"/>
      <c r="AD5656" s="9"/>
      <c r="AF5656" s="10"/>
      <c r="AG5656" s="10"/>
      <c r="AH5656" s="10"/>
      <c r="AI5656" s="10"/>
    </row>
    <row r="5657" spans="28:35" ht="15" hidden="1" customHeight="1">
      <c r="AB5657" s="9"/>
      <c r="AC5657" s="9"/>
      <c r="AD5657" s="9"/>
      <c r="AF5657" s="10"/>
      <c r="AG5657" s="10"/>
      <c r="AH5657" s="10"/>
      <c r="AI5657" s="10"/>
    </row>
    <row r="5658" spans="28:35" ht="15" hidden="1" customHeight="1">
      <c r="AB5658" s="9"/>
      <c r="AC5658" s="9"/>
      <c r="AD5658" s="9"/>
      <c r="AF5658" s="10"/>
      <c r="AG5658" s="10"/>
      <c r="AH5658" s="10"/>
      <c r="AI5658" s="10"/>
    </row>
    <row r="5659" spans="28:35" ht="15" hidden="1" customHeight="1">
      <c r="AB5659" s="9"/>
      <c r="AC5659" s="9"/>
      <c r="AD5659" s="9"/>
      <c r="AF5659" s="10"/>
      <c r="AG5659" s="10"/>
      <c r="AH5659" s="10"/>
      <c r="AI5659" s="10"/>
    </row>
    <row r="5660" spans="28:35" ht="15" hidden="1" customHeight="1">
      <c r="AB5660" s="9"/>
      <c r="AC5660" s="9"/>
      <c r="AD5660" s="9"/>
      <c r="AF5660" s="10"/>
      <c r="AG5660" s="10"/>
      <c r="AH5660" s="10"/>
      <c r="AI5660" s="10"/>
    </row>
    <row r="5661" spans="28:35" ht="15" hidden="1" customHeight="1">
      <c r="AB5661" s="9"/>
      <c r="AC5661" s="9"/>
      <c r="AD5661" s="9"/>
      <c r="AF5661" s="10"/>
      <c r="AG5661" s="10"/>
      <c r="AH5661" s="10"/>
      <c r="AI5661" s="10"/>
    </row>
    <row r="5662" spans="28:35" ht="15" hidden="1" customHeight="1">
      <c r="AB5662" s="9"/>
      <c r="AC5662" s="9"/>
      <c r="AD5662" s="9"/>
      <c r="AF5662" s="10"/>
      <c r="AG5662" s="10"/>
      <c r="AH5662" s="10"/>
      <c r="AI5662" s="10"/>
    </row>
    <row r="5663" spans="28:35" ht="15" hidden="1" customHeight="1">
      <c r="AB5663" s="9"/>
      <c r="AC5663" s="9"/>
      <c r="AD5663" s="9"/>
      <c r="AF5663" s="10"/>
      <c r="AG5663" s="10"/>
      <c r="AH5663" s="10"/>
      <c r="AI5663" s="10"/>
    </row>
    <row r="5664" spans="28:35" ht="15" hidden="1" customHeight="1">
      <c r="AB5664" s="9"/>
      <c r="AC5664" s="9"/>
      <c r="AD5664" s="9"/>
      <c r="AF5664" s="10"/>
      <c r="AG5664" s="10"/>
      <c r="AH5664" s="10"/>
      <c r="AI5664" s="10"/>
    </row>
    <row r="5665" spans="28:35" ht="15" hidden="1" customHeight="1">
      <c r="AB5665" s="9"/>
      <c r="AC5665" s="9"/>
      <c r="AD5665" s="9"/>
      <c r="AF5665" s="10"/>
      <c r="AG5665" s="10"/>
      <c r="AH5665" s="10"/>
      <c r="AI5665" s="10"/>
    </row>
    <row r="5666" spans="28:35" ht="15" hidden="1" customHeight="1">
      <c r="AB5666" s="9"/>
      <c r="AC5666" s="9"/>
      <c r="AD5666" s="9"/>
      <c r="AF5666" s="10"/>
      <c r="AG5666" s="10"/>
      <c r="AH5666" s="10"/>
      <c r="AI5666" s="10"/>
    </row>
    <row r="5667" spans="28:35" ht="15" hidden="1" customHeight="1">
      <c r="AB5667" s="9"/>
      <c r="AC5667" s="9"/>
      <c r="AD5667" s="9"/>
      <c r="AF5667" s="10"/>
      <c r="AG5667" s="10"/>
      <c r="AH5667" s="10"/>
      <c r="AI5667" s="10"/>
    </row>
    <row r="5668" spans="28:35" ht="15" hidden="1" customHeight="1">
      <c r="AB5668" s="9"/>
      <c r="AC5668" s="9"/>
      <c r="AD5668" s="9"/>
      <c r="AF5668" s="10"/>
      <c r="AG5668" s="10"/>
      <c r="AH5668" s="10"/>
      <c r="AI5668" s="10"/>
    </row>
    <row r="5669" spans="28:35" ht="15" hidden="1" customHeight="1">
      <c r="AB5669" s="9"/>
      <c r="AC5669" s="9"/>
      <c r="AD5669" s="9"/>
      <c r="AF5669" s="10"/>
      <c r="AG5669" s="10"/>
      <c r="AH5669" s="10"/>
      <c r="AI5669" s="10"/>
    </row>
    <row r="5670" spans="28:35" ht="15" hidden="1" customHeight="1">
      <c r="AB5670" s="9"/>
      <c r="AC5670" s="9"/>
      <c r="AD5670" s="9"/>
      <c r="AF5670" s="10"/>
      <c r="AG5670" s="10"/>
      <c r="AH5670" s="10"/>
      <c r="AI5670" s="10"/>
    </row>
    <row r="5671" spans="28:35" ht="15" hidden="1" customHeight="1">
      <c r="AB5671" s="9"/>
      <c r="AC5671" s="9"/>
      <c r="AD5671" s="9"/>
      <c r="AF5671" s="10"/>
      <c r="AG5671" s="10"/>
      <c r="AH5671" s="10"/>
      <c r="AI5671" s="10"/>
    </row>
    <row r="5672" spans="28:35" ht="15" hidden="1" customHeight="1">
      <c r="AB5672" s="9"/>
      <c r="AC5672" s="9"/>
      <c r="AD5672" s="9"/>
      <c r="AF5672" s="10"/>
      <c r="AG5672" s="10"/>
      <c r="AH5672" s="10"/>
      <c r="AI5672" s="10"/>
    </row>
    <row r="5673" spans="28:35" ht="15" hidden="1" customHeight="1">
      <c r="AB5673" s="9"/>
      <c r="AC5673" s="9"/>
      <c r="AD5673" s="9"/>
      <c r="AF5673" s="10"/>
      <c r="AG5673" s="10"/>
      <c r="AH5673" s="10"/>
      <c r="AI5673" s="10"/>
    </row>
    <row r="5674" spans="28:35" ht="15" hidden="1" customHeight="1">
      <c r="AB5674" s="9"/>
      <c r="AC5674" s="9"/>
      <c r="AD5674" s="9"/>
      <c r="AF5674" s="10"/>
      <c r="AG5674" s="10"/>
      <c r="AH5674" s="10"/>
      <c r="AI5674" s="10"/>
    </row>
    <row r="5675" spans="28:35" ht="15" hidden="1" customHeight="1">
      <c r="AB5675" s="9"/>
      <c r="AC5675" s="9"/>
      <c r="AD5675" s="9"/>
      <c r="AF5675" s="10"/>
      <c r="AG5675" s="10"/>
      <c r="AH5675" s="10"/>
      <c r="AI5675" s="10"/>
    </row>
    <row r="5676" spans="28:35" ht="15" hidden="1" customHeight="1">
      <c r="AB5676" s="9"/>
      <c r="AC5676" s="9"/>
      <c r="AD5676" s="9"/>
      <c r="AF5676" s="10"/>
      <c r="AG5676" s="10"/>
      <c r="AH5676" s="10"/>
      <c r="AI5676" s="10"/>
    </row>
    <row r="5677" spans="28:35" ht="15" hidden="1" customHeight="1">
      <c r="AB5677" s="9"/>
      <c r="AC5677" s="9"/>
      <c r="AD5677" s="9"/>
      <c r="AF5677" s="10"/>
      <c r="AG5677" s="10"/>
      <c r="AH5677" s="10"/>
      <c r="AI5677" s="10"/>
    </row>
    <row r="5678" spans="28:35" ht="15" hidden="1" customHeight="1">
      <c r="AB5678" s="9"/>
      <c r="AC5678" s="9"/>
      <c r="AD5678" s="9"/>
      <c r="AF5678" s="10"/>
      <c r="AG5678" s="10"/>
      <c r="AH5678" s="10"/>
      <c r="AI5678" s="10"/>
    </row>
    <row r="5679" spans="28:35" ht="15" hidden="1" customHeight="1">
      <c r="AB5679" s="9"/>
      <c r="AC5679" s="9"/>
      <c r="AD5679" s="9"/>
      <c r="AF5679" s="10"/>
      <c r="AG5679" s="10"/>
      <c r="AH5679" s="10"/>
      <c r="AI5679" s="10"/>
    </row>
    <row r="5680" spans="28:35" ht="15" hidden="1" customHeight="1">
      <c r="AB5680" s="9"/>
      <c r="AC5680" s="9"/>
      <c r="AD5680" s="9"/>
      <c r="AF5680" s="10"/>
      <c r="AG5680" s="10"/>
      <c r="AH5680" s="10"/>
      <c r="AI5680" s="10"/>
    </row>
    <row r="5681" spans="28:35" ht="15" hidden="1" customHeight="1">
      <c r="AB5681" s="9"/>
      <c r="AC5681" s="9"/>
      <c r="AD5681" s="9"/>
      <c r="AF5681" s="10"/>
      <c r="AG5681" s="10"/>
      <c r="AH5681" s="10"/>
      <c r="AI5681" s="10"/>
    </row>
    <row r="5682" spans="28:35" ht="15" hidden="1" customHeight="1">
      <c r="AB5682" s="9"/>
      <c r="AC5682" s="9"/>
      <c r="AD5682" s="9"/>
      <c r="AF5682" s="10"/>
      <c r="AG5682" s="10"/>
      <c r="AH5682" s="10"/>
      <c r="AI5682" s="10"/>
    </row>
    <row r="5683" spans="28:35" ht="15" hidden="1" customHeight="1">
      <c r="AB5683" s="9"/>
      <c r="AC5683" s="9"/>
      <c r="AD5683" s="9"/>
      <c r="AF5683" s="10"/>
      <c r="AG5683" s="10"/>
      <c r="AH5683" s="10"/>
      <c r="AI5683" s="10"/>
    </row>
    <row r="5684" spans="28:35" ht="15" hidden="1" customHeight="1">
      <c r="AB5684" s="9"/>
      <c r="AC5684" s="9"/>
      <c r="AD5684" s="9"/>
      <c r="AF5684" s="10"/>
      <c r="AG5684" s="10"/>
      <c r="AH5684" s="10"/>
      <c r="AI5684" s="10"/>
    </row>
    <row r="5685" spans="28:35" ht="15" hidden="1" customHeight="1">
      <c r="AB5685" s="9"/>
      <c r="AC5685" s="9"/>
      <c r="AD5685" s="9"/>
      <c r="AF5685" s="10"/>
      <c r="AG5685" s="10"/>
      <c r="AH5685" s="10"/>
      <c r="AI5685" s="10"/>
    </row>
    <row r="5686" spans="28:35" ht="15" hidden="1" customHeight="1">
      <c r="AB5686" s="9"/>
      <c r="AC5686" s="9"/>
      <c r="AD5686" s="9"/>
      <c r="AF5686" s="10"/>
      <c r="AG5686" s="10"/>
      <c r="AH5686" s="10"/>
      <c r="AI5686" s="10"/>
    </row>
    <row r="5687" spans="28:35" ht="15" hidden="1" customHeight="1">
      <c r="AB5687" s="9"/>
      <c r="AC5687" s="9"/>
      <c r="AD5687" s="9"/>
      <c r="AF5687" s="10"/>
      <c r="AG5687" s="10"/>
      <c r="AH5687" s="10"/>
      <c r="AI5687" s="10"/>
    </row>
    <row r="5688" spans="28:35" ht="15" hidden="1" customHeight="1">
      <c r="AB5688" s="9"/>
      <c r="AC5688" s="9"/>
      <c r="AD5688" s="9"/>
      <c r="AF5688" s="10"/>
      <c r="AG5688" s="10"/>
      <c r="AH5688" s="10"/>
      <c r="AI5688" s="10"/>
    </row>
    <row r="5689" spans="28:35" ht="15" hidden="1" customHeight="1">
      <c r="AB5689" s="9"/>
      <c r="AC5689" s="9"/>
      <c r="AD5689" s="9"/>
      <c r="AF5689" s="10"/>
      <c r="AG5689" s="10"/>
      <c r="AH5689" s="10"/>
      <c r="AI5689" s="10"/>
    </row>
    <row r="5690" spans="28:35" ht="15" hidden="1" customHeight="1">
      <c r="AB5690" s="9"/>
      <c r="AC5690" s="9"/>
      <c r="AD5690" s="9"/>
      <c r="AF5690" s="10"/>
      <c r="AG5690" s="10"/>
      <c r="AH5690" s="10"/>
      <c r="AI5690" s="10"/>
    </row>
    <row r="5691" spans="28:35" ht="15" hidden="1" customHeight="1">
      <c r="AB5691" s="9"/>
      <c r="AC5691" s="9"/>
      <c r="AD5691" s="9"/>
      <c r="AF5691" s="10"/>
      <c r="AG5691" s="10"/>
      <c r="AH5691" s="10"/>
      <c r="AI5691" s="10"/>
    </row>
    <row r="5692" spans="28:35" ht="15" hidden="1" customHeight="1">
      <c r="AB5692" s="9"/>
      <c r="AC5692" s="9"/>
      <c r="AD5692" s="9"/>
      <c r="AF5692" s="10"/>
      <c r="AG5692" s="10"/>
      <c r="AH5692" s="10"/>
      <c r="AI5692" s="10"/>
    </row>
    <row r="5693" spans="28:35" ht="15" hidden="1" customHeight="1">
      <c r="AB5693" s="9"/>
      <c r="AC5693" s="9"/>
      <c r="AD5693" s="9"/>
      <c r="AF5693" s="10"/>
      <c r="AG5693" s="10"/>
      <c r="AH5693" s="10"/>
      <c r="AI5693" s="10"/>
    </row>
    <row r="5694" spans="28:35" ht="15" hidden="1" customHeight="1">
      <c r="AB5694" s="9"/>
      <c r="AC5694" s="9"/>
      <c r="AD5694" s="9"/>
      <c r="AF5694" s="10"/>
      <c r="AG5694" s="10"/>
      <c r="AH5694" s="10"/>
      <c r="AI5694" s="10"/>
    </row>
    <row r="5695" spans="28:35" ht="15" hidden="1" customHeight="1">
      <c r="AB5695" s="9"/>
      <c r="AC5695" s="9"/>
      <c r="AD5695" s="9"/>
      <c r="AF5695" s="10"/>
      <c r="AG5695" s="10"/>
      <c r="AH5695" s="10"/>
      <c r="AI5695" s="10"/>
    </row>
    <row r="5696" spans="28:35" ht="15" hidden="1" customHeight="1">
      <c r="AB5696" s="9"/>
      <c r="AC5696" s="9"/>
      <c r="AD5696" s="9"/>
      <c r="AF5696" s="10"/>
      <c r="AG5696" s="10"/>
      <c r="AH5696" s="10"/>
      <c r="AI5696" s="10"/>
    </row>
    <row r="5697" spans="28:35" ht="15" hidden="1" customHeight="1">
      <c r="AB5697" s="9"/>
      <c r="AC5697" s="9"/>
      <c r="AD5697" s="9"/>
      <c r="AF5697" s="10"/>
      <c r="AG5697" s="10"/>
      <c r="AH5697" s="10"/>
      <c r="AI5697" s="10"/>
    </row>
    <row r="5698" spans="28:35" ht="15" hidden="1" customHeight="1">
      <c r="AB5698" s="9"/>
      <c r="AC5698" s="9"/>
      <c r="AD5698" s="9"/>
      <c r="AF5698" s="10"/>
      <c r="AG5698" s="10"/>
      <c r="AH5698" s="10"/>
      <c r="AI5698" s="10"/>
    </row>
    <row r="5699" spans="28:35" ht="15" hidden="1" customHeight="1">
      <c r="AB5699" s="9"/>
      <c r="AC5699" s="9"/>
      <c r="AD5699" s="9"/>
      <c r="AF5699" s="10"/>
      <c r="AG5699" s="10"/>
      <c r="AH5699" s="10"/>
      <c r="AI5699" s="10"/>
    </row>
    <row r="5700" spans="28:35" ht="15" hidden="1" customHeight="1">
      <c r="AB5700" s="9"/>
      <c r="AC5700" s="9"/>
      <c r="AD5700" s="9"/>
      <c r="AF5700" s="10"/>
      <c r="AG5700" s="10"/>
      <c r="AH5700" s="10"/>
      <c r="AI5700" s="10"/>
    </row>
    <row r="5701" spans="28:35" ht="15" hidden="1" customHeight="1">
      <c r="AB5701" s="9"/>
      <c r="AC5701" s="9"/>
      <c r="AD5701" s="9"/>
      <c r="AF5701" s="10"/>
      <c r="AG5701" s="10"/>
      <c r="AH5701" s="10"/>
      <c r="AI5701" s="10"/>
    </row>
    <row r="5702" spans="28:35" ht="15" hidden="1" customHeight="1">
      <c r="AB5702" s="9"/>
      <c r="AC5702" s="9"/>
      <c r="AD5702" s="9"/>
      <c r="AF5702" s="10"/>
      <c r="AG5702" s="10"/>
      <c r="AH5702" s="10"/>
      <c r="AI5702" s="10"/>
    </row>
    <row r="5703" spans="28:35" ht="15" hidden="1" customHeight="1">
      <c r="AB5703" s="9"/>
      <c r="AC5703" s="9"/>
      <c r="AD5703" s="9"/>
      <c r="AF5703" s="10"/>
      <c r="AG5703" s="10"/>
      <c r="AH5703" s="10"/>
      <c r="AI5703" s="10"/>
    </row>
    <row r="5704" spans="28:35" ht="15" hidden="1" customHeight="1">
      <c r="AB5704" s="9"/>
      <c r="AC5704" s="9"/>
      <c r="AD5704" s="9"/>
      <c r="AF5704" s="10"/>
      <c r="AG5704" s="10"/>
      <c r="AH5704" s="10"/>
      <c r="AI5704" s="10"/>
    </row>
    <row r="5705" spans="28:35" ht="15" hidden="1" customHeight="1">
      <c r="AB5705" s="9"/>
      <c r="AC5705" s="9"/>
      <c r="AD5705" s="9"/>
      <c r="AF5705" s="10"/>
      <c r="AG5705" s="10"/>
      <c r="AH5705" s="10"/>
      <c r="AI5705" s="10"/>
    </row>
    <row r="5706" spans="28:35" ht="15" hidden="1" customHeight="1">
      <c r="AB5706" s="9"/>
      <c r="AC5706" s="9"/>
      <c r="AD5706" s="9"/>
      <c r="AF5706" s="10"/>
      <c r="AG5706" s="10"/>
      <c r="AH5706" s="10"/>
      <c r="AI5706" s="10"/>
    </row>
    <row r="5707" spans="28:35" ht="15" hidden="1" customHeight="1">
      <c r="AB5707" s="9"/>
      <c r="AC5707" s="9"/>
      <c r="AD5707" s="9"/>
      <c r="AF5707" s="10"/>
      <c r="AG5707" s="10"/>
      <c r="AH5707" s="10"/>
      <c r="AI5707" s="10"/>
    </row>
    <row r="5708" spans="28:35" ht="15" hidden="1" customHeight="1">
      <c r="AB5708" s="9"/>
      <c r="AC5708" s="9"/>
      <c r="AD5708" s="9"/>
      <c r="AF5708" s="10"/>
      <c r="AG5708" s="10"/>
      <c r="AH5708" s="10"/>
      <c r="AI5708" s="10"/>
    </row>
    <row r="5709" spans="28:35" ht="15" hidden="1" customHeight="1">
      <c r="AB5709" s="9"/>
      <c r="AC5709" s="9"/>
      <c r="AD5709" s="9"/>
      <c r="AF5709" s="10"/>
      <c r="AG5709" s="10"/>
      <c r="AH5709" s="10"/>
      <c r="AI5709" s="10"/>
    </row>
    <row r="5710" spans="28:35" ht="15" hidden="1" customHeight="1">
      <c r="AB5710" s="9"/>
      <c r="AC5710" s="9"/>
      <c r="AD5710" s="9"/>
      <c r="AF5710" s="10"/>
      <c r="AG5710" s="10"/>
      <c r="AH5710" s="10"/>
      <c r="AI5710" s="10"/>
    </row>
    <row r="5711" spans="28:35" ht="15" hidden="1" customHeight="1">
      <c r="AB5711" s="9"/>
      <c r="AC5711" s="9"/>
      <c r="AD5711" s="9"/>
      <c r="AF5711" s="10"/>
      <c r="AG5711" s="10"/>
      <c r="AH5711" s="10"/>
      <c r="AI5711" s="10"/>
    </row>
    <row r="5712" spans="28:35" ht="15" hidden="1" customHeight="1">
      <c r="AB5712" s="9"/>
      <c r="AC5712" s="9"/>
      <c r="AD5712" s="9"/>
      <c r="AF5712" s="10"/>
      <c r="AG5712" s="10"/>
      <c r="AH5712" s="10"/>
      <c r="AI5712" s="10"/>
    </row>
    <row r="5713" spans="28:35" ht="15" hidden="1" customHeight="1">
      <c r="AB5713" s="9"/>
      <c r="AC5713" s="9"/>
      <c r="AD5713" s="9"/>
      <c r="AF5713" s="10"/>
      <c r="AG5713" s="10"/>
      <c r="AH5713" s="10"/>
      <c r="AI5713" s="10"/>
    </row>
    <row r="5714" spans="28:35" ht="15" hidden="1" customHeight="1">
      <c r="AB5714" s="9"/>
      <c r="AC5714" s="9"/>
      <c r="AD5714" s="9"/>
      <c r="AF5714" s="10"/>
      <c r="AG5714" s="10"/>
      <c r="AH5714" s="10"/>
      <c r="AI5714" s="10"/>
    </row>
    <row r="5715" spans="28:35" ht="15" hidden="1" customHeight="1">
      <c r="AB5715" s="9"/>
      <c r="AC5715" s="9"/>
      <c r="AD5715" s="9"/>
      <c r="AF5715" s="10"/>
      <c r="AG5715" s="10"/>
      <c r="AH5715" s="10"/>
      <c r="AI5715" s="10"/>
    </row>
    <row r="5716" spans="28:35" ht="15" hidden="1" customHeight="1">
      <c r="AB5716" s="9"/>
      <c r="AC5716" s="9"/>
      <c r="AD5716" s="9"/>
      <c r="AF5716" s="10"/>
      <c r="AG5716" s="10"/>
      <c r="AH5716" s="10"/>
      <c r="AI5716" s="10"/>
    </row>
    <row r="5717" spans="28:35" ht="15" hidden="1" customHeight="1">
      <c r="AB5717" s="9"/>
      <c r="AC5717" s="9"/>
      <c r="AD5717" s="9"/>
      <c r="AF5717" s="10"/>
      <c r="AG5717" s="10"/>
      <c r="AH5717" s="10"/>
      <c r="AI5717" s="10"/>
    </row>
    <row r="5718" spans="28:35" ht="15" hidden="1" customHeight="1">
      <c r="AB5718" s="9"/>
      <c r="AC5718" s="9"/>
      <c r="AD5718" s="9"/>
      <c r="AF5718" s="10"/>
      <c r="AG5718" s="10"/>
      <c r="AH5718" s="10"/>
      <c r="AI5718" s="10"/>
    </row>
    <row r="5719" spans="28:35" ht="15" hidden="1" customHeight="1">
      <c r="AB5719" s="9"/>
      <c r="AC5719" s="9"/>
      <c r="AD5719" s="9"/>
      <c r="AF5719" s="10"/>
      <c r="AG5719" s="10"/>
      <c r="AH5719" s="10"/>
      <c r="AI5719" s="10"/>
    </row>
    <row r="5720" spans="28:35" ht="15" hidden="1" customHeight="1">
      <c r="AB5720" s="9"/>
      <c r="AC5720" s="9"/>
      <c r="AD5720" s="9"/>
      <c r="AF5720" s="10"/>
      <c r="AG5720" s="10"/>
      <c r="AH5720" s="10"/>
      <c r="AI5720" s="10"/>
    </row>
    <row r="5721" spans="28:35" ht="15" hidden="1" customHeight="1">
      <c r="AB5721" s="9"/>
      <c r="AC5721" s="9"/>
      <c r="AD5721" s="9"/>
      <c r="AF5721" s="10"/>
      <c r="AG5721" s="10"/>
      <c r="AH5721" s="10"/>
      <c r="AI5721" s="10"/>
    </row>
    <row r="5722" spans="28:35" ht="15" hidden="1" customHeight="1">
      <c r="AB5722" s="9"/>
      <c r="AC5722" s="9"/>
      <c r="AD5722" s="9"/>
      <c r="AF5722" s="10"/>
      <c r="AG5722" s="10"/>
      <c r="AH5722" s="10"/>
      <c r="AI5722" s="10"/>
    </row>
    <row r="5723" spans="28:35" ht="15" hidden="1" customHeight="1">
      <c r="AB5723" s="9"/>
      <c r="AC5723" s="9"/>
      <c r="AD5723" s="9"/>
      <c r="AF5723" s="10"/>
      <c r="AG5723" s="10"/>
      <c r="AH5723" s="10"/>
      <c r="AI5723" s="10"/>
    </row>
    <row r="5724" spans="28:35" ht="15" hidden="1" customHeight="1">
      <c r="AB5724" s="9"/>
      <c r="AC5724" s="9"/>
      <c r="AD5724" s="9"/>
      <c r="AF5724" s="10"/>
      <c r="AG5724" s="10"/>
      <c r="AH5724" s="10"/>
      <c r="AI5724" s="10"/>
    </row>
    <row r="5725" spans="28:35" ht="15" hidden="1" customHeight="1">
      <c r="AB5725" s="9"/>
      <c r="AC5725" s="9"/>
      <c r="AD5725" s="9"/>
      <c r="AF5725" s="10"/>
      <c r="AG5725" s="10"/>
      <c r="AH5725" s="10"/>
      <c r="AI5725" s="10"/>
    </row>
    <row r="5726" spans="28:35" ht="15" hidden="1" customHeight="1">
      <c r="AB5726" s="9"/>
      <c r="AC5726" s="9"/>
      <c r="AD5726" s="9"/>
      <c r="AF5726" s="10"/>
      <c r="AG5726" s="10"/>
      <c r="AH5726" s="10"/>
      <c r="AI5726" s="10"/>
    </row>
    <row r="5727" spans="28:35" ht="15" hidden="1" customHeight="1">
      <c r="AB5727" s="9"/>
      <c r="AC5727" s="9"/>
      <c r="AD5727" s="9"/>
      <c r="AF5727" s="10"/>
      <c r="AG5727" s="10"/>
      <c r="AH5727" s="10"/>
      <c r="AI5727" s="10"/>
    </row>
    <row r="5728" spans="28:35" ht="15" hidden="1" customHeight="1">
      <c r="AB5728" s="9"/>
      <c r="AC5728" s="9"/>
      <c r="AD5728" s="9"/>
      <c r="AF5728" s="10"/>
      <c r="AG5728" s="10"/>
      <c r="AH5728" s="10"/>
      <c r="AI5728" s="10"/>
    </row>
    <row r="5729" spans="28:35" ht="15" hidden="1" customHeight="1">
      <c r="AB5729" s="9"/>
      <c r="AC5729" s="9"/>
      <c r="AD5729" s="9"/>
      <c r="AF5729" s="10"/>
      <c r="AG5729" s="10"/>
      <c r="AH5729" s="10"/>
      <c r="AI5729" s="10"/>
    </row>
    <row r="5730" spans="28:35" ht="15" hidden="1" customHeight="1">
      <c r="AB5730" s="9"/>
      <c r="AC5730" s="9"/>
      <c r="AD5730" s="9"/>
      <c r="AF5730" s="10"/>
      <c r="AG5730" s="10"/>
      <c r="AH5730" s="10"/>
      <c r="AI5730" s="10"/>
    </row>
    <row r="5731" spans="28:35" ht="15" hidden="1" customHeight="1">
      <c r="AB5731" s="9"/>
      <c r="AC5731" s="9"/>
      <c r="AD5731" s="9"/>
      <c r="AF5731" s="10"/>
      <c r="AG5731" s="10"/>
      <c r="AH5731" s="10"/>
      <c r="AI5731" s="10"/>
    </row>
    <row r="5732" spans="28:35" ht="15" hidden="1" customHeight="1">
      <c r="AB5732" s="9"/>
      <c r="AC5732" s="9"/>
      <c r="AD5732" s="9"/>
      <c r="AF5732" s="10"/>
      <c r="AG5732" s="10"/>
      <c r="AH5732" s="10"/>
      <c r="AI5732" s="10"/>
    </row>
    <row r="5733" spans="28:35" ht="15" hidden="1" customHeight="1">
      <c r="AB5733" s="9"/>
      <c r="AC5733" s="9"/>
      <c r="AD5733" s="9"/>
      <c r="AF5733" s="10"/>
      <c r="AG5733" s="10"/>
      <c r="AH5733" s="10"/>
      <c r="AI5733" s="10"/>
    </row>
    <row r="5734" spans="28:35" ht="15" hidden="1" customHeight="1">
      <c r="AB5734" s="9"/>
      <c r="AC5734" s="9"/>
      <c r="AD5734" s="9"/>
      <c r="AF5734" s="10"/>
      <c r="AG5734" s="10"/>
      <c r="AH5734" s="10"/>
      <c r="AI5734" s="10"/>
    </row>
    <row r="5735" spans="28:35" ht="15" hidden="1" customHeight="1">
      <c r="AB5735" s="9"/>
      <c r="AC5735" s="9"/>
      <c r="AD5735" s="9"/>
      <c r="AF5735" s="10"/>
      <c r="AG5735" s="10"/>
      <c r="AH5735" s="10"/>
      <c r="AI5735" s="10"/>
    </row>
    <row r="5736" spans="28:35" ht="15" hidden="1" customHeight="1">
      <c r="AB5736" s="9"/>
      <c r="AC5736" s="9"/>
      <c r="AD5736" s="9"/>
      <c r="AF5736" s="10"/>
      <c r="AG5736" s="10"/>
      <c r="AH5736" s="10"/>
      <c r="AI5736" s="10"/>
    </row>
    <row r="5737" spans="28:35" ht="15" hidden="1" customHeight="1">
      <c r="AB5737" s="9"/>
      <c r="AC5737" s="9"/>
      <c r="AD5737" s="9"/>
      <c r="AF5737" s="10"/>
      <c r="AG5737" s="10"/>
      <c r="AH5737" s="10"/>
      <c r="AI5737" s="10"/>
    </row>
    <row r="5738" spans="28:35" ht="15" hidden="1" customHeight="1">
      <c r="AB5738" s="9"/>
      <c r="AC5738" s="9"/>
      <c r="AD5738" s="9"/>
      <c r="AF5738" s="10"/>
      <c r="AG5738" s="10"/>
      <c r="AH5738" s="10"/>
      <c r="AI5738" s="10"/>
    </row>
    <row r="5739" spans="28:35" ht="15" hidden="1" customHeight="1">
      <c r="AB5739" s="9"/>
      <c r="AC5739" s="9"/>
      <c r="AD5739" s="9"/>
      <c r="AF5739" s="10"/>
      <c r="AG5739" s="10"/>
      <c r="AH5739" s="10"/>
      <c r="AI5739" s="10"/>
    </row>
    <row r="5740" spans="28:35" ht="15" hidden="1" customHeight="1">
      <c r="AB5740" s="9"/>
      <c r="AC5740" s="9"/>
      <c r="AD5740" s="9"/>
      <c r="AF5740" s="10"/>
      <c r="AG5740" s="10"/>
      <c r="AH5740" s="10"/>
      <c r="AI5740" s="10"/>
    </row>
    <row r="5741" spans="28:35" ht="15" hidden="1" customHeight="1">
      <c r="AB5741" s="9"/>
      <c r="AC5741" s="9"/>
      <c r="AD5741" s="9"/>
      <c r="AF5741" s="10"/>
      <c r="AG5741" s="10"/>
      <c r="AH5741" s="10"/>
      <c r="AI5741" s="10"/>
    </row>
    <row r="5742" spans="28:35" ht="15" hidden="1" customHeight="1">
      <c r="AB5742" s="9"/>
      <c r="AC5742" s="9"/>
      <c r="AD5742" s="9"/>
      <c r="AF5742" s="10"/>
      <c r="AG5742" s="10"/>
      <c r="AH5742" s="10"/>
      <c r="AI5742" s="10"/>
    </row>
    <row r="5743" spans="28:35" ht="15" hidden="1" customHeight="1">
      <c r="AB5743" s="9"/>
      <c r="AC5743" s="9"/>
      <c r="AD5743" s="9"/>
      <c r="AF5743" s="10"/>
      <c r="AG5743" s="10"/>
      <c r="AH5743" s="10"/>
      <c r="AI5743" s="10"/>
    </row>
    <row r="5744" spans="28:35" ht="15" hidden="1" customHeight="1">
      <c r="AB5744" s="9"/>
      <c r="AC5744" s="9"/>
      <c r="AD5744" s="9"/>
      <c r="AF5744" s="10"/>
      <c r="AG5744" s="10"/>
      <c r="AH5744" s="10"/>
      <c r="AI5744" s="10"/>
    </row>
    <row r="5745" spans="28:35" ht="15" hidden="1" customHeight="1">
      <c r="AB5745" s="9"/>
      <c r="AC5745" s="9"/>
      <c r="AD5745" s="9"/>
      <c r="AF5745" s="10"/>
      <c r="AG5745" s="10"/>
      <c r="AH5745" s="10"/>
      <c r="AI5745" s="10"/>
    </row>
    <row r="5746" spans="28:35" ht="15" hidden="1" customHeight="1">
      <c r="AB5746" s="9"/>
      <c r="AC5746" s="9"/>
      <c r="AD5746" s="9"/>
      <c r="AF5746" s="10"/>
      <c r="AG5746" s="10"/>
      <c r="AH5746" s="10"/>
      <c r="AI5746" s="10"/>
    </row>
    <row r="5747" spans="28:35" ht="15" hidden="1" customHeight="1">
      <c r="AB5747" s="9"/>
      <c r="AC5747" s="9"/>
      <c r="AD5747" s="9"/>
      <c r="AF5747" s="10"/>
      <c r="AG5747" s="10"/>
      <c r="AH5747" s="10"/>
      <c r="AI5747" s="10"/>
    </row>
    <row r="5748" spans="28:35" ht="15" hidden="1" customHeight="1">
      <c r="AB5748" s="9"/>
      <c r="AC5748" s="9"/>
      <c r="AD5748" s="9"/>
      <c r="AF5748" s="10"/>
      <c r="AG5748" s="10"/>
      <c r="AH5748" s="10"/>
      <c r="AI5748" s="10"/>
    </row>
    <row r="5749" spans="28:35" ht="15" hidden="1" customHeight="1">
      <c r="AB5749" s="9"/>
      <c r="AC5749" s="9"/>
      <c r="AD5749" s="9"/>
      <c r="AF5749" s="10"/>
      <c r="AG5749" s="10"/>
      <c r="AH5749" s="10"/>
      <c r="AI5749" s="10"/>
    </row>
    <row r="5750" spans="28:35" ht="15" hidden="1" customHeight="1">
      <c r="AB5750" s="9"/>
      <c r="AC5750" s="9"/>
      <c r="AD5750" s="9"/>
      <c r="AF5750" s="10"/>
      <c r="AG5750" s="10"/>
      <c r="AH5750" s="10"/>
      <c r="AI5750" s="10"/>
    </row>
    <row r="5751" spans="28:35" ht="15" hidden="1" customHeight="1">
      <c r="AB5751" s="9"/>
      <c r="AC5751" s="9"/>
      <c r="AD5751" s="9"/>
      <c r="AF5751" s="10"/>
      <c r="AG5751" s="10"/>
      <c r="AH5751" s="10"/>
      <c r="AI5751" s="10"/>
    </row>
    <row r="5752" spans="28:35" ht="15" hidden="1" customHeight="1">
      <c r="AB5752" s="9"/>
      <c r="AC5752" s="9"/>
      <c r="AD5752" s="9"/>
      <c r="AF5752" s="10"/>
      <c r="AG5752" s="10"/>
      <c r="AH5752" s="10"/>
      <c r="AI5752" s="10"/>
    </row>
    <row r="5753" spans="28:35" ht="15" hidden="1" customHeight="1">
      <c r="AB5753" s="9"/>
      <c r="AC5753" s="9"/>
      <c r="AD5753" s="9"/>
      <c r="AF5753" s="10"/>
      <c r="AG5753" s="10"/>
      <c r="AH5753" s="10"/>
      <c r="AI5753" s="10"/>
    </row>
    <row r="5754" spans="28:35" ht="15" hidden="1" customHeight="1">
      <c r="AB5754" s="9"/>
      <c r="AC5754" s="9"/>
      <c r="AD5754" s="9"/>
      <c r="AF5754" s="10"/>
      <c r="AG5754" s="10"/>
      <c r="AH5754" s="10"/>
      <c r="AI5754" s="10"/>
    </row>
    <row r="5755" spans="28:35" ht="15" hidden="1" customHeight="1">
      <c r="AB5755" s="9"/>
      <c r="AC5755" s="9"/>
      <c r="AD5755" s="9"/>
      <c r="AF5755" s="10"/>
      <c r="AG5755" s="10"/>
      <c r="AH5755" s="10"/>
      <c r="AI5755" s="10"/>
    </row>
    <row r="5756" spans="28:35" ht="15" hidden="1" customHeight="1">
      <c r="AB5756" s="9"/>
      <c r="AC5756" s="9"/>
      <c r="AD5756" s="9"/>
      <c r="AF5756" s="10"/>
      <c r="AG5756" s="10"/>
      <c r="AH5756" s="10"/>
      <c r="AI5756" s="10"/>
    </row>
    <row r="5757" spans="28:35" ht="15" hidden="1" customHeight="1">
      <c r="AB5757" s="9"/>
      <c r="AC5757" s="9"/>
      <c r="AD5757" s="9"/>
      <c r="AF5757" s="10"/>
      <c r="AG5757" s="10"/>
      <c r="AH5757" s="10"/>
      <c r="AI5757" s="10"/>
    </row>
    <row r="5758" spans="28:35" ht="15" hidden="1" customHeight="1">
      <c r="AB5758" s="9"/>
      <c r="AC5758" s="9"/>
      <c r="AD5758" s="9"/>
      <c r="AF5758" s="10"/>
      <c r="AG5758" s="10"/>
      <c r="AH5758" s="10"/>
      <c r="AI5758" s="10"/>
    </row>
    <row r="5759" spans="28:35" ht="15" hidden="1" customHeight="1">
      <c r="AB5759" s="9"/>
      <c r="AC5759" s="9"/>
      <c r="AD5759" s="9"/>
      <c r="AF5759" s="10"/>
      <c r="AG5759" s="10"/>
      <c r="AH5759" s="10"/>
      <c r="AI5759" s="10"/>
    </row>
    <row r="5760" spans="28:35" ht="15" hidden="1" customHeight="1">
      <c r="AB5760" s="9"/>
      <c r="AC5760" s="9"/>
      <c r="AD5760" s="9"/>
      <c r="AF5760" s="10"/>
      <c r="AG5760" s="10"/>
      <c r="AH5760" s="10"/>
      <c r="AI5760" s="10"/>
    </row>
    <row r="5761" spans="28:35" ht="15" hidden="1" customHeight="1">
      <c r="AB5761" s="9"/>
      <c r="AC5761" s="9"/>
      <c r="AD5761" s="9"/>
      <c r="AF5761" s="10"/>
      <c r="AG5761" s="10"/>
      <c r="AH5761" s="10"/>
      <c r="AI5761" s="10"/>
    </row>
    <row r="5762" spans="28:35" ht="15" hidden="1" customHeight="1">
      <c r="AB5762" s="9"/>
      <c r="AC5762" s="9"/>
      <c r="AD5762" s="9"/>
      <c r="AF5762" s="10"/>
      <c r="AG5762" s="10"/>
      <c r="AH5762" s="10"/>
      <c r="AI5762" s="10"/>
    </row>
    <row r="5763" spans="28:35" ht="15" hidden="1" customHeight="1">
      <c r="AB5763" s="9"/>
      <c r="AC5763" s="9"/>
      <c r="AD5763" s="9"/>
      <c r="AF5763" s="10"/>
      <c r="AG5763" s="10"/>
      <c r="AH5763" s="10"/>
      <c r="AI5763" s="10"/>
    </row>
    <row r="5764" spans="28:35" ht="15" hidden="1" customHeight="1">
      <c r="AB5764" s="9"/>
      <c r="AC5764" s="9"/>
      <c r="AD5764" s="9"/>
      <c r="AF5764" s="10"/>
      <c r="AG5764" s="10"/>
      <c r="AH5764" s="10"/>
      <c r="AI5764" s="10"/>
    </row>
    <row r="5765" spans="28:35" ht="15" hidden="1" customHeight="1">
      <c r="AB5765" s="9"/>
      <c r="AC5765" s="9"/>
      <c r="AD5765" s="9"/>
      <c r="AF5765" s="10"/>
      <c r="AG5765" s="10"/>
      <c r="AH5765" s="10"/>
      <c r="AI5765" s="10"/>
    </row>
    <row r="5766" spans="28:35" ht="15" hidden="1" customHeight="1">
      <c r="AB5766" s="9"/>
      <c r="AC5766" s="9"/>
      <c r="AD5766" s="9"/>
      <c r="AF5766" s="10"/>
      <c r="AG5766" s="10"/>
      <c r="AH5766" s="10"/>
      <c r="AI5766" s="10"/>
    </row>
    <row r="5767" spans="28:35" ht="15" hidden="1" customHeight="1">
      <c r="AB5767" s="9"/>
      <c r="AC5767" s="9"/>
      <c r="AD5767" s="9"/>
      <c r="AF5767" s="10"/>
      <c r="AG5767" s="10"/>
      <c r="AH5767" s="10"/>
      <c r="AI5767" s="10"/>
    </row>
    <row r="5768" spans="28:35" ht="15" hidden="1" customHeight="1">
      <c r="AB5768" s="9"/>
      <c r="AC5768" s="9"/>
      <c r="AD5768" s="9"/>
      <c r="AF5768" s="10"/>
      <c r="AG5768" s="10"/>
      <c r="AH5768" s="10"/>
      <c r="AI5768" s="10"/>
    </row>
    <row r="5769" spans="28:35" ht="15" hidden="1" customHeight="1">
      <c r="AB5769" s="9"/>
      <c r="AC5769" s="9"/>
      <c r="AD5769" s="9"/>
      <c r="AF5769" s="10"/>
      <c r="AG5769" s="10"/>
      <c r="AH5769" s="10"/>
      <c r="AI5769" s="10"/>
    </row>
    <row r="5770" spans="28:35" ht="15" hidden="1" customHeight="1">
      <c r="AB5770" s="9"/>
      <c r="AC5770" s="9"/>
      <c r="AD5770" s="9"/>
      <c r="AF5770" s="10"/>
      <c r="AG5770" s="10"/>
      <c r="AH5770" s="10"/>
      <c r="AI5770" s="10"/>
    </row>
    <row r="5771" spans="28:35" ht="15" hidden="1" customHeight="1">
      <c r="AB5771" s="9"/>
      <c r="AC5771" s="9"/>
      <c r="AD5771" s="9"/>
      <c r="AF5771" s="10"/>
      <c r="AG5771" s="10"/>
      <c r="AH5771" s="10"/>
      <c r="AI5771" s="10"/>
    </row>
    <row r="5772" spans="28:35" ht="15" hidden="1" customHeight="1">
      <c r="AB5772" s="9"/>
      <c r="AC5772" s="9"/>
      <c r="AD5772" s="9"/>
      <c r="AF5772" s="10"/>
      <c r="AG5772" s="10"/>
      <c r="AH5772" s="10"/>
      <c r="AI5772" s="10"/>
    </row>
    <row r="5773" spans="28:35" ht="15" hidden="1" customHeight="1">
      <c r="AB5773" s="9"/>
      <c r="AC5773" s="9"/>
      <c r="AD5773" s="9"/>
      <c r="AF5773" s="10"/>
      <c r="AG5773" s="10"/>
      <c r="AH5773" s="10"/>
      <c r="AI5773" s="10"/>
    </row>
    <row r="5774" spans="28:35" ht="15" hidden="1" customHeight="1">
      <c r="AB5774" s="9"/>
      <c r="AC5774" s="9"/>
      <c r="AD5774" s="9"/>
      <c r="AF5774" s="10"/>
      <c r="AG5774" s="10"/>
      <c r="AH5774" s="10"/>
      <c r="AI5774" s="10"/>
    </row>
    <row r="5775" spans="28:35" ht="15" hidden="1" customHeight="1">
      <c r="AB5775" s="9"/>
      <c r="AC5775" s="9"/>
      <c r="AD5775" s="9"/>
      <c r="AF5775" s="10"/>
      <c r="AG5775" s="10"/>
      <c r="AH5775" s="10"/>
      <c r="AI5775" s="10"/>
    </row>
    <row r="5776" spans="28:35" ht="15" hidden="1" customHeight="1">
      <c r="AB5776" s="9"/>
      <c r="AC5776" s="9"/>
      <c r="AD5776" s="9"/>
      <c r="AF5776" s="10"/>
      <c r="AG5776" s="10"/>
      <c r="AH5776" s="10"/>
      <c r="AI5776" s="10"/>
    </row>
    <row r="5777" spans="28:35" ht="15" hidden="1" customHeight="1">
      <c r="AB5777" s="9"/>
      <c r="AC5777" s="9"/>
      <c r="AD5777" s="9"/>
      <c r="AF5777" s="10"/>
      <c r="AG5777" s="10"/>
      <c r="AH5777" s="10"/>
      <c r="AI5777" s="10"/>
    </row>
    <row r="5778" spans="28:35" ht="15" hidden="1" customHeight="1">
      <c r="AB5778" s="9"/>
      <c r="AC5778" s="9"/>
      <c r="AD5778" s="9"/>
      <c r="AF5778" s="10"/>
      <c r="AG5778" s="10"/>
      <c r="AH5778" s="10"/>
      <c r="AI5778" s="10"/>
    </row>
    <row r="5779" spans="28:35" ht="15" hidden="1" customHeight="1">
      <c r="AB5779" s="9"/>
      <c r="AC5779" s="9"/>
      <c r="AD5779" s="9"/>
      <c r="AF5779" s="10"/>
      <c r="AG5779" s="10"/>
      <c r="AH5779" s="10"/>
      <c r="AI5779" s="10"/>
    </row>
    <row r="5780" spans="28:35" ht="15" hidden="1" customHeight="1">
      <c r="AB5780" s="9"/>
      <c r="AC5780" s="9"/>
      <c r="AD5780" s="9"/>
      <c r="AF5780" s="10"/>
      <c r="AG5780" s="10"/>
      <c r="AH5780" s="10"/>
      <c r="AI5780" s="10"/>
    </row>
    <row r="5781" spans="28:35" ht="15" hidden="1" customHeight="1">
      <c r="AB5781" s="9"/>
      <c r="AC5781" s="9"/>
      <c r="AD5781" s="9"/>
      <c r="AF5781" s="10"/>
      <c r="AG5781" s="10"/>
      <c r="AH5781" s="10"/>
      <c r="AI5781" s="10"/>
    </row>
    <row r="5782" spans="28:35" ht="15" hidden="1" customHeight="1">
      <c r="AB5782" s="9"/>
      <c r="AC5782" s="9"/>
      <c r="AD5782" s="9"/>
      <c r="AF5782" s="10"/>
      <c r="AG5782" s="10"/>
      <c r="AH5782" s="10"/>
      <c r="AI5782" s="10"/>
    </row>
    <row r="5783" spans="28:35" ht="15" hidden="1" customHeight="1">
      <c r="AB5783" s="9"/>
      <c r="AC5783" s="9"/>
      <c r="AD5783" s="9"/>
      <c r="AF5783" s="10"/>
      <c r="AG5783" s="10"/>
      <c r="AH5783" s="10"/>
      <c r="AI5783" s="10"/>
    </row>
    <row r="5784" spans="28:35" ht="15" hidden="1" customHeight="1">
      <c r="AB5784" s="9"/>
      <c r="AC5784" s="9"/>
      <c r="AD5784" s="9"/>
      <c r="AF5784" s="10"/>
      <c r="AG5784" s="10"/>
      <c r="AH5784" s="10"/>
      <c r="AI5784" s="10"/>
    </row>
    <row r="5785" spans="28:35" ht="15" hidden="1" customHeight="1">
      <c r="AB5785" s="9"/>
      <c r="AC5785" s="9"/>
      <c r="AD5785" s="9"/>
      <c r="AF5785" s="10"/>
      <c r="AG5785" s="10"/>
      <c r="AH5785" s="10"/>
      <c r="AI5785" s="10"/>
    </row>
    <row r="5786" spans="28:35" ht="15" hidden="1" customHeight="1">
      <c r="AB5786" s="9"/>
      <c r="AC5786" s="9"/>
      <c r="AD5786" s="9"/>
      <c r="AF5786" s="10"/>
      <c r="AG5786" s="10"/>
      <c r="AH5786" s="10"/>
      <c r="AI5786" s="10"/>
    </row>
    <row r="5787" spans="28:35" ht="15" hidden="1" customHeight="1">
      <c r="AB5787" s="9"/>
      <c r="AC5787" s="9"/>
      <c r="AD5787" s="9"/>
      <c r="AF5787" s="10"/>
      <c r="AG5787" s="10"/>
      <c r="AH5787" s="10"/>
      <c r="AI5787" s="10"/>
    </row>
    <row r="5788" spans="28:35" ht="15" hidden="1" customHeight="1">
      <c r="AB5788" s="9"/>
      <c r="AC5788" s="9"/>
      <c r="AD5788" s="9"/>
      <c r="AF5788" s="10"/>
      <c r="AG5788" s="10"/>
      <c r="AH5788" s="10"/>
      <c r="AI5788" s="10"/>
    </row>
    <row r="5789" spans="28:35" ht="15" hidden="1" customHeight="1">
      <c r="AB5789" s="9"/>
      <c r="AC5789" s="9"/>
      <c r="AD5789" s="9"/>
      <c r="AF5789" s="10"/>
      <c r="AG5789" s="10"/>
      <c r="AH5789" s="10"/>
      <c r="AI5789" s="10"/>
    </row>
    <row r="5790" spans="28:35" ht="15" hidden="1" customHeight="1">
      <c r="AB5790" s="9"/>
      <c r="AC5790" s="9"/>
      <c r="AD5790" s="9"/>
      <c r="AF5790" s="10"/>
      <c r="AG5790" s="10"/>
      <c r="AH5790" s="10"/>
      <c r="AI5790" s="10"/>
    </row>
    <row r="5791" spans="28:35" ht="15" hidden="1" customHeight="1">
      <c r="AB5791" s="9"/>
      <c r="AC5791" s="9"/>
      <c r="AD5791" s="9"/>
      <c r="AF5791" s="10"/>
      <c r="AG5791" s="10"/>
      <c r="AH5791" s="10"/>
      <c r="AI5791" s="10"/>
    </row>
    <row r="5792" spans="28:35" ht="15" hidden="1" customHeight="1">
      <c r="AB5792" s="9"/>
      <c r="AC5792" s="9"/>
      <c r="AD5792" s="9"/>
      <c r="AF5792" s="10"/>
      <c r="AG5792" s="10"/>
      <c r="AH5792" s="10"/>
      <c r="AI5792" s="10"/>
    </row>
    <row r="5793" spans="28:35" ht="15" hidden="1" customHeight="1">
      <c r="AB5793" s="9"/>
      <c r="AC5793" s="9"/>
      <c r="AD5793" s="9"/>
      <c r="AF5793" s="10"/>
      <c r="AG5793" s="10"/>
      <c r="AH5793" s="10"/>
      <c r="AI5793" s="10"/>
    </row>
    <row r="5794" spans="28:35" ht="15" hidden="1" customHeight="1">
      <c r="AB5794" s="9"/>
      <c r="AC5794" s="9"/>
      <c r="AD5794" s="9"/>
      <c r="AF5794" s="10"/>
      <c r="AG5794" s="10"/>
      <c r="AH5794" s="10"/>
      <c r="AI5794" s="10"/>
    </row>
    <row r="5795" spans="28:35" ht="15" hidden="1" customHeight="1">
      <c r="AB5795" s="9"/>
      <c r="AC5795" s="9"/>
      <c r="AD5795" s="9"/>
      <c r="AF5795" s="10"/>
      <c r="AG5795" s="10"/>
      <c r="AH5795" s="10"/>
      <c r="AI5795" s="10"/>
    </row>
    <row r="5796" spans="28:35" ht="15" hidden="1" customHeight="1">
      <c r="AB5796" s="9"/>
      <c r="AC5796" s="9"/>
      <c r="AD5796" s="9"/>
      <c r="AF5796" s="10"/>
      <c r="AG5796" s="10"/>
      <c r="AH5796" s="10"/>
      <c r="AI5796" s="10"/>
    </row>
    <row r="5797" spans="28:35" ht="15" hidden="1" customHeight="1">
      <c r="AB5797" s="9"/>
      <c r="AC5797" s="9"/>
      <c r="AD5797" s="9"/>
      <c r="AF5797" s="10"/>
      <c r="AG5797" s="10"/>
      <c r="AH5797" s="10"/>
      <c r="AI5797" s="10"/>
    </row>
    <row r="5798" spans="28:35" ht="15" hidden="1" customHeight="1">
      <c r="AB5798" s="9"/>
      <c r="AC5798" s="9"/>
      <c r="AD5798" s="9"/>
      <c r="AF5798" s="10"/>
      <c r="AG5798" s="10"/>
      <c r="AH5798" s="10"/>
      <c r="AI5798" s="10"/>
    </row>
    <row r="5799" spans="28:35" ht="15" hidden="1" customHeight="1">
      <c r="AB5799" s="9"/>
      <c r="AC5799" s="9"/>
      <c r="AD5799" s="9"/>
      <c r="AF5799" s="10"/>
      <c r="AG5799" s="10"/>
      <c r="AH5799" s="10"/>
      <c r="AI5799" s="10"/>
    </row>
    <row r="5800" spans="28:35" ht="15" hidden="1" customHeight="1">
      <c r="AB5800" s="9"/>
      <c r="AC5800" s="9"/>
      <c r="AD5800" s="9"/>
      <c r="AF5800" s="10"/>
      <c r="AG5800" s="10"/>
      <c r="AH5800" s="10"/>
      <c r="AI5800" s="10"/>
    </row>
    <row r="5801" spans="28:35" ht="15" hidden="1" customHeight="1">
      <c r="AB5801" s="9"/>
      <c r="AC5801" s="9"/>
      <c r="AD5801" s="9"/>
      <c r="AF5801" s="10"/>
      <c r="AG5801" s="10"/>
      <c r="AH5801" s="10"/>
      <c r="AI5801" s="10"/>
    </row>
    <row r="5802" spans="28:35" ht="15" hidden="1" customHeight="1">
      <c r="AB5802" s="9"/>
      <c r="AC5802" s="9"/>
      <c r="AD5802" s="9"/>
      <c r="AF5802" s="10"/>
      <c r="AG5802" s="10"/>
      <c r="AH5802" s="10"/>
      <c r="AI5802" s="10"/>
    </row>
    <row r="5803" spans="28:35" ht="15" hidden="1" customHeight="1">
      <c r="AB5803" s="9"/>
      <c r="AC5803" s="9"/>
      <c r="AD5803" s="9"/>
      <c r="AF5803" s="10"/>
      <c r="AG5803" s="10"/>
      <c r="AH5803" s="10"/>
      <c r="AI5803" s="10"/>
    </row>
    <row r="5804" spans="28:35" ht="15" hidden="1" customHeight="1">
      <c r="AB5804" s="9"/>
      <c r="AC5804" s="9"/>
      <c r="AD5804" s="9"/>
      <c r="AF5804" s="10"/>
      <c r="AG5804" s="10"/>
      <c r="AH5804" s="10"/>
      <c r="AI5804" s="10"/>
    </row>
    <row r="5805" spans="28:35" ht="15" hidden="1" customHeight="1">
      <c r="AB5805" s="9"/>
      <c r="AC5805" s="9"/>
      <c r="AD5805" s="9"/>
      <c r="AF5805" s="10"/>
      <c r="AG5805" s="10"/>
      <c r="AH5805" s="10"/>
      <c r="AI5805" s="10"/>
    </row>
    <row r="5806" spans="28:35" ht="15" hidden="1" customHeight="1">
      <c r="AB5806" s="9"/>
      <c r="AC5806" s="9"/>
      <c r="AD5806" s="9"/>
      <c r="AF5806" s="10"/>
      <c r="AG5806" s="10"/>
      <c r="AH5806" s="10"/>
      <c r="AI5806" s="10"/>
    </row>
    <row r="5807" spans="28:35" ht="15" hidden="1" customHeight="1">
      <c r="AB5807" s="9"/>
      <c r="AC5807" s="9"/>
      <c r="AD5807" s="9"/>
      <c r="AF5807" s="10"/>
      <c r="AG5807" s="10"/>
      <c r="AH5807" s="10"/>
      <c r="AI5807" s="10"/>
    </row>
    <row r="5808" spans="28:35" ht="15" hidden="1" customHeight="1">
      <c r="AB5808" s="9"/>
      <c r="AC5808" s="9"/>
      <c r="AD5808" s="9"/>
      <c r="AF5808" s="10"/>
      <c r="AG5808" s="10"/>
      <c r="AH5808" s="10"/>
      <c r="AI5808" s="10"/>
    </row>
    <row r="5809" spans="28:35" ht="15" hidden="1" customHeight="1">
      <c r="AB5809" s="9"/>
      <c r="AC5809" s="9"/>
      <c r="AD5809" s="9"/>
      <c r="AF5809" s="10"/>
      <c r="AG5809" s="10"/>
      <c r="AH5809" s="10"/>
      <c r="AI5809" s="10"/>
    </row>
    <row r="5810" spans="28:35" ht="15" hidden="1" customHeight="1">
      <c r="AB5810" s="9"/>
      <c r="AC5810" s="9"/>
      <c r="AD5810" s="9"/>
      <c r="AF5810" s="10"/>
      <c r="AG5810" s="10"/>
      <c r="AH5810" s="10"/>
      <c r="AI5810" s="10"/>
    </row>
    <row r="5811" spans="28:35" ht="15" hidden="1" customHeight="1">
      <c r="AB5811" s="9"/>
      <c r="AC5811" s="9"/>
      <c r="AD5811" s="9"/>
      <c r="AF5811" s="10"/>
      <c r="AG5811" s="10"/>
      <c r="AH5811" s="10"/>
      <c r="AI5811" s="10"/>
    </row>
    <row r="5812" spans="28:35" ht="15" hidden="1" customHeight="1">
      <c r="AB5812" s="9"/>
      <c r="AC5812" s="9"/>
      <c r="AD5812" s="9"/>
      <c r="AF5812" s="10"/>
      <c r="AG5812" s="10"/>
      <c r="AH5812" s="10"/>
      <c r="AI5812" s="10"/>
    </row>
    <row r="5813" spans="28:35" ht="15" hidden="1" customHeight="1">
      <c r="AB5813" s="9"/>
      <c r="AC5813" s="9"/>
      <c r="AD5813" s="9"/>
      <c r="AF5813" s="10"/>
      <c r="AG5813" s="10"/>
      <c r="AH5813" s="10"/>
      <c r="AI5813" s="10"/>
    </row>
    <row r="5814" spans="28:35" ht="15" hidden="1" customHeight="1">
      <c r="AB5814" s="9"/>
      <c r="AC5814" s="9"/>
      <c r="AD5814" s="9"/>
      <c r="AF5814" s="10"/>
      <c r="AG5814" s="10"/>
      <c r="AH5814" s="10"/>
      <c r="AI5814" s="10"/>
    </row>
    <row r="5815" spans="28:35" ht="15" hidden="1" customHeight="1">
      <c r="AB5815" s="9"/>
      <c r="AC5815" s="9"/>
      <c r="AD5815" s="9"/>
      <c r="AF5815" s="10"/>
      <c r="AG5815" s="10"/>
      <c r="AH5815" s="10"/>
      <c r="AI5815" s="10"/>
    </row>
    <row r="5816" spans="28:35" ht="15" hidden="1" customHeight="1">
      <c r="AB5816" s="9"/>
      <c r="AC5816" s="9"/>
      <c r="AD5816" s="9"/>
      <c r="AF5816" s="10"/>
      <c r="AG5816" s="10"/>
      <c r="AH5816" s="10"/>
      <c r="AI5816" s="10"/>
    </row>
    <row r="5817" spans="28:35" ht="15" hidden="1" customHeight="1">
      <c r="AB5817" s="9"/>
      <c r="AC5817" s="9"/>
      <c r="AD5817" s="9"/>
      <c r="AF5817" s="10"/>
      <c r="AG5817" s="10"/>
      <c r="AH5817" s="10"/>
      <c r="AI5817" s="10"/>
    </row>
    <row r="5818" spans="28:35" ht="15" hidden="1" customHeight="1">
      <c r="AB5818" s="9"/>
      <c r="AC5818" s="9"/>
      <c r="AD5818" s="9"/>
      <c r="AF5818" s="10"/>
      <c r="AG5818" s="10"/>
      <c r="AH5818" s="10"/>
      <c r="AI5818" s="10"/>
    </row>
    <row r="5819" spans="28:35" ht="15" hidden="1" customHeight="1">
      <c r="AB5819" s="9"/>
      <c r="AC5819" s="9"/>
      <c r="AD5819" s="9"/>
      <c r="AF5819" s="10"/>
      <c r="AG5819" s="10"/>
      <c r="AH5819" s="10"/>
      <c r="AI5819" s="10"/>
    </row>
    <row r="5820" spans="28:35" ht="15" hidden="1" customHeight="1">
      <c r="AB5820" s="9"/>
      <c r="AC5820" s="9"/>
      <c r="AD5820" s="9"/>
      <c r="AF5820" s="10"/>
      <c r="AG5820" s="10"/>
      <c r="AH5820" s="10"/>
      <c r="AI5820" s="10"/>
    </row>
    <row r="5821" spans="28:35" ht="15" hidden="1" customHeight="1">
      <c r="AB5821" s="9"/>
      <c r="AC5821" s="9"/>
      <c r="AD5821" s="9"/>
      <c r="AF5821" s="10"/>
      <c r="AG5821" s="10"/>
      <c r="AH5821" s="10"/>
      <c r="AI5821" s="10"/>
    </row>
    <row r="5822" spans="28:35" ht="15" hidden="1" customHeight="1">
      <c r="AB5822" s="9"/>
      <c r="AC5822" s="9"/>
      <c r="AD5822" s="9"/>
      <c r="AF5822" s="10"/>
      <c r="AG5822" s="10"/>
      <c r="AH5822" s="10"/>
      <c r="AI5822" s="10"/>
    </row>
    <row r="5823" spans="28:35" ht="15" hidden="1" customHeight="1">
      <c r="AB5823" s="9"/>
      <c r="AC5823" s="9"/>
      <c r="AD5823" s="9"/>
      <c r="AF5823" s="10"/>
      <c r="AG5823" s="10"/>
      <c r="AH5823" s="10"/>
      <c r="AI5823" s="10"/>
    </row>
    <row r="5824" spans="28:35" ht="15" hidden="1" customHeight="1">
      <c r="AB5824" s="9"/>
      <c r="AC5824" s="9"/>
      <c r="AD5824" s="9"/>
      <c r="AF5824" s="10"/>
      <c r="AG5824" s="10"/>
      <c r="AH5824" s="10"/>
      <c r="AI5824" s="10"/>
    </row>
    <row r="5825" spans="28:35" ht="15" hidden="1" customHeight="1">
      <c r="AB5825" s="9"/>
      <c r="AC5825" s="9"/>
      <c r="AD5825" s="9"/>
      <c r="AF5825" s="10"/>
      <c r="AG5825" s="10"/>
      <c r="AH5825" s="10"/>
      <c r="AI5825" s="10"/>
    </row>
    <row r="5826" spans="28:35" ht="15" hidden="1" customHeight="1">
      <c r="AB5826" s="9"/>
      <c r="AC5826" s="9"/>
      <c r="AD5826" s="9"/>
      <c r="AF5826" s="10"/>
      <c r="AG5826" s="10"/>
      <c r="AH5826" s="10"/>
      <c r="AI5826" s="10"/>
    </row>
    <row r="5827" spans="28:35" ht="15" hidden="1" customHeight="1">
      <c r="AB5827" s="9"/>
      <c r="AC5827" s="9"/>
      <c r="AD5827" s="9"/>
      <c r="AF5827" s="10"/>
      <c r="AG5827" s="10"/>
      <c r="AH5827" s="10"/>
      <c r="AI5827" s="10"/>
    </row>
    <row r="5828" spans="28:35" ht="15" hidden="1" customHeight="1">
      <c r="AB5828" s="9"/>
      <c r="AC5828" s="9"/>
      <c r="AD5828" s="9"/>
      <c r="AF5828" s="10"/>
      <c r="AG5828" s="10"/>
      <c r="AH5828" s="10"/>
      <c r="AI5828" s="10"/>
    </row>
    <row r="5829" spans="28:35" ht="15" hidden="1" customHeight="1">
      <c r="AB5829" s="9"/>
      <c r="AC5829" s="9"/>
      <c r="AD5829" s="9"/>
      <c r="AF5829" s="10"/>
      <c r="AG5829" s="10"/>
      <c r="AH5829" s="10"/>
      <c r="AI5829" s="10"/>
    </row>
    <row r="5830" spans="28:35" ht="15" hidden="1" customHeight="1">
      <c r="AB5830" s="9"/>
      <c r="AC5830" s="9"/>
      <c r="AD5830" s="9"/>
      <c r="AF5830" s="10"/>
      <c r="AG5830" s="10"/>
      <c r="AH5830" s="10"/>
      <c r="AI5830" s="10"/>
    </row>
    <row r="5831" spans="28:35" ht="15" hidden="1" customHeight="1">
      <c r="AB5831" s="9"/>
      <c r="AC5831" s="9"/>
      <c r="AD5831" s="9"/>
      <c r="AF5831" s="10"/>
      <c r="AG5831" s="10"/>
      <c r="AH5831" s="10"/>
      <c r="AI5831" s="10"/>
    </row>
    <row r="5832" spans="28:35" ht="15" hidden="1" customHeight="1">
      <c r="AB5832" s="9"/>
      <c r="AC5832" s="9"/>
      <c r="AD5832" s="9"/>
      <c r="AF5832" s="10"/>
      <c r="AG5832" s="10"/>
      <c r="AH5832" s="10"/>
      <c r="AI5832" s="10"/>
    </row>
    <row r="5833" spans="28:35" ht="15" hidden="1" customHeight="1">
      <c r="AB5833" s="9"/>
      <c r="AC5833" s="9"/>
      <c r="AD5833" s="9"/>
      <c r="AF5833" s="10"/>
      <c r="AG5833" s="10"/>
      <c r="AH5833" s="10"/>
      <c r="AI5833" s="10"/>
    </row>
    <row r="5834" spans="28:35" ht="15" hidden="1" customHeight="1">
      <c r="AB5834" s="9"/>
      <c r="AC5834" s="9"/>
      <c r="AD5834" s="9"/>
      <c r="AF5834" s="10"/>
      <c r="AG5834" s="10"/>
      <c r="AH5834" s="10"/>
      <c r="AI5834" s="10"/>
    </row>
    <row r="5835" spans="28:35" ht="15" hidden="1" customHeight="1">
      <c r="AB5835" s="9"/>
      <c r="AC5835" s="9"/>
      <c r="AD5835" s="9"/>
      <c r="AF5835" s="10"/>
      <c r="AG5835" s="10"/>
      <c r="AH5835" s="10"/>
      <c r="AI5835" s="10"/>
    </row>
    <row r="5836" spans="28:35" ht="15" hidden="1" customHeight="1">
      <c r="AB5836" s="9"/>
      <c r="AC5836" s="9"/>
      <c r="AD5836" s="9"/>
      <c r="AF5836" s="10"/>
      <c r="AG5836" s="10"/>
      <c r="AH5836" s="10"/>
      <c r="AI5836" s="10"/>
    </row>
    <row r="5837" spans="28:35" ht="15" hidden="1" customHeight="1">
      <c r="AB5837" s="9"/>
      <c r="AC5837" s="9"/>
      <c r="AD5837" s="9"/>
      <c r="AF5837" s="10"/>
      <c r="AG5837" s="10"/>
      <c r="AH5837" s="10"/>
      <c r="AI5837" s="10"/>
    </row>
    <row r="5838" spans="28:35" ht="15" hidden="1" customHeight="1">
      <c r="AB5838" s="9"/>
      <c r="AC5838" s="9"/>
      <c r="AD5838" s="9"/>
      <c r="AF5838" s="10"/>
      <c r="AG5838" s="10"/>
      <c r="AH5838" s="10"/>
      <c r="AI5838" s="10"/>
    </row>
    <row r="5839" spans="28:35" ht="15" hidden="1" customHeight="1">
      <c r="AB5839" s="9"/>
      <c r="AC5839" s="9"/>
      <c r="AD5839" s="9"/>
      <c r="AF5839" s="10"/>
      <c r="AG5839" s="10"/>
      <c r="AH5839" s="10"/>
      <c r="AI5839" s="10"/>
    </row>
    <row r="5840" spans="28:35" ht="15" hidden="1" customHeight="1">
      <c r="AB5840" s="9"/>
      <c r="AC5840" s="9"/>
      <c r="AD5840" s="9"/>
      <c r="AF5840" s="10"/>
      <c r="AG5840" s="10"/>
      <c r="AH5840" s="10"/>
      <c r="AI5840" s="10"/>
    </row>
    <row r="5841" spans="28:35" ht="15" hidden="1" customHeight="1">
      <c r="AB5841" s="9"/>
      <c r="AC5841" s="9"/>
      <c r="AD5841" s="9"/>
      <c r="AF5841" s="10"/>
      <c r="AG5841" s="10"/>
      <c r="AH5841" s="10"/>
      <c r="AI5841" s="10"/>
    </row>
    <row r="5842" spans="28:35" ht="15" hidden="1" customHeight="1">
      <c r="AB5842" s="9"/>
      <c r="AC5842" s="9"/>
      <c r="AD5842" s="9"/>
      <c r="AF5842" s="10"/>
      <c r="AG5842" s="10"/>
      <c r="AH5842" s="10"/>
      <c r="AI5842" s="10"/>
    </row>
    <row r="5843" spans="28:35" ht="15" hidden="1" customHeight="1">
      <c r="AB5843" s="9"/>
      <c r="AC5843" s="9"/>
      <c r="AD5843" s="9"/>
      <c r="AF5843" s="10"/>
      <c r="AG5843" s="10"/>
      <c r="AH5843" s="10"/>
      <c r="AI5843" s="10"/>
    </row>
    <row r="5844" spans="28:35" ht="15" hidden="1" customHeight="1">
      <c r="AB5844" s="9"/>
      <c r="AC5844" s="9"/>
      <c r="AD5844" s="9"/>
      <c r="AF5844" s="10"/>
      <c r="AG5844" s="10"/>
      <c r="AH5844" s="10"/>
      <c r="AI5844" s="10"/>
    </row>
    <row r="5845" spans="28:35" ht="15" hidden="1" customHeight="1">
      <c r="AB5845" s="9"/>
      <c r="AC5845" s="9"/>
      <c r="AD5845" s="9"/>
      <c r="AF5845" s="10"/>
      <c r="AG5845" s="10"/>
      <c r="AH5845" s="10"/>
      <c r="AI5845" s="10"/>
    </row>
    <row r="5846" spans="28:35" ht="15" hidden="1" customHeight="1">
      <c r="AB5846" s="9"/>
      <c r="AC5846" s="9"/>
      <c r="AD5846" s="9"/>
      <c r="AF5846" s="10"/>
      <c r="AG5846" s="10"/>
      <c r="AH5846" s="10"/>
      <c r="AI5846" s="10"/>
    </row>
    <row r="5847" spans="28:35" ht="15" hidden="1" customHeight="1">
      <c r="AB5847" s="9"/>
      <c r="AC5847" s="9"/>
      <c r="AD5847" s="9"/>
      <c r="AF5847" s="10"/>
      <c r="AG5847" s="10"/>
      <c r="AH5847" s="10"/>
      <c r="AI5847" s="10"/>
    </row>
    <row r="5848" spans="28:35" ht="15" hidden="1" customHeight="1">
      <c r="AB5848" s="9"/>
      <c r="AC5848" s="9"/>
      <c r="AD5848" s="9"/>
      <c r="AF5848" s="10"/>
      <c r="AG5848" s="10"/>
      <c r="AH5848" s="10"/>
      <c r="AI5848" s="10"/>
    </row>
    <row r="5849" spans="28:35" ht="15" hidden="1" customHeight="1">
      <c r="AB5849" s="9"/>
      <c r="AC5849" s="9"/>
      <c r="AD5849" s="9"/>
      <c r="AF5849" s="10"/>
      <c r="AG5849" s="10"/>
      <c r="AH5849" s="10"/>
      <c r="AI5849" s="10"/>
    </row>
    <row r="5850" spans="28:35" ht="15" hidden="1" customHeight="1">
      <c r="AB5850" s="9"/>
      <c r="AC5850" s="9"/>
      <c r="AD5850" s="9"/>
      <c r="AF5850" s="10"/>
      <c r="AG5850" s="10"/>
      <c r="AH5850" s="10"/>
      <c r="AI5850" s="10"/>
    </row>
    <row r="5851" spans="28:35" ht="15" hidden="1" customHeight="1">
      <c r="AB5851" s="9"/>
      <c r="AC5851" s="9"/>
      <c r="AD5851" s="9"/>
      <c r="AF5851" s="10"/>
      <c r="AG5851" s="10"/>
      <c r="AH5851" s="10"/>
      <c r="AI5851" s="10"/>
    </row>
    <row r="5852" spans="28:35" ht="15" hidden="1" customHeight="1">
      <c r="AB5852" s="9"/>
      <c r="AC5852" s="9"/>
      <c r="AD5852" s="9"/>
      <c r="AF5852" s="10"/>
      <c r="AG5852" s="10"/>
      <c r="AH5852" s="10"/>
      <c r="AI5852" s="10"/>
    </row>
    <row r="5853" spans="28:35" ht="15" hidden="1" customHeight="1">
      <c r="AB5853" s="9"/>
      <c r="AC5853" s="9"/>
      <c r="AD5853" s="9"/>
      <c r="AF5853" s="10"/>
      <c r="AG5853" s="10"/>
      <c r="AH5853" s="10"/>
      <c r="AI5853" s="10"/>
    </row>
    <row r="5854" spans="28:35" ht="15" hidden="1" customHeight="1">
      <c r="AB5854" s="9"/>
      <c r="AC5854" s="9"/>
      <c r="AD5854" s="9"/>
      <c r="AF5854" s="10"/>
      <c r="AG5854" s="10"/>
      <c r="AH5854" s="10"/>
      <c r="AI5854" s="10"/>
    </row>
    <row r="5855" spans="28:35" ht="15" hidden="1" customHeight="1">
      <c r="AB5855" s="9"/>
      <c r="AC5855" s="9"/>
      <c r="AD5855" s="9"/>
      <c r="AF5855" s="10"/>
      <c r="AG5855" s="10"/>
      <c r="AH5855" s="10"/>
      <c r="AI5855" s="10"/>
    </row>
    <row r="5856" spans="28:35" ht="15" hidden="1" customHeight="1">
      <c r="AB5856" s="9"/>
      <c r="AC5856" s="9"/>
      <c r="AD5856" s="9"/>
      <c r="AF5856" s="10"/>
      <c r="AG5856" s="10"/>
      <c r="AH5856" s="10"/>
      <c r="AI5856" s="10"/>
    </row>
    <row r="5857" spans="28:35" ht="15" hidden="1" customHeight="1">
      <c r="AB5857" s="9"/>
      <c r="AC5857" s="9"/>
      <c r="AD5857" s="9"/>
      <c r="AF5857" s="10"/>
      <c r="AG5857" s="10"/>
      <c r="AH5857" s="10"/>
      <c r="AI5857" s="10"/>
    </row>
    <row r="5858" spans="28:35" ht="15" hidden="1" customHeight="1">
      <c r="AB5858" s="9"/>
      <c r="AC5858" s="9"/>
      <c r="AD5858" s="9"/>
      <c r="AF5858" s="10"/>
      <c r="AG5858" s="10"/>
      <c r="AH5858" s="10"/>
      <c r="AI5858" s="10"/>
    </row>
    <row r="5859" spans="28:35" ht="15" hidden="1" customHeight="1">
      <c r="AB5859" s="9"/>
      <c r="AC5859" s="9"/>
      <c r="AD5859" s="9"/>
      <c r="AF5859" s="10"/>
      <c r="AG5859" s="10"/>
      <c r="AH5859" s="10"/>
      <c r="AI5859" s="10"/>
    </row>
    <row r="5860" spans="28:35" ht="15" hidden="1" customHeight="1">
      <c r="AB5860" s="9"/>
      <c r="AC5860" s="9"/>
      <c r="AD5860" s="9"/>
      <c r="AF5860" s="10"/>
      <c r="AG5860" s="10"/>
      <c r="AH5860" s="10"/>
      <c r="AI5860" s="10"/>
    </row>
    <row r="5861" spans="28:35" ht="15" hidden="1" customHeight="1">
      <c r="AB5861" s="9"/>
      <c r="AC5861" s="9"/>
      <c r="AD5861" s="9"/>
      <c r="AF5861" s="10"/>
      <c r="AG5861" s="10"/>
      <c r="AH5861" s="10"/>
      <c r="AI5861" s="10"/>
    </row>
    <row r="5862" spans="28:35" ht="15" hidden="1" customHeight="1">
      <c r="AB5862" s="9"/>
      <c r="AC5862" s="9"/>
      <c r="AD5862" s="9"/>
      <c r="AF5862" s="10"/>
      <c r="AG5862" s="10"/>
      <c r="AH5862" s="10"/>
      <c r="AI5862" s="10"/>
    </row>
    <row r="5863" spans="28:35" ht="15" hidden="1" customHeight="1">
      <c r="AB5863" s="9"/>
      <c r="AC5863" s="9"/>
      <c r="AD5863" s="9"/>
      <c r="AF5863" s="10"/>
      <c r="AG5863" s="10"/>
      <c r="AH5863" s="10"/>
      <c r="AI5863" s="10"/>
    </row>
    <row r="5864" spans="28:35" ht="15" hidden="1" customHeight="1">
      <c r="AB5864" s="9"/>
      <c r="AC5864" s="9"/>
      <c r="AD5864" s="9"/>
      <c r="AF5864" s="10"/>
      <c r="AG5864" s="10"/>
      <c r="AH5864" s="10"/>
      <c r="AI5864" s="10"/>
    </row>
    <row r="5865" spans="28:35" ht="15" hidden="1" customHeight="1">
      <c r="AB5865" s="9"/>
      <c r="AC5865" s="9"/>
      <c r="AD5865" s="9"/>
      <c r="AF5865" s="10"/>
      <c r="AG5865" s="10"/>
      <c r="AH5865" s="10"/>
      <c r="AI5865" s="10"/>
    </row>
    <row r="5866" spans="28:35" ht="15" hidden="1" customHeight="1">
      <c r="AB5866" s="9"/>
      <c r="AC5866" s="9"/>
      <c r="AD5866" s="9"/>
      <c r="AF5866" s="10"/>
      <c r="AG5866" s="10"/>
      <c r="AH5866" s="10"/>
      <c r="AI5866" s="10"/>
    </row>
    <row r="5867" spans="28:35" ht="15" hidden="1" customHeight="1">
      <c r="AB5867" s="9"/>
      <c r="AC5867" s="9"/>
      <c r="AD5867" s="9"/>
      <c r="AF5867" s="10"/>
      <c r="AG5867" s="10"/>
      <c r="AH5867" s="10"/>
      <c r="AI5867" s="10"/>
    </row>
    <row r="5868" spans="28:35" ht="15" hidden="1" customHeight="1">
      <c r="AB5868" s="9"/>
      <c r="AC5868" s="9"/>
      <c r="AD5868" s="9"/>
      <c r="AF5868" s="10"/>
      <c r="AG5868" s="10"/>
      <c r="AH5868" s="10"/>
      <c r="AI5868" s="10"/>
    </row>
    <row r="5869" spans="28:35" ht="15" hidden="1" customHeight="1">
      <c r="AB5869" s="9"/>
      <c r="AC5869" s="9"/>
      <c r="AD5869" s="9"/>
      <c r="AF5869" s="10"/>
      <c r="AG5869" s="10"/>
      <c r="AH5869" s="10"/>
      <c r="AI5869" s="10"/>
    </row>
    <row r="5870" spans="28:35" ht="15" hidden="1" customHeight="1">
      <c r="AB5870" s="9"/>
      <c r="AC5870" s="9"/>
      <c r="AD5870" s="9"/>
      <c r="AF5870" s="10"/>
      <c r="AG5870" s="10"/>
      <c r="AH5870" s="10"/>
      <c r="AI5870" s="10"/>
    </row>
    <row r="5871" spans="28:35" ht="15" hidden="1" customHeight="1">
      <c r="AB5871" s="9"/>
      <c r="AC5871" s="9"/>
      <c r="AD5871" s="9"/>
      <c r="AF5871" s="10"/>
      <c r="AG5871" s="10"/>
      <c r="AH5871" s="10"/>
      <c r="AI5871" s="10"/>
    </row>
    <row r="5872" spans="28:35" ht="15" hidden="1" customHeight="1">
      <c r="AB5872" s="9"/>
      <c r="AC5872" s="9"/>
      <c r="AD5872" s="9"/>
      <c r="AF5872" s="10"/>
      <c r="AG5872" s="10"/>
      <c r="AH5872" s="10"/>
      <c r="AI5872" s="10"/>
    </row>
    <row r="5873" spans="28:35" ht="15" hidden="1" customHeight="1">
      <c r="AB5873" s="9"/>
      <c r="AC5873" s="9"/>
      <c r="AD5873" s="9"/>
      <c r="AF5873" s="10"/>
      <c r="AG5873" s="10"/>
      <c r="AH5873" s="10"/>
      <c r="AI5873" s="10"/>
    </row>
    <row r="5874" spans="28:35" ht="15" hidden="1" customHeight="1">
      <c r="AB5874" s="9"/>
      <c r="AC5874" s="9"/>
      <c r="AD5874" s="9"/>
      <c r="AF5874" s="10"/>
      <c r="AG5874" s="10"/>
      <c r="AH5874" s="10"/>
      <c r="AI5874" s="10"/>
    </row>
    <row r="5875" spans="28:35" ht="15" hidden="1" customHeight="1">
      <c r="AB5875" s="9"/>
      <c r="AC5875" s="9"/>
      <c r="AD5875" s="9"/>
      <c r="AF5875" s="10"/>
      <c r="AG5875" s="10"/>
      <c r="AH5875" s="10"/>
      <c r="AI5875" s="10"/>
    </row>
    <row r="5876" spans="28:35" ht="15" hidden="1" customHeight="1">
      <c r="AB5876" s="9"/>
      <c r="AC5876" s="9"/>
      <c r="AD5876" s="9"/>
      <c r="AF5876" s="10"/>
      <c r="AG5876" s="10"/>
      <c r="AH5876" s="10"/>
      <c r="AI5876" s="10"/>
    </row>
    <row r="5877" spans="28:35" ht="15" hidden="1" customHeight="1">
      <c r="AB5877" s="9"/>
      <c r="AC5877" s="9"/>
      <c r="AD5877" s="9"/>
      <c r="AF5877" s="10"/>
      <c r="AG5877" s="10"/>
      <c r="AH5877" s="10"/>
      <c r="AI5877" s="10"/>
    </row>
    <row r="5878" spans="28:35" ht="15" hidden="1" customHeight="1">
      <c r="AB5878" s="9"/>
      <c r="AC5878" s="9"/>
      <c r="AD5878" s="9"/>
      <c r="AF5878" s="10"/>
      <c r="AG5878" s="10"/>
      <c r="AH5878" s="10"/>
      <c r="AI5878" s="10"/>
    </row>
    <row r="5879" spans="28:35" ht="15" hidden="1" customHeight="1">
      <c r="AB5879" s="9"/>
      <c r="AC5879" s="9"/>
      <c r="AD5879" s="9"/>
      <c r="AF5879" s="10"/>
      <c r="AG5879" s="10"/>
      <c r="AH5879" s="10"/>
      <c r="AI5879" s="10"/>
    </row>
    <row r="5880" spans="28:35" ht="15" hidden="1" customHeight="1">
      <c r="AB5880" s="9"/>
      <c r="AC5880" s="9"/>
      <c r="AD5880" s="9"/>
      <c r="AF5880" s="10"/>
      <c r="AG5880" s="10"/>
      <c r="AH5880" s="10"/>
      <c r="AI5880" s="10"/>
    </row>
    <row r="5881" spans="28:35" ht="15" hidden="1" customHeight="1">
      <c r="AB5881" s="9"/>
      <c r="AC5881" s="9"/>
      <c r="AD5881" s="9"/>
      <c r="AF5881" s="10"/>
      <c r="AG5881" s="10"/>
      <c r="AH5881" s="10"/>
      <c r="AI5881" s="10"/>
    </row>
    <row r="5882" spans="28:35" ht="15" hidden="1" customHeight="1">
      <c r="AB5882" s="9"/>
      <c r="AC5882" s="9"/>
      <c r="AD5882" s="9"/>
      <c r="AF5882" s="10"/>
      <c r="AG5882" s="10"/>
      <c r="AH5882" s="10"/>
      <c r="AI5882" s="10"/>
    </row>
    <row r="5883" spans="28:35" ht="15" hidden="1" customHeight="1">
      <c r="AB5883" s="9"/>
      <c r="AC5883" s="9"/>
      <c r="AD5883" s="9"/>
      <c r="AF5883" s="10"/>
      <c r="AG5883" s="10"/>
      <c r="AH5883" s="10"/>
      <c r="AI5883" s="10"/>
    </row>
    <row r="5884" spans="28:35" ht="15" hidden="1" customHeight="1">
      <c r="AB5884" s="9"/>
      <c r="AC5884" s="9"/>
      <c r="AD5884" s="9"/>
      <c r="AF5884" s="10"/>
      <c r="AG5884" s="10"/>
      <c r="AH5884" s="10"/>
      <c r="AI5884" s="10"/>
    </row>
    <row r="5885" spans="28:35" ht="15" hidden="1" customHeight="1">
      <c r="AB5885" s="9"/>
      <c r="AC5885" s="9"/>
      <c r="AD5885" s="9"/>
      <c r="AF5885" s="10"/>
      <c r="AG5885" s="10"/>
      <c r="AH5885" s="10"/>
      <c r="AI5885" s="10"/>
    </row>
    <row r="5886" spans="28:35" ht="15" hidden="1" customHeight="1">
      <c r="AB5886" s="9"/>
      <c r="AC5886" s="9"/>
      <c r="AD5886" s="9"/>
      <c r="AF5886" s="10"/>
      <c r="AG5886" s="10"/>
      <c r="AH5886" s="10"/>
      <c r="AI5886" s="10"/>
    </row>
    <row r="5887" spans="28:35" ht="15" hidden="1" customHeight="1">
      <c r="AB5887" s="9"/>
      <c r="AC5887" s="9"/>
      <c r="AD5887" s="9"/>
      <c r="AF5887" s="10"/>
      <c r="AG5887" s="10"/>
      <c r="AH5887" s="10"/>
      <c r="AI5887" s="10"/>
    </row>
    <row r="5888" spans="28:35" ht="15" hidden="1" customHeight="1">
      <c r="AB5888" s="9"/>
      <c r="AC5888" s="9"/>
      <c r="AD5888" s="9"/>
      <c r="AF5888" s="10"/>
      <c r="AG5888" s="10"/>
      <c r="AH5888" s="10"/>
      <c r="AI5888" s="10"/>
    </row>
    <row r="5889" spans="28:35" ht="15" hidden="1" customHeight="1">
      <c r="AB5889" s="9"/>
      <c r="AC5889" s="9"/>
      <c r="AD5889" s="9"/>
      <c r="AF5889" s="10"/>
      <c r="AG5889" s="10"/>
      <c r="AH5889" s="10"/>
      <c r="AI5889" s="10"/>
    </row>
    <row r="5890" spans="28:35" ht="15" hidden="1" customHeight="1">
      <c r="AB5890" s="9"/>
      <c r="AC5890" s="9"/>
      <c r="AD5890" s="9"/>
      <c r="AF5890" s="10"/>
      <c r="AG5890" s="10"/>
      <c r="AH5890" s="10"/>
      <c r="AI5890" s="10"/>
    </row>
    <row r="5891" spans="28:35" ht="15" hidden="1" customHeight="1">
      <c r="AB5891" s="9"/>
      <c r="AC5891" s="9"/>
      <c r="AD5891" s="9"/>
      <c r="AF5891" s="10"/>
      <c r="AG5891" s="10"/>
      <c r="AH5891" s="10"/>
      <c r="AI5891" s="10"/>
    </row>
    <row r="5892" spans="28:35" ht="15" hidden="1" customHeight="1">
      <c r="AB5892" s="9"/>
      <c r="AC5892" s="9"/>
      <c r="AD5892" s="9"/>
      <c r="AF5892" s="10"/>
      <c r="AG5892" s="10"/>
      <c r="AH5892" s="10"/>
      <c r="AI5892" s="10"/>
    </row>
    <row r="5893" spans="28:35" ht="15" hidden="1" customHeight="1">
      <c r="AB5893" s="9"/>
      <c r="AC5893" s="9"/>
      <c r="AD5893" s="9"/>
      <c r="AF5893" s="10"/>
      <c r="AG5893" s="10"/>
      <c r="AH5893" s="10"/>
      <c r="AI5893" s="10"/>
    </row>
    <row r="5894" spans="28:35" ht="15" hidden="1" customHeight="1">
      <c r="AB5894" s="9"/>
      <c r="AC5894" s="9"/>
      <c r="AD5894" s="9"/>
      <c r="AF5894" s="10"/>
      <c r="AG5894" s="10"/>
      <c r="AH5894" s="10"/>
      <c r="AI5894" s="10"/>
    </row>
    <row r="5895" spans="28:35" ht="15" hidden="1" customHeight="1">
      <c r="AB5895" s="9"/>
      <c r="AC5895" s="9"/>
      <c r="AD5895" s="9"/>
      <c r="AF5895" s="10"/>
      <c r="AG5895" s="10"/>
      <c r="AH5895" s="10"/>
      <c r="AI5895" s="10"/>
    </row>
    <row r="5896" spans="28:35" ht="15" hidden="1" customHeight="1">
      <c r="AB5896" s="9"/>
      <c r="AC5896" s="9"/>
      <c r="AD5896" s="9"/>
      <c r="AF5896" s="10"/>
      <c r="AG5896" s="10"/>
      <c r="AH5896" s="10"/>
      <c r="AI5896" s="10"/>
    </row>
    <row r="5897" spans="28:35" ht="15" hidden="1" customHeight="1">
      <c r="AB5897" s="9"/>
      <c r="AC5897" s="9"/>
      <c r="AD5897" s="9"/>
      <c r="AF5897" s="10"/>
      <c r="AG5897" s="10"/>
      <c r="AH5897" s="10"/>
      <c r="AI5897" s="10"/>
    </row>
    <row r="5898" spans="28:35" ht="15" hidden="1" customHeight="1">
      <c r="AB5898" s="9"/>
      <c r="AC5898" s="9"/>
      <c r="AD5898" s="9"/>
      <c r="AF5898" s="10"/>
      <c r="AG5898" s="10"/>
      <c r="AH5898" s="10"/>
      <c r="AI5898" s="10"/>
    </row>
    <row r="5899" spans="28:35" ht="15" hidden="1" customHeight="1">
      <c r="AB5899" s="9"/>
      <c r="AC5899" s="9"/>
      <c r="AD5899" s="9"/>
      <c r="AF5899" s="10"/>
      <c r="AG5899" s="10"/>
      <c r="AH5899" s="10"/>
      <c r="AI5899" s="10"/>
    </row>
    <row r="5900" spans="28:35" ht="15" hidden="1" customHeight="1">
      <c r="AB5900" s="9"/>
      <c r="AC5900" s="9"/>
      <c r="AD5900" s="9"/>
      <c r="AF5900" s="10"/>
      <c r="AG5900" s="10"/>
      <c r="AH5900" s="10"/>
      <c r="AI5900" s="10"/>
    </row>
    <row r="5901" spans="28:35" ht="15" hidden="1" customHeight="1">
      <c r="AB5901" s="9"/>
      <c r="AC5901" s="9"/>
      <c r="AD5901" s="9"/>
      <c r="AF5901" s="10"/>
      <c r="AG5901" s="10"/>
      <c r="AH5901" s="10"/>
      <c r="AI5901" s="10"/>
    </row>
    <row r="5902" spans="28:35" ht="15" hidden="1" customHeight="1">
      <c r="AB5902" s="9"/>
      <c r="AC5902" s="9"/>
      <c r="AD5902" s="9"/>
      <c r="AF5902" s="10"/>
      <c r="AG5902" s="10"/>
      <c r="AH5902" s="10"/>
      <c r="AI5902" s="10"/>
    </row>
    <row r="5903" spans="28:35" ht="15" hidden="1" customHeight="1">
      <c r="AB5903" s="9"/>
      <c r="AC5903" s="9"/>
      <c r="AD5903" s="9"/>
      <c r="AF5903" s="10"/>
      <c r="AG5903" s="10"/>
      <c r="AH5903" s="10"/>
      <c r="AI5903" s="10"/>
    </row>
    <row r="5904" spans="28:35" ht="15" hidden="1" customHeight="1">
      <c r="AB5904" s="9"/>
      <c r="AC5904" s="9"/>
      <c r="AD5904" s="9"/>
      <c r="AF5904" s="10"/>
      <c r="AG5904" s="10"/>
      <c r="AH5904" s="10"/>
      <c r="AI5904" s="10"/>
    </row>
    <row r="5905" spans="28:35" ht="15" hidden="1" customHeight="1">
      <c r="AB5905" s="9"/>
      <c r="AC5905" s="9"/>
      <c r="AD5905" s="9"/>
      <c r="AF5905" s="10"/>
      <c r="AG5905" s="10"/>
      <c r="AH5905" s="10"/>
      <c r="AI5905" s="10"/>
    </row>
    <row r="5906" spans="28:35" ht="15" hidden="1" customHeight="1">
      <c r="AB5906" s="9"/>
      <c r="AC5906" s="9"/>
      <c r="AD5906" s="9"/>
      <c r="AF5906" s="10"/>
      <c r="AG5906" s="10"/>
      <c r="AH5906" s="10"/>
      <c r="AI5906" s="10"/>
    </row>
    <row r="5907" spans="28:35" ht="15" hidden="1" customHeight="1">
      <c r="AB5907" s="9"/>
      <c r="AC5907" s="9"/>
      <c r="AD5907" s="9"/>
      <c r="AF5907" s="10"/>
      <c r="AG5907" s="10"/>
      <c r="AH5907" s="10"/>
      <c r="AI5907" s="10"/>
    </row>
    <row r="5908" spans="28:35" ht="15" hidden="1" customHeight="1">
      <c r="AB5908" s="9"/>
      <c r="AC5908" s="9"/>
      <c r="AD5908" s="9"/>
      <c r="AF5908" s="10"/>
      <c r="AG5908" s="10"/>
      <c r="AH5908" s="10"/>
      <c r="AI5908" s="10"/>
    </row>
    <row r="5909" spans="28:35" ht="15" hidden="1" customHeight="1">
      <c r="AB5909" s="9"/>
      <c r="AC5909" s="9"/>
      <c r="AD5909" s="9"/>
      <c r="AF5909" s="10"/>
      <c r="AG5909" s="10"/>
      <c r="AH5909" s="10"/>
      <c r="AI5909" s="10"/>
    </row>
    <row r="5910" spans="28:35" ht="15" hidden="1" customHeight="1">
      <c r="AB5910" s="9"/>
      <c r="AC5910" s="9"/>
      <c r="AD5910" s="9"/>
      <c r="AF5910" s="10"/>
      <c r="AG5910" s="10"/>
      <c r="AH5910" s="10"/>
      <c r="AI5910" s="10"/>
    </row>
    <row r="5911" spans="28:35" ht="15" hidden="1" customHeight="1">
      <c r="AB5911" s="9"/>
      <c r="AC5911" s="9"/>
      <c r="AD5911" s="9"/>
      <c r="AF5911" s="10"/>
      <c r="AG5911" s="10"/>
      <c r="AH5911" s="10"/>
      <c r="AI5911" s="10"/>
    </row>
    <row r="5912" spans="28:35" ht="15" hidden="1" customHeight="1">
      <c r="AB5912" s="9"/>
      <c r="AC5912" s="9"/>
      <c r="AD5912" s="9"/>
      <c r="AF5912" s="10"/>
      <c r="AG5912" s="10"/>
      <c r="AH5912" s="10"/>
      <c r="AI5912" s="10"/>
    </row>
    <row r="5913" spans="28:35" ht="15" hidden="1" customHeight="1">
      <c r="AB5913" s="9"/>
      <c r="AC5913" s="9"/>
      <c r="AD5913" s="9"/>
      <c r="AF5913" s="10"/>
      <c r="AG5913" s="10"/>
      <c r="AH5913" s="10"/>
      <c r="AI5913" s="10"/>
    </row>
    <row r="5914" spans="28:35" ht="15" hidden="1" customHeight="1">
      <c r="AB5914" s="9"/>
      <c r="AC5914" s="9"/>
      <c r="AD5914" s="9"/>
      <c r="AF5914" s="10"/>
      <c r="AG5914" s="10"/>
      <c r="AH5914" s="10"/>
      <c r="AI5914" s="10"/>
    </row>
    <row r="5915" spans="28:35" ht="15" hidden="1" customHeight="1">
      <c r="AB5915" s="9"/>
      <c r="AC5915" s="9"/>
      <c r="AD5915" s="9"/>
      <c r="AF5915" s="10"/>
      <c r="AG5915" s="10"/>
      <c r="AH5915" s="10"/>
      <c r="AI5915" s="10"/>
    </row>
    <row r="5916" spans="28:35" ht="15" hidden="1" customHeight="1">
      <c r="AB5916" s="9"/>
      <c r="AC5916" s="9"/>
      <c r="AD5916" s="9"/>
      <c r="AF5916" s="10"/>
      <c r="AG5916" s="10"/>
      <c r="AH5916" s="10"/>
      <c r="AI5916" s="10"/>
    </row>
    <row r="5917" spans="28:35" ht="15" hidden="1" customHeight="1">
      <c r="AB5917" s="9"/>
      <c r="AC5917" s="9"/>
      <c r="AD5917" s="9"/>
      <c r="AF5917" s="10"/>
      <c r="AG5917" s="10"/>
      <c r="AH5917" s="10"/>
      <c r="AI5917" s="10"/>
    </row>
    <row r="5918" spans="28:35" ht="15" hidden="1" customHeight="1">
      <c r="AB5918" s="9"/>
      <c r="AC5918" s="9"/>
      <c r="AD5918" s="9"/>
      <c r="AF5918" s="10"/>
      <c r="AG5918" s="10"/>
      <c r="AH5918" s="10"/>
      <c r="AI5918" s="10"/>
    </row>
    <row r="5919" spans="28:35" ht="15" hidden="1" customHeight="1">
      <c r="AB5919" s="9"/>
      <c r="AC5919" s="9"/>
      <c r="AD5919" s="9"/>
      <c r="AF5919" s="10"/>
      <c r="AG5919" s="10"/>
      <c r="AH5919" s="10"/>
      <c r="AI5919" s="10"/>
    </row>
    <row r="5920" spans="28:35" ht="15" hidden="1" customHeight="1">
      <c r="AB5920" s="9"/>
      <c r="AC5920" s="9"/>
      <c r="AD5920" s="9"/>
      <c r="AF5920" s="10"/>
      <c r="AG5920" s="10"/>
      <c r="AH5920" s="10"/>
      <c r="AI5920" s="10"/>
    </row>
    <row r="5921" spans="28:35" ht="15" hidden="1" customHeight="1">
      <c r="AB5921" s="9"/>
      <c r="AC5921" s="9"/>
      <c r="AD5921" s="9"/>
      <c r="AF5921" s="10"/>
      <c r="AG5921" s="10"/>
      <c r="AH5921" s="10"/>
      <c r="AI5921" s="10"/>
    </row>
    <row r="5922" spans="28:35" ht="15" hidden="1" customHeight="1">
      <c r="AB5922" s="9"/>
      <c r="AC5922" s="9"/>
      <c r="AD5922" s="9"/>
      <c r="AF5922" s="10"/>
      <c r="AG5922" s="10"/>
      <c r="AH5922" s="10"/>
      <c r="AI5922" s="10"/>
    </row>
    <row r="5923" spans="28:35" ht="15" hidden="1" customHeight="1">
      <c r="AB5923" s="9"/>
      <c r="AC5923" s="9"/>
      <c r="AD5923" s="9"/>
      <c r="AF5923" s="10"/>
      <c r="AG5923" s="10"/>
      <c r="AH5923" s="10"/>
      <c r="AI5923" s="10"/>
    </row>
    <row r="5924" spans="28:35" ht="15" hidden="1" customHeight="1">
      <c r="AB5924" s="9"/>
      <c r="AC5924" s="9"/>
      <c r="AD5924" s="9"/>
      <c r="AF5924" s="10"/>
      <c r="AG5924" s="10"/>
      <c r="AH5924" s="10"/>
      <c r="AI5924" s="10"/>
    </row>
    <row r="5925" spans="28:35" ht="15" hidden="1" customHeight="1">
      <c r="AB5925" s="9"/>
      <c r="AC5925" s="9"/>
      <c r="AD5925" s="9"/>
      <c r="AF5925" s="10"/>
      <c r="AG5925" s="10"/>
      <c r="AH5925" s="10"/>
      <c r="AI5925" s="10"/>
    </row>
    <row r="5926" spans="28:35" ht="15" hidden="1" customHeight="1">
      <c r="AB5926" s="9"/>
      <c r="AC5926" s="9"/>
      <c r="AD5926" s="9"/>
      <c r="AF5926" s="10"/>
      <c r="AG5926" s="10"/>
      <c r="AH5926" s="10"/>
      <c r="AI5926" s="10"/>
    </row>
    <row r="5927" spans="28:35" ht="15" hidden="1" customHeight="1">
      <c r="AB5927" s="9"/>
      <c r="AC5927" s="9"/>
      <c r="AD5927" s="9"/>
      <c r="AF5927" s="10"/>
      <c r="AG5927" s="10"/>
      <c r="AH5927" s="10"/>
      <c r="AI5927" s="10"/>
    </row>
    <row r="5928" spans="28:35" ht="15" hidden="1" customHeight="1">
      <c r="AB5928" s="9"/>
      <c r="AC5928" s="9"/>
      <c r="AD5928" s="9"/>
      <c r="AF5928" s="10"/>
      <c r="AG5928" s="10"/>
      <c r="AH5928" s="10"/>
      <c r="AI5928" s="10"/>
    </row>
    <row r="5929" spans="28:35" ht="15" hidden="1" customHeight="1">
      <c r="AB5929" s="9"/>
      <c r="AC5929" s="9"/>
      <c r="AD5929" s="9"/>
      <c r="AF5929" s="10"/>
      <c r="AG5929" s="10"/>
      <c r="AH5929" s="10"/>
      <c r="AI5929" s="10"/>
    </row>
    <row r="5930" spans="28:35" ht="15" hidden="1" customHeight="1">
      <c r="AB5930" s="9"/>
      <c r="AC5930" s="9"/>
      <c r="AD5930" s="9"/>
      <c r="AF5930" s="10"/>
      <c r="AG5930" s="10"/>
      <c r="AH5930" s="10"/>
      <c r="AI5930" s="10"/>
    </row>
    <row r="5931" spans="28:35" ht="15" hidden="1" customHeight="1">
      <c r="AB5931" s="9"/>
      <c r="AC5931" s="9"/>
      <c r="AD5931" s="9"/>
      <c r="AF5931" s="10"/>
      <c r="AG5931" s="10"/>
      <c r="AH5931" s="10"/>
      <c r="AI5931" s="10"/>
    </row>
    <row r="5932" spans="28:35" ht="15" hidden="1" customHeight="1">
      <c r="AB5932" s="9"/>
      <c r="AC5932" s="9"/>
      <c r="AD5932" s="9"/>
      <c r="AF5932" s="10"/>
      <c r="AG5932" s="10"/>
      <c r="AH5932" s="10"/>
      <c r="AI5932" s="10"/>
    </row>
    <row r="5933" spans="28:35" ht="15" hidden="1" customHeight="1">
      <c r="AB5933" s="9"/>
      <c r="AC5933" s="9"/>
      <c r="AD5933" s="9"/>
      <c r="AF5933" s="10"/>
      <c r="AG5933" s="10"/>
      <c r="AH5933" s="10"/>
      <c r="AI5933" s="10"/>
    </row>
    <row r="5934" spans="28:35" ht="15" hidden="1" customHeight="1">
      <c r="AB5934" s="9"/>
      <c r="AC5934" s="9"/>
      <c r="AD5934" s="9"/>
      <c r="AF5934" s="10"/>
      <c r="AG5934" s="10"/>
      <c r="AH5934" s="10"/>
      <c r="AI5934" s="10"/>
    </row>
    <row r="5935" spans="28:35" ht="15" hidden="1" customHeight="1">
      <c r="AB5935" s="9"/>
      <c r="AC5935" s="9"/>
      <c r="AD5935" s="9"/>
      <c r="AF5935" s="10"/>
      <c r="AG5935" s="10"/>
      <c r="AH5935" s="10"/>
      <c r="AI5935" s="10"/>
    </row>
    <row r="5936" spans="28:35" ht="15" hidden="1" customHeight="1">
      <c r="AB5936" s="9"/>
      <c r="AC5936" s="9"/>
      <c r="AD5936" s="9"/>
      <c r="AF5936" s="10"/>
      <c r="AG5936" s="10"/>
      <c r="AH5936" s="10"/>
      <c r="AI5936" s="10"/>
    </row>
    <row r="5937" spans="28:35" ht="15" hidden="1" customHeight="1">
      <c r="AB5937" s="9"/>
      <c r="AC5937" s="9"/>
      <c r="AD5937" s="9"/>
      <c r="AF5937" s="10"/>
      <c r="AG5937" s="10"/>
      <c r="AH5937" s="10"/>
      <c r="AI5937" s="10"/>
    </row>
    <row r="5938" spans="28:35" ht="15" hidden="1" customHeight="1">
      <c r="AB5938" s="9"/>
      <c r="AC5938" s="9"/>
      <c r="AD5938" s="9"/>
      <c r="AF5938" s="10"/>
      <c r="AG5938" s="10"/>
      <c r="AH5938" s="10"/>
      <c r="AI5938" s="10"/>
    </row>
    <row r="5939" spans="28:35" ht="15" hidden="1" customHeight="1">
      <c r="AB5939" s="9"/>
      <c r="AC5939" s="9"/>
      <c r="AD5939" s="9"/>
      <c r="AF5939" s="10"/>
      <c r="AG5939" s="10"/>
      <c r="AH5939" s="10"/>
      <c r="AI5939" s="10"/>
    </row>
    <row r="5940" spans="28:35" ht="15" hidden="1" customHeight="1">
      <c r="AB5940" s="9"/>
      <c r="AC5940" s="9"/>
      <c r="AD5940" s="9"/>
      <c r="AF5940" s="10"/>
      <c r="AG5940" s="10"/>
      <c r="AH5940" s="10"/>
      <c r="AI5940" s="10"/>
    </row>
    <row r="5941" spans="28:35" ht="15" hidden="1" customHeight="1">
      <c r="AB5941" s="9"/>
      <c r="AC5941" s="9"/>
      <c r="AD5941" s="9"/>
      <c r="AF5941" s="10"/>
      <c r="AG5941" s="10"/>
      <c r="AH5941" s="10"/>
      <c r="AI5941" s="10"/>
    </row>
    <row r="5942" spans="28:35" ht="15" hidden="1" customHeight="1">
      <c r="AB5942" s="9"/>
      <c r="AC5942" s="9"/>
      <c r="AD5942" s="9"/>
      <c r="AF5942" s="10"/>
      <c r="AG5942" s="10"/>
      <c r="AH5942" s="10"/>
      <c r="AI5942" s="10"/>
    </row>
    <row r="5943" spans="28:35" ht="15" hidden="1" customHeight="1">
      <c r="AB5943" s="9"/>
      <c r="AC5943" s="9"/>
      <c r="AD5943" s="9"/>
      <c r="AF5943" s="10"/>
      <c r="AG5943" s="10"/>
      <c r="AH5943" s="10"/>
      <c r="AI5943" s="10"/>
    </row>
    <row r="5944" spans="28:35" ht="15" hidden="1" customHeight="1">
      <c r="AB5944" s="9"/>
      <c r="AC5944" s="9"/>
      <c r="AD5944" s="9"/>
      <c r="AF5944" s="10"/>
      <c r="AG5944" s="10"/>
      <c r="AH5944" s="10"/>
      <c r="AI5944" s="10"/>
    </row>
    <row r="5945" spans="28:35" ht="15" hidden="1" customHeight="1">
      <c r="AB5945" s="9"/>
      <c r="AC5945" s="9"/>
      <c r="AD5945" s="9"/>
      <c r="AF5945" s="10"/>
      <c r="AG5945" s="10"/>
      <c r="AH5945" s="10"/>
      <c r="AI5945" s="10"/>
    </row>
    <row r="5946" spans="28:35" ht="15" hidden="1" customHeight="1">
      <c r="AB5946" s="9"/>
      <c r="AC5946" s="9"/>
      <c r="AD5946" s="9"/>
      <c r="AF5946" s="10"/>
      <c r="AG5946" s="10"/>
      <c r="AH5946" s="10"/>
      <c r="AI5946" s="10"/>
    </row>
    <row r="5947" spans="28:35" ht="15" hidden="1" customHeight="1">
      <c r="AB5947" s="9"/>
      <c r="AC5947" s="9"/>
      <c r="AD5947" s="9"/>
      <c r="AF5947" s="10"/>
      <c r="AG5947" s="10"/>
      <c r="AH5947" s="10"/>
      <c r="AI5947" s="10"/>
    </row>
    <row r="5948" spans="28:35" ht="15" hidden="1" customHeight="1">
      <c r="AB5948" s="9"/>
      <c r="AC5948" s="9"/>
      <c r="AD5948" s="9"/>
      <c r="AF5948" s="10"/>
      <c r="AG5948" s="10"/>
      <c r="AH5948" s="10"/>
      <c r="AI5948" s="10"/>
    </row>
    <row r="5949" spans="28:35" ht="15" hidden="1" customHeight="1">
      <c r="AB5949" s="9"/>
      <c r="AC5949" s="9"/>
      <c r="AD5949" s="9"/>
      <c r="AF5949" s="10"/>
      <c r="AG5949" s="10"/>
      <c r="AH5949" s="10"/>
      <c r="AI5949" s="10"/>
    </row>
    <row r="5950" spans="28:35" ht="15" hidden="1" customHeight="1">
      <c r="AB5950" s="9"/>
      <c r="AC5950" s="9"/>
      <c r="AD5950" s="9"/>
      <c r="AF5950" s="10"/>
      <c r="AG5950" s="10"/>
      <c r="AH5950" s="10"/>
      <c r="AI5950" s="10"/>
    </row>
    <row r="5951" spans="28:35" ht="15" hidden="1" customHeight="1">
      <c r="AB5951" s="9"/>
      <c r="AC5951" s="9"/>
      <c r="AD5951" s="9"/>
      <c r="AF5951" s="10"/>
      <c r="AG5951" s="10"/>
      <c r="AH5951" s="10"/>
      <c r="AI5951" s="10"/>
    </row>
    <row r="5952" spans="28:35" ht="15" hidden="1" customHeight="1">
      <c r="AB5952" s="9"/>
      <c r="AC5952" s="9"/>
      <c r="AD5952" s="9"/>
      <c r="AF5952" s="10"/>
      <c r="AG5952" s="10"/>
      <c r="AH5952" s="10"/>
      <c r="AI5952" s="10"/>
    </row>
    <row r="5953" spans="28:35" ht="15" hidden="1" customHeight="1">
      <c r="AB5953" s="9"/>
      <c r="AC5953" s="9"/>
      <c r="AD5953" s="9"/>
      <c r="AF5953" s="10"/>
      <c r="AG5953" s="10"/>
      <c r="AH5953" s="10"/>
      <c r="AI5953" s="10"/>
    </row>
    <row r="5954" spans="28:35" ht="15" hidden="1" customHeight="1">
      <c r="AB5954" s="9"/>
      <c r="AC5954" s="9"/>
      <c r="AD5954" s="9"/>
      <c r="AF5954" s="10"/>
      <c r="AG5954" s="10"/>
      <c r="AH5954" s="10"/>
      <c r="AI5954" s="10"/>
    </row>
    <row r="5955" spans="28:35" ht="15" hidden="1" customHeight="1">
      <c r="AB5955" s="9"/>
      <c r="AC5955" s="9"/>
      <c r="AD5955" s="9"/>
      <c r="AF5955" s="10"/>
      <c r="AG5955" s="10"/>
      <c r="AH5955" s="10"/>
      <c r="AI5955" s="10"/>
    </row>
    <row r="5956" spans="28:35" ht="15" hidden="1" customHeight="1">
      <c r="AB5956" s="9"/>
      <c r="AC5956" s="9"/>
      <c r="AD5956" s="9"/>
      <c r="AF5956" s="10"/>
      <c r="AG5956" s="10"/>
      <c r="AH5956" s="10"/>
      <c r="AI5956" s="10"/>
    </row>
    <row r="5957" spans="28:35" ht="15" hidden="1" customHeight="1">
      <c r="AB5957" s="9"/>
      <c r="AC5957" s="9"/>
      <c r="AD5957" s="9"/>
      <c r="AF5957" s="10"/>
      <c r="AG5957" s="10"/>
      <c r="AH5957" s="10"/>
      <c r="AI5957" s="10"/>
    </row>
    <row r="5958" spans="28:35" ht="15" hidden="1" customHeight="1">
      <c r="AB5958" s="9"/>
      <c r="AC5958" s="9"/>
      <c r="AD5958" s="9"/>
      <c r="AF5958" s="10"/>
      <c r="AG5958" s="10"/>
      <c r="AH5958" s="10"/>
      <c r="AI5958" s="10"/>
    </row>
    <row r="5959" spans="28:35" ht="15" hidden="1" customHeight="1">
      <c r="AB5959" s="9"/>
      <c r="AC5959" s="9"/>
      <c r="AD5959" s="9"/>
      <c r="AF5959" s="10"/>
      <c r="AG5959" s="10"/>
      <c r="AH5959" s="10"/>
      <c r="AI5959" s="10"/>
    </row>
    <row r="5960" spans="28:35" ht="15" hidden="1" customHeight="1">
      <c r="AB5960" s="9"/>
      <c r="AC5960" s="9"/>
      <c r="AD5960" s="9"/>
      <c r="AF5960" s="10"/>
      <c r="AG5960" s="10"/>
      <c r="AH5960" s="10"/>
      <c r="AI5960" s="10"/>
    </row>
    <row r="5961" spans="28:35" ht="15" hidden="1" customHeight="1">
      <c r="AB5961" s="9"/>
      <c r="AC5961" s="9"/>
      <c r="AD5961" s="9"/>
      <c r="AF5961" s="10"/>
      <c r="AG5961" s="10"/>
      <c r="AH5961" s="10"/>
      <c r="AI5961" s="10"/>
    </row>
    <row r="5962" spans="28:35" ht="15" hidden="1" customHeight="1">
      <c r="AB5962" s="9"/>
      <c r="AC5962" s="9"/>
      <c r="AD5962" s="9"/>
      <c r="AF5962" s="10"/>
      <c r="AG5962" s="10"/>
      <c r="AH5962" s="10"/>
      <c r="AI5962" s="10"/>
    </row>
    <row r="5963" spans="28:35" ht="15" hidden="1" customHeight="1">
      <c r="AB5963" s="9"/>
      <c r="AC5963" s="9"/>
      <c r="AD5963" s="9"/>
      <c r="AF5963" s="10"/>
      <c r="AG5963" s="10"/>
      <c r="AH5963" s="10"/>
      <c r="AI5963" s="10"/>
    </row>
    <row r="5964" spans="28:35" ht="15" hidden="1" customHeight="1">
      <c r="AB5964" s="9"/>
      <c r="AC5964" s="9"/>
      <c r="AD5964" s="9"/>
      <c r="AF5964" s="10"/>
      <c r="AG5964" s="10"/>
      <c r="AH5964" s="10"/>
      <c r="AI5964" s="10"/>
    </row>
    <row r="5965" spans="28:35" ht="15" hidden="1" customHeight="1">
      <c r="AB5965" s="9"/>
      <c r="AC5965" s="9"/>
      <c r="AD5965" s="9"/>
      <c r="AF5965" s="10"/>
      <c r="AG5965" s="10"/>
      <c r="AH5965" s="10"/>
      <c r="AI5965" s="10"/>
    </row>
    <row r="5966" spans="28:35" ht="15" hidden="1" customHeight="1">
      <c r="AB5966" s="9"/>
      <c r="AC5966" s="9"/>
      <c r="AD5966" s="9"/>
      <c r="AF5966" s="10"/>
      <c r="AG5966" s="10"/>
      <c r="AH5966" s="10"/>
      <c r="AI5966" s="10"/>
    </row>
    <row r="5967" spans="28:35" ht="15" hidden="1" customHeight="1">
      <c r="AB5967" s="9"/>
      <c r="AC5967" s="9"/>
      <c r="AD5967" s="9"/>
      <c r="AF5967" s="10"/>
      <c r="AG5967" s="10"/>
      <c r="AH5967" s="10"/>
      <c r="AI5967" s="10"/>
    </row>
    <row r="5968" spans="28:35" ht="15" hidden="1" customHeight="1">
      <c r="AB5968" s="9"/>
      <c r="AC5968" s="9"/>
      <c r="AD5968" s="9"/>
      <c r="AF5968" s="10"/>
      <c r="AG5968" s="10"/>
      <c r="AH5968" s="10"/>
      <c r="AI5968" s="10"/>
    </row>
    <row r="5969" spans="28:35" ht="15" hidden="1" customHeight="1">
      <c r="AB5969" s="9"/>
      <c r="AC5969" s="9"/>
      <c r="AD5969" s="9"/>
      <c r="AF5969" s="10"/>
      <c r="AG5969" s="10"/>
      <c r="AH5969" s="10"/>
      <c r="AI5969" s="10"/>
    </row>
    <row r="5970" spans="28:35" ht="15" hidden="1" customHeight="1">
      <c r="AB5970" s="9"/>
      <c r="AC5970" s="9"/>
      <c r="AD5970" s="9"/>
      <c r="AF5970" s="10"/>
      <c r="AG5970" s="10"/>
      <c r="AH5970" s="10"/>
      <c r="AI5970" s="10"/>
    </row>
    <row r="5971" spans="28:35" ht="15" hidden="1" customHeight="1">
      <c r="AB5971" s="9"/>
      <c r="AC5971" s="9"/>
      <c r="AD5971" s="9"/>
      <c r="AF5971" s="10"/>
      <c r="AG5971" s="10"/>
      <c r="AH5971" s="10"/>
      <c r="AI5971" s="10"/>
    </row>
    <row r="5972" spans="28:35" ht="15" hidden="1" customHeight="1">
      <c r="AB5972" s="9"/>
      <c r="AC5972" s="9"/>
      <c r="AD5972" s="9"/>
      <c r="AF5972" s="10"/>
      <c r="AG5972" s="10"/>
      <c r="AH5972" s="10"/>
      <c r="AI5972" s="10"/>
    </row>
    <row r="5973" spans="28:35" ht="15" hidden="1" customHeight="1">
      <c r="AB5973" s="9"/>
      <c r="AC5973" s="9"/>
      <c r="AD5973" s="9"/>
      <c r="AF5973" s="10"/>
      <c r="AG5973" s="10"/>
      <c r="AH5973" s="10"/>
      <c r="AI5973" s="10"/>
    </row>
    <row r="5974" spans="28:35" ht="15" hidden="1" customHeight="1">
      <c r="AB5974" s="9"/>
      <c r="AC5974" s="9"/>
      <c r="AD5974" s="9"/>
      <c r="AF5974" s="10"/>
      <c r="AG5974" s="10"/>
      <c r="AH5974" s="10"/>
      <c r="AI5974" s="10"/>
    </row>
    <row r="5975" spans="28:35" ht="15" hidden="1" customHeight="1">
      <c r="AB5975" s="9"/>
      <c r="AC5975" s="9"/>
      <c r="AD5975" s="9"/>
      <c r="AF5975" s="10"/>
      <c r="AG5975" s="10"/>
      <c r="AH5975" s="10"/>
      <c r="AI5975" s="10"/>
    </row>
    <row r="5976" spans="28:35" ht="15" hidden="1" customHeight="1">
      <c r="AB5976" s="9"/>
      <c r="AC5976" s="9"/>
      <c r="AD5976" s="9"/>
      <c r="AF5976" s="10"/>
      <c r="AG5976" s="10"/>
      <c r="AH5976" s="10"/>
      <c r="AI5976" s="10"/>
    </row>
    <row r="5977" spans="28:35" ht="15" hidden="1" customHeight="1">
      <c r="AB5977" s="9"/>
      <c r="AC5977" s="9"/>
      <c r="AD5977" s="9"/>
      <c r="AF5977" s="10"/>
      <c r="AG5977" s="10"/>
      <c r="AH5977" s="10"/>
      <c r="AI5977" s="10"/>
    </row>
    <row r="5978" spans="28:35" ht="15" hidden="1" customHeight="1">
      <c r="AB5978" s="9"/>
      <c r="AC5978" s="9"/>
      <c r="AD5978" s="9"/>
      <c r="AF5978" s="10"/>
      <c r="AG5978" s="10"/>
      <c r="AH5978" s="10"/>
      <c r="AI5978" s="10"/>
    </row>
    <row r="5979" spans="28:35" ht="15" hidden="1" customHeight="1">
      <c r="AB5979" s="9"/>
      <c r="AC5979" s="9"/>
      <c r="AD5979" s="9"/>
      <c r="AF5979" s="10"/>
      <c r="AG5979" s="10"/>
      <c r="AH5979" s="10"/>
      <c r="AI5979" s="10"/>
    </row>
    <row r="5980" spans="28:35" ht="15" hidden="1" customHeight="1">
      <c r="AB5980" s="9"/>
      <c r="AC5980" s="9"/>
      <c r="AD5980" s="9"/>
      <c r="AF5980" s="10"/>
      <c r="AG5980" s="10"/>
      <c r="AH5980" s="10"/>
      <c r="AI5980" s="10"/>
    </row>
    <row r="5981" spans="28:35" ht="15" hidden="1" customHeight="1">
      <c r="AB5981" s="9"/>
      <c r="AC5981" s="9"/>
      <c r="AD5981" s="9"/>
      <c r="AF5981" s="10"/>
      <c r="AG5981" s="10"/>
      <c r="AH5981" s="10"/>
      <c r="AI5981" s="10"/>
    </row>
    <row r="5982" spans="28:35" ht="15" hidden="1" customHeight="1">
      <c r="AB5982" s="9"/>
      <c r="AC5982" s="9"/>
      <c r="AD5982" s="9"/>
      <c r="AF5982" s="10"/>
      <c r="AG5982" s="10"/>
      <c r="AH5982" s="10"/>
      <c r="AI5982" s="10"/>
    </row>
    <row r="5983" spans="28:35" ht="15" hidden="1" customHeight="1">
      <c r="AB5983" s="9"/>
      <c r="AC5983" s="9"/>
      <c r="AD5983" s="9"/>
      <c r="AF5983" s="10"/>
      <c r="AG5983" s="10"/>
      <c r="AH5983" s="10"/>
      <c r="AI5983" s="10"/>
    </row>
    <row r="5984" spans="28:35" ht="15" hidden="1" customHeight="1">
      <c r="AB5984" s="9"/>
      <c r="AC5984" s="9"/>
      <c r="AD5984" s="9"/>
      <c r="AF5984" s="10"/>
      <c r="AG5984" s="10"/>
      <c r="AH5984" s="10"/>
      <c r="AI5984" s="10"/>
    </row>
    <row r="5985" spans="28:35" ht="15" hidden="1" customHeight="1">
      <c r="AB5985" s="9"/>
      <c r="AC5985" s="9"/>
      <c r="AD5985" s="9"/>
      <c r="AF5985" s="10"/>
      <c r="AG5985" s="10"/>
      <c r="AH5985" s="10"/>
      <c r="AI5985" s="10"/>
    </row>
    <row r="5986" spans="28:35" ht="15" hidden="1" customHeight="1">
      <c r="AB5986" s="9"/>
      <c r="AC5986" s="9"/>
      <c r="AD5986" s="9"/>
      <c r="AF5986" s="10"/>
      <c r="AG5986" s="10"/>
      <c r="AH5986" s="10"/>
      <c r="AI5986" s="10"/>
    </row>
    <row r="5987" spans="28:35" ht="15" hidden="1" customHeight="1">
      <c r="AB5987" s="9"/>
      <c r="AC5987" s="9"/>
      <c r="AD5987" s="9"/>
      <c r="AF5987" s="10"/>
      <c r="AG5987" s="10"/>
      <c r="AH5987" s="10"/>
      <c r="AI5987" s="10"/>
    </row>
    <row r="5988" spans="28:35" ht="15" hidden="1" customHeight="1">
      <c r="AB5988" s="9"/>
      <c r="AC5988" s="9"/>
      <c r="AD5988" s="9"/>
      <c r="AF5988" s="10"/>
      <c r="AG5988" s="10"/>
      <c r="AH5988" s="10"/>
      <c r="AI5988" s="10"/>
    </row>
    <row r="5989" spans="28:35" ht="15" hidden="1" customHeight="1">
      <c r="AB5989" s="9"/>
      <c r="AC5989" s="9"/>
      <c r="AD5989" s="9"/>
      <c r="AF5989" s="10"/>
      <c r="AG5989" s="10"/>
      <c r="AH5989" s="10"/>
      <c r="AI5989" s="10"/>
    </row>
    <row r="5990" spans="28:35" ht="15" hidden="1" customHeight="1">
      <c r="AB5990" s="9"/>
      <c r="AC5990" s="9"/>
      <c r="AD5990" s="9"/>
      <c r="AF5990" s="10"/>
      <c r="AG5990" s="10"/>
      <c r="AH5990" s="10"/>
      <c r="AI5990" s="10"/>
    </row>
    <row r="5991" spans="28:35" ht="15" hidden="1" customHeight="1">
      <c r="AB5991" s="9"/>
      <c r="AC5991" s="9"/>
      <c r="AD5991" s="9"/>
      <c r="AF5991" s="10"/>
      <c r="AG5991" s="10"/>
      <c r="AH5991" s="10"/>
      <c r="AI5991" s="10"/>
    </row>
    <row r="5992" spans="28:35" ht="15" hidden="1" customHeight="1">
      <c r="AB5992" s="9"/>
      <c r="AC5992" s="9"/>
      <c r="AD5992" s="9"/>
      <c r="AF5992" s="10"/>
      <c r="AG5992" s="10"/>
      <c r="AH5992" s="10"/>
      <c r="AI5992" s="10"/>
    </row>
    <row r="5993" spans="28:35" ht="15" hidden="1" customHeight="1">
      <c r="AB5993" s="9"/>
      <c r="AC5993" s="9"/>
      <c r="AD5993" s="9"/>
      <c r="AF5993" s="10"/>
      <c r="AG5993" s="10"/>
      <c r="AH5993" s="10"/>
      <c r="AI5993" s="10"/>
    </row>
    <row r="5994" spans="28:35" ht="15" hidden="1" customHeight="1">
      <c r="AB5994" s="9"/>
      <c r="AC5994" s="9"/>
      <c r="AD5994" s="9"/>
      <c r="AF5994" s="10"/>
      <c r="AG5994" s="10"/>
      <c r="AH5994" s="10"/>
      <c r="AI5994" s="10"/>
    </row>
    <row r="5995" spans="28:35" ht="15" hidden="1" customHeight="1">
      <c r="AB5995" s="9"/>
      <c r="AC5995" s="9"/>
      <c r="AD5995" s="9"/>
      <c r="AF5995" s="10"/>
      <c r="AG5995" s="10"/>
      <c r="AH5995" s="10"/>
      <c r="AI5995" s="10"/>
    </row>
    <row r="5996" spans="28:35" ht="15" hidden="1" customHeight="1">
      <c r="AB5996" s="9"/>
      <c r="AC5996" s="9"/>
      <c r="AD5996" s="9"/>
      <c r="AF5996" s="10"/>
      <c r="AG5996" s="10"/>
      <c r="AH5996" s="10"/>
      <c r="AI5996" s="10"/>
    </row>
    <row r="5997" spans="28:35" ht="15" hidden="1" customHeight="1">
      <c r="AB5997" s="9"/>
      <c r="AC5997" s="9"/>
      <c r="AD5997" s="9"/>
      <c r="AF5997" s="10"/>
      <c r="AG5997" s="10"/>
      <c r="AH5997" s="10"/>
      <c r="AI5997" s="10"/>
    </row>
    <row r="5998" spans="28:35" ht="15" hidden="1" customHeight="1">
      <c r="AB5998" s="9"/>
      <c r="AC5998" s="9"/>
      <c r="AD5998" s="9"/>
      <c r="AF5998" s="10"/>
      <c r="AG5998" s="10"/>
      <c r="AH5998" s="10"/>
      <c r="AI5998" s="10"/>
    </row>
    <row r="5999" spans="28:35" ht="15" hidden="1" customHeight="1">
      <c r="AB5999" s="9"/>
      <c r="AC5999" s="9"/>
      <c r="AD5999" s="9"/>
      <c r="AF5999" s="10"/>
      <c r="AG5999" s="10"/>
      <c r="AH5999" s="10"/>
      <c r="AI5999" s="10"/>
    </row>
    <row r="6000" spans="28:35" ht="15" hidden="1" customHeight="1">
      <c r="AB6000" s="9"/>
      <c r="AC6000" s="9"/>
      <c r="AD6000" s="9"/>
      <c r="AF6000" s="10"/>
      <c r="AG6000" s="10"/>
      <c r="AH6000" s="10"/>
      <c r="AI6000" s="10"/>
    </row>
    <row r="6001" spans="28:35" ht="15" hidden="1" customHeight="1">
      <c r="AB6001" s="9"/>
      <c r="AC6001" s="9"/>
      <c r="AD6001" s="9"/>
      <c r="AF6001" s="10"/>
      <c r="AG6001" s="10"/>
      <c r="AH6001" s="10"/>
      <c r="AI6001" s="10"/>
    </row>
    <row r="6002" spans="28:35" ht="15" hidden="1" customHeight="1">
      <c r="AB6002" s="9"/>
      <c r="AC6002" s="9"/>
      <c r="AD6002" s="9"/>
      <c r="AF6002" s="10"/>
      <c r="AG6002" s="10"/>
      <c r="AH6002" s="10"/>
      <c r="AI6002" s="10"/>
    </row>
    <row r="6003" spans="28:35" ht="15" hidden="1" customHeight="1">
      <c r="AB6003" s="9"/>
      <c r="AC6003" s="9"/>
      <c r="AD6003" s="9"/>
      <c r="AF6003" s="10"/>
      <c r="AG6003" s="10"/>
      <c r="AH6003" s="10"/>
      <c r="AI6003" s="10"/>
    </row>
    <row r="6004" spans="28:35" ht="15" hidden="1" customHeight="1">
      <c r="AB6004" s="9"/>
      <c r="AC6004" s="9"/>
      <c r="AD6004" s="9"/>
      <c r="AF6004" s="10"/>
      <c r="AG6004" s="10"/>
      <c r="AH6004" s="10"/>
      <c r="AI6004" s="10"/>
    </row>
    <row r="6005" spans="28:35" ht="15" hidden="1" customHeight="1">
      <c r="AB6005" s="9"/>
      <c r="AC6005" s="9"/>
      <c r="AD6005" s="9"/>
      <c r="AF6005" s="10"/>
      <c r="AG6005" s="10"/>
      <c r="AH6005" s="10"/>
      <c r="AI6005" s="10"/>
    </row>
    <row r="6006" spans="28:35" ht="15" hidden="1" customHeight="1">
      <c r="AB6006" s="9"/>
      <c r="AC6006" s="9"/>
      <c r="AD6006" s="9"/>
      <c r="AF6006" s="10"/>
      <c r="AG6006" s="10"/>
      <c r="AH6006" s="10"/>
      <c r="AI6006" s="10"/>
    </row>
    <row r="6007" spans="28:35" ht="15" hidden="1" customHeight="1">
      <c r="AB6007" s="9"/>
      <c r="AC6007" s="9"/>
      <c r="AD6007" s="9"/>
      <c r="AF6007" s="10"/>
      <c r="AG6007" s="10"/>
      <c r="AH6007" s="10"/>
      <c r="AI6007" s="10"/>
    </row>
    <row r="6008" spans="28:35" ht="15" hidden="1" customHeight="1">
      <c r="AB6008" s="9"/>
      <c r="AC6008" s="9"/>
      <c r="AD6008" s="9"/>
      <c r="AF6008" s="10"/>
      <c r="AG6008" s="10"/>
      <c r="AH6008" s="10"/>
      <c r="AI6008" s="10"/>
    </row>
    <row r="6009" spans="28:35" ht="15" hidden="1" customHeight="1">
      <c r="AB6009" s="9"/>
      <c r="AC6009" s="9"/>
      <c r="AD6009" s="9"/>
      <c r="AF6009" s="10"/>
      <c r="AG6009" s="10"/>
      <c r="AH6009" s="10"/>
      <c r="AI6009" s="10"/>
    </row>
    <row r="6010" spans="28:35" ht="15" hidden="1" customHeight="1">
      <c r="AB6010" s="9"/>
      <c r="AC6010" s="9"/>
      <c r="AD6010" s="9"/>
      <c r="AF6010" s="10"/>
      <c r="AG6010" s="10"/>
      <c r="AH6010" s="10"/>
      <c r="AI6010" s="10"/>
    </row>
    <row r="6011" spans="28:35" ht="15" hidden="1" customHeight="1">
      <c r="AB6011" s="9"/>
      <c r="AC6011" s="9"/>
      <c r="AD6011" s="9"/>
      <c r="AF6011" s="10"/>
      <c r="AG6011" s="10"/>
      <c r="AH6011" s="10"/>
      <c r="AI6011" s="10"/>
    </row>
    <row r="6012" spans="28:35" ht="15" hidden="1" customHeight="1">
      <c r="AB6012" s="9"/>
      <c r="AC6012" s="9"/>
      <c r="AD6012" s="9"/>
      <c r="AF6012" s="10"/>
      <c r="AG6012" s="10"/>
      <c r="AH6012" s="10"/>
      <c r="AI6012" s="10"/>
    </row>
    <row r="6013" spans="28:35" ht="15" hidden="1" customHeight="1">
      <c r="AB6013" s="9"/>
      <c r="AC6013" s="9"/>
      <c r="AD6013" s="9"/>
      <c r="AF6013" s="10"/>
      <c r="AG6013" s="10"/>
      <c r="AH6013" s="10"/>
      <c r="AI6013" s="10"/>
    </row>
    <row r="6014" spans="28:35" ht="15" hidden="1" customHeight="1">
      <c r="AB6014" s="9"/>
      <c r="AC6014" s="9"/>
      <c r="AD6014" s="9"/>
      <c r="AF6014" s="10"/>
      <c r="AG6014" s="10"/>
      <c r="AH6014" s="10"/>
      <c r="AI6014" s="10"/>
    </row>
    <row r="6015" spans="28:35" ht="15" hidden="1" customHeight="1">
      <c r="AB6015" s="9"/>
      <c r="AC6015" s="9"/>
      <c r="AD6015" s="9"/>
      <c r="AF6015" s="10"/>
      <c r="AG6015" s="10"/>
      <c r="AH6015" s="10"/>
      <c r="AI6015" s="10"/>
    </row>
    <row r="6016" spans="28:35" ht="15" hidden="1" customHeight="1">
      <c r="AB6016" s="9"/>
      <c r="AC6016" s="9"/>
      <c r="AD6016" s="9"/>
      <c r="AF6016" s="10"/>
      <c r="AG6016" s="10"/>
      <c r="AH6016" s="10"/>
      <c r="AI6016" s="10"/>
    </row>
    <row r="6017" spans="28:35" ht="15" hidden="1" customHeight="1">
      <c r="AB6017" s="9"/>
      <c r="AC6017" s="9"/>
      <c r="AD6017" s="9"/>
      <c r="AF6017" s="10"/>
      <c r="AG6017" s="10"/>
      <c r="AH6017" s="10"/>
      <c r="AI6017" s="10"/>
    </row>
    <row r="6018" spans="28:35" ht="15" hidden="1" customHeight="1">
      <c r="AB6018" s="9"/>
      <c r="AC6018" s="9"/>
      <c r="AD6018" s="9"/>
      <c r="AF6018" s="10"/>
      <c r="AG6018" s="10"/>
      <c r="AH6018" s="10"/>
      <c r="AI6018" s="10"/>
    </row>
    <row r="6019" spans="28:35" ht="15" hidden="1" customHeight="1">
      <c r="AB6019" s="9"/>
      <c r="AC6019" s="9"/>
      <c r="AD6019" s="9"/>
      <c r="AF6019" s="10"/>
      <c r="AG6019" s="10"/>
      <c r="AH6019" s="10"/>
      <c r="AI6019" s="10"/>
    </row>
    <row r="6020" spans="28:35" ht="15" hidden="1" customHeight="1">
      <c r="AB6020" s="9"/>
      <c r="AC6020" s="9"/>
      <c r="AD6020" s="9"/>
      <c r="AF6020" s="10"/>
      <c r="AG6020" s="10"/>
      <c r="AH6020" s="10"/>
      <c r="AI6020" s="10"/>
    </row>
    <row r="6021" spans="28:35" ht="15" hidden="1" customHeight="1">
      <c r="AB6021" s="9"/>
      <c r="AC6021" s="9"/>
      <c r="AD6021" s="9"/>
      <c r="AF6021" s="10"/>
      <c r="AG6021" s="10"/>
      <c r="AH6021" s="10"/>
      <c r="AI6021" s="10"/>
    </row>
    <row r="6022" spans="28:35" ht="15" hidden="1" customHeight="1">
      <c r="AB6022" s="9"/>
      <c r="AC6022" s="9"/>
      <c r="AD6022" s="9"/>
      <c r="AF6022" s="10"/>
      <c r="AG6022" s="10"/>
      <c r="AH6022" s="10"/>
      <c r="AI6022" s="10"/>
    </row>
    <row r="6023" spans="28:35" ht="15" hidden="1" customHeight="1">
      <c r="AB6023" s="9"/>
      <c r="AC6023" s="9"/>
      <c r="AD6023" s="9"/>
      <c r="AF6023" s="10"/>
      <c r="AG6023" s="10"/>
      <c r="AH6023" s="10"/>
      <c r="AI6023" s="10"/>
    </row>
    <row r="6024" spans="28:35" ht="15" hidden="1" customHeight="1">
      <c r="AB6024" s="9"/>
      <c r="AC6024" s="9"/>
      <c r="AD6024" s="9"/>
      <c r="AF6024" s="10"/>
      <c r="AG6024" s="10"/>
      <c r="AH6024" s="10"/>
      <c r="AI6024" s="10"/>
    </row>
    <row r="6025" spans="28:35" ht="15" hidden="1" customHeight="1">
      <c r="AB6025" s="9"/>
      <c r="AC6025" s="9"/>
      <c r="AD6025" s="9"/>
      <c r="AF6025" s="10"/>
      <c r="AG6025" s="10"/>
      <c r="AH6025" s="10"/>
      <c r="AI6025" s="10"/>
    </row>
    <row r="6026" spans="28:35" ht="15" hidden="1" customHeight="1">
      <c r="AB6026" s="9"/>
      <c r="AC6026" s="9"/>
      <c r="AD6026" s="9"/>
      <c r="AF6026" s="10"/>
      <c r="AG6026" s="10"/>
      <c r="AH6026" s="10"/>
      <c r="AI6026" s="10"/>
    </row>
    <row r="6027" spans="28:35" ht="15" hidden="1" customHeight="1">
      <c r="AB6027" s="9"/>
      <c r="AC6027" s="9"/>
      <c r="AD6027" s="9"/>
      <c r="AF6027" s="10"/>
      <c r="AG6027" s="10"/>
      <c r="AH6027" s="10"/>
      <c r="AI6027" s="10"/>
    </row>
    <row r="6028" spans="28:35" ht="15" hidden="1" customHeight="1">
      <c r="AB6028" s="9"/>
      <c r="AC6028" s="9"/>
      <c r="AD6028" s="9"/>
      <c r="AF6028" s="10"/>
      <c r="AG6028" s="10"/>
      <c r="AH6028" s="10"/>
      <c r="AI6028" s="10"/>
    </row>
    <row r="6029" spans="28:35" ht="15" hidden="1" customHeight="1">
      <c r="AB6029" s="9"/>
      <c r="AC6029" s="9"/>
      <c r="AD6029" s="9"/>
      <c r="AF6029" s="10"/>
      <c r="AG6029" s="10"/>
      <c r="AH6029" s="10"/>
      <c r="AI6029" s="10"/>
    </row>
    <row r="6030" spans="28:35" ht="15" hidden="1" customHeight="1">
      <c r="AB6030" s="9"/>
      <c r="AC6030" s="9"/>
      <c r="AD6030" s="9"/>
      <c r="AF6030" s="10"/>
      <c r="AG6030" s="10"/>
      <c r="AH6030" s="10"/>
      <c r="AI6030" s="10"/>
    </row>
    <row r="6031" spans="28:35" ht="15" hidden="1" customHeight="1">
      <c r="AB6031" s="9"/>
      <c r="AC6031" s="9"/>
      <c r="AD6031" s="9"/>
      <c r="AF6031" s="10"/>
      <c r="AG6031" s="10"/>
      <c r="AH6031" s="10"/>
      <c r="AI6031" s="10"/>
    </row>
    <row r="6032" spans="28:35" ht="15" hidden="1" customHeight="1">
      <c r="AB6032" s="9"/>
      <c r="AC6032" s="9"/>
      <c r="AD6032" s="9"/>
      <c r="AF6032" s="10"/>
      <c r="AG6032" s="10"/>
      <c r="AH6032" s="10"/>
      <c r="AI6032" s="10"/>
    </row>
    <row r="6033" spans="28:35" ht="15" hidden="1" customHeight="1">
      <c r="AB6033" s="9"/>
      <c r="AC6033" s="9"/>
      <c r="AD6033" s="9"/>
      <c r="AF6033" s="10"/>
      <c r="AG6033" s="10"/>
      <c r="AH6033" s="10"/>
      <c r="AI6033" s="10"/>
    </row>
    <row r="6034" spans="28:35" ht="15" hidden="1" customHeight="1">
      <c r="AB6034" s="9"/>
      <c r="AC6034" s="9"/>
      <c r="AD6034" s="9"/>
      <c r="AF6034" s="10"/>
      <c r="AG6034" s="10"/>
      <c r="AH6034" s="10"/>
      <c r="AI6034" s="10"/>
    </row>
    <row r="6035" spans="28:35" ht="15" hidden="1" customHeight="1">
      <c r="AB6035" s="9"/>
      <c r="AC6035" s="9"/>
      <c r="AD6035" s="9"/>
      <c r="AF6035" s="10"/>
      <c r="AG6035" s="10"/>
      <c r="AH6035" s="10"/>
      <c r="AI6035" s="10"/>
    </row>
    <row r="6036" spans="28:35" ht="15" hidden="1" customHeight="1">
      <c r="AB6036" s="9"/>
      <c r="AC6036" s="9"/>
      <c r="AD6036" s="9"/>
      <c r="AF6036" s="10"/>
      <c r="AG6036" s="10"/>
      <c r="AH6036" s="10"/>
      <c r="AI6036" s="10"/>
    </row>
    <row r="6037" spans="28:35" ht="15" hidden="1" customHeight="1">
      <c r="AB6037" s="9"/>
      <c r="AC6037" s="9"/>
      <c r="AD6037" s="9"/>
      <c r="AF6037" s="10"/>
      <c r="AG6037" s="10"/>
      <c r="AH6037" s="10"/>
      <c r="AI6037" s="10"/>
    </row>
    <row r="6038" spans="28:35" ht="15" hidden="1" customHeight="1">
      <c r="AB6038" s="9"/>
      <c r="AC6038" s="9"/>
      <c r="AD6038" s="9"/>
      <c r="AF6038" s="10"/>
      <c r="AG6038" s="10"/>
      <c r="AH6038" s="10"/>
      <c r="AI6038" s="10"/>
    </row>
    <row r="6039" spans="28:35" ht="15" hidden="1" customHeight="1">
      <c r="AB6039" s="9"/>
      <c r="AC6039" s="9"/>
      <c r="AD6039" s="9"/>
      <c r="AF6039" s="10"/>
      <c r="AG6039" s="10"/>
      <c r="AH6039" s="10"/>
      <c r="AI6039" s="10"/>
    </row>
    <row r="6040" spans="28:35" ht="15" hidden="1" customHeight="1">
      <c r="AB6040" s="9"/>
      <c r="AC6040" s="9"/>
      <c r="AD6040" s="9"/>
      <c r="AF6040" s="10"/>
      <c r="AG6040" s="10"/>
      <c r="AH6040" s="10"/>
      <c r="AI6040" s="10"/>
    </row>
    <row r="6041" spans="28:35" ht="15" hidden="1" customHeight="1">
      <c r="AB6041" s="9"/>
      <c r="AC6041" s="9"/>
      <c r="AD6041" s="9"/>
      <c r="AF6041" s="10"/>
      <c r="AG6041" s="10"/>
      <c r="AH6041" s="10"/>
      <c r="AI6041" s="10"/>
    </row>
    <row r="6042" spans="28:35" ht="15" hidden="1" customHeight="1">
      <c r="AB6042" s="9"/>
      <c r="AC6042" s="9"/>
      <c r="AD6042" s="9"/>
      <c r="AF6042" s="10"/>
      <c r="AG6042" s="10"/>
      <c r="AH6042" s="10"/>
      <c r="AI6042" s="10"/>
    </row>
    <row r="6043" spans="28:35" ht="15" hidden="1" customHeight="1">
      <c r="AB6043" s="9"/>
      <c r="AC6043" s="9"/>
      <c r="AD6043" s="9"/>
      <c r="AF6043" s="10"/>
      <c r="AG6043" s="10"/>
      <c r="AH6043" s="10"/>
      <c r="AI6043" s="10"/>
    </row>
    <row r="6044" spans="28:35" ht="15" hidden="1" customHeight="1">
      <c r="AB6044" s="9"/>
      <c r="AC6044" s="9"/>
      <c r="AD6044" s="9"/>
      <c r="AF6044" s="10"/>
      <c r="AG6044" s="10"/>
      <c r="AH6044" s="10"/>
      <c r="AI6044" s="10"/>
    </row>
    <row r="6045" spans="28:35" ht="15" hidden="1" customHeight="1">
      <c r="AB6045" s="9"/>
      <c r="AC6045" s="9"/>
      <c r="AD6045" s="9"/>
      <c r="AF6045" s="10"/>
      <c r="AG6045" s="10"/>
      <c r="AH6045" s="10"/>
      <c r="AI6045" s="10"/>
    </row>
    <row r="6046" spans="28:35" ht="15" hidden="1" customHeight="1">
      <c r="AB6046" s="9"/>
      <c r="AC6046" s="9"/>
      <c r="AD6046" s="9"/>
      <c r="AF6046" s="10"/>
      <c r="AG6046" s="10"/>
      <c r="AH6046" s="10"/>
      <c r="AI6046" s="10"/>
    </row>
    <row r="6047" spans="28:35" ht="15" hidden="1" customHeight="1">
      <c r="AB6047" s="9"/>
      <c r="AC6047" s="9"/>
      <c r="AD6047" s="9"/>
      <c r="AF6047" s="10"/>
      <c r="AG6047" s="10"/>
      <c r="AH6047" s="10"/>
      <c r="AI6047" s="10"/>
    </row>
    <row r="6048" spans="28:35" ht="15" hidden="1" customHeight="1">
      <c r="AB6048" s="9"/>
      <c r="AC6048" s="9"/>
      <c r="AD6048" s="9"/>
      <c r="AF6048" s="10"/>
      <c r="AG6048" s="10"/>
      <c r="AH6048" s="10"/>
      <c r="AI6048" s="10"/>
    </row>
    <row r="6049" spans="28:35" ht="15" hidden="1" customHeight="1">
      <c r="AB6049" s="9"/>
      <c r="AC6049" s="9"/>
      <c r="AD6049" s="9"/>
      <c r="AF6049" s="10"/>
      <c r="AG6049" s="10"/>
      <c r="AH6049" s="10"/>
      <c r="AI6049" s="10"/>
    </row>
    <row r="6050" spans="28:35" ht="15" hidden="1" customHeight="1">
      <c r="AB6050" s="9"/>
      <c r="AC6050" s="9"/>
      <c r="AD6050" s="9"/>
      <c r="AF6050" s="10"/>
      <c r="AG6050" s="10"/>
      <c r="AH6050" s="10"/>
      <c r="AI6050" s="10"/>
    </row>
    <row r="6051" spans="28:35" ht="15" hidden="1" customHeight="1">
      <c r="AB6051" s="9"/>
      <c r="AC6051" s="9"/>
      <c r="AD6051" s="9"/>
      <c r="AF6051" s="10"/>
      <c r="AG6051" s="10"/>
      <c r="AH6051" s="10"/>
      <c r="AI6051" s="10"/>
    </row>
    <row r="6052" spans="28:35" ht="15" hidden="1" customHeight="1">
      <c r="AB6052" s="9"/>
      <c r="AC6052" s="9"/>
      <c r="AD6052" s="9"/>
      <c r="AF6052" s="10"/>
      <c r="AG6052" s="10"/>
      <c r="AH6052" s="10"/>
      <c r="AI6052" s="10"/>
    </row>
    <row r="6053" spans="28:35" ht="15" hidden="1" customHeight="1">
      <c r="AB6053" s="9"/>
      <c r="AC6053" s="9"/>
      <c r="AD6053" s="9"/>
      <c r="AF6053" s="10"/>
      <c r="AG6053" s="10"/>
      <c r="AH6053" s="10"/>
      <c r="AI6053" s="10"/>
    </row>
    <row r="6054" spans="28:35" ht="15" hidden="1" customHeight="1">
      <c r="AB6054" s="9"/>
      <c r="AC6054" s="9"/>
      <c r="AD6054" s="9"/>
      <c r="AF6054" s="10"/>
      <c r="AG6054" s="10"/>
      <c r="AH6054" s="10"/>
      <c r="AI6054" s="10"/>
    </row>
    <row r="6055" spans="28:35" ht="15" hidden="1" customHeight="1">
      <c r="AB6055" s="9"/>
      <c r="AC6055" s="9"/>
      <c r="AD6055" s="9"/>
      <c r="AF6055" s="10"/>
      <c r="AG6055" s="10"/>
      <c r="AH6055" s="10"/>
      <c r="AI6055" s="10"/>
    </row>
    <row r="6056" spans="28:35" ht="15" hidden="1" customHeight="1">
      <c r="AB6056" s="9"/>
      <c r="AC6056" s="9"/>
      <c r="AD6056" s="9"/>
      <c r="AF6056" s="10"/>
      <c r="AG6056" s="10"/>
      <c r="AH6056" s="10"/>
      <c r="AI6056" s="10"/>
    </row>
    <row r="6057" spans="28:35" ht="15" hidden="1" customHeight="1">
      <c r="AB6057" s="9"/>
      <c r="AC6057" s="9"/>
      <c r="AD6057" s="9"/>
      <c r="AF6057" s="10"/>
      <c r="AG6057" s="10"/>
      <c r="AH6057" s="10"/>
      <c r="AI6057" s="10"/>
    </row>
    <row r="6058" spans="28:35" ht="15" hidden="1" customHeight="1">
      <c r="AB6058" s="9"/>
      <c r="AC6058" s="9"/>
      <c r="AD6058" s="9"/>
      <c r="AF6058" s="10"/>
      <c r="AG6058" s="10"/>
      <c r="AH6058" s="10"/>
      <c r="AI6058" s="10"/>
    </row>
    <row r="6059" spans="28:35" ht="15" hidden="1" customHeight="1">
      <c r="AB6059" s="9"/>
      <c r="AC6059" s="9"/>
      <c r="AD6059" s="9"/>
      <c r="AF6059" s="10"/>
      <c r="AG6059" s="10"/>
      <c r="AH6059" s="10"/>
      <c r="AI6059" s="10"/>
    </row>
    <row r="6060" spans="28:35" ht="15" hidden="1" customHeight="1">
      <c r="AB6060" s="9"/>
      <c r="AC6060" s="9"/>
      <c r="AD6060" s="9"/>
      <c r="AF6060" s="10"/>
      <c r="AG6060" s="10"/>
      <c r="AH6060" s="10"/>
      <c r="AI6060" s="10"/>
    </row>
    <row r="6061" spans="28:35" ht="15" hidden="1" customHeight="1">
      <c r="AB6061" s="9"/>
      <c r="AC6061" s="9"/>
      <c r="AD6061" s="9"/>
      <c r="AF6061" s="10"/>
      <c r="AG6061" s="10"/>
      <c r="AH6061" s="10"/>
      <c r="AI6061" s="10"/>
    </row>
    <row r="6062" spans="28:35" ht="15" hidden="1" customHeight="1">
      <c r="AB6062" s="9"/>
      <c r="AC6062" s="9"/>
      <c r="AD6062" s="9"/>
      <c r="AF6062" s="10"/>
      <c r="AG6062" s="10"/>
      <c r="AH6062" s="10"/>
      <c r="AI6062" s="10"/>
    </row>
    <row r="6063" spans="28:35" ht="15" hidden="1" customHeight="1">
      <c r="AB6063" s="9"/>
      <c r="AC6063" s="9"/>
      <c r="AD6063" s="9"/>
      <c r="AF6063" s="10"/>
      <c r="AG6063" s="10"/>
      <c r="AH6063" s="10"/>
      <c r="AI6063" s="10"/>
    </row>
    <row r="6064" spans="28:35" ht="15" hidden="1" customHeight="1">
      <c r="AB6064" s="9"/>
      <c r="AC6064" s="9"/>
      <c r="AD6064" s="9"/>
      <c r="AF6064" s="10"/>
      <c r="AG6064" s="10"/>
      <c r="AH6064" s="10"/>
      <c r="AI6064" s="10"/>
    </row>
    <row r="6065" spans="28:35" ht="15" hidden="1" customHeight="1">
      <c r="AB6065" s="9"/>
      <c r="AC6065" s="9"/>
      <c r="AD6065" s="9"/>
      <c r="AF6065" s="10"/>
      <c r="AG6065" s="10"/>
      <c r="AH6065" s="10"/>
      <c r="AI6065" s="10"/>
    </row>
    <row r="6066" spans="28:35" ht="15" hidden="1" customHeight="1">
      <c r="AB6066" s="9"/>
      <c r="AC6066" s="9"/>
      <c r="AD6066" s="9"/>
      <c r="AF6066" s="10"/>
      <c r="AG6066" s="10"/>
      <c r="AH6066" s="10"/>
      <c r="AI6066" s="10"/>
    </row>
    <row r="6067" spans="28:35" ht="15" hidden="1" customHeight="1">
      <c r="AB6067" s="9"/>
      <c r="AC6067" s="9"/>
      <c r="AD6067" s="9"/>
      <c r="AF6067" s="10"/>
      <c r="AG6067" s="10"/>
      <c r="AH6067" s="10"/>
      <c r="AI6067" s="10"/>
    </row>
    <row r="6068" spans="28:35" ht="15" hidden="1" customHeight="1">
      <c r="AB6068" s="9"/>
      <c r="AC6068" s="9"/>
      <c r="AD6068" s="9"/>
      <c r="AF6068" s="10"/>
      <c r="AG6068" s="10"/>
      <c r="AH6068" s="10"/>
      <c r="AI6068" s="10"/>
    </row>
    <row r="6069" spans="28:35" ht="15" hidden="1" customHeight="1">
      <c r="AB6069" s="9"/>
      <c r="AC6069" s="9"/>
      <c r="AD6069" s="9"/>
      <c r="AF6069" s="10"/>
      <c r="AG6069" s="10"/>
      <c r="AH6069" s="10"/>
      <c r="AI6069" s="10"/>
    </row>
    <row r="6070" spans="28:35" ht="15" hidden="1" customHeight="1">
      <c r="AB6070" s="9"/>
      <c r="AC6070" s="9"/>
      <c r="AD6070" s="9"/>
      <c r="AF6070" s="10"/>
      <c r="AG6070" s="10"/>
      <c r="AH6070" s="10"/>
      <c r="AI6070" s="10"/>
    </row>
    <row r="6071" spans="28:35" ht="15" hidden="1" customHeight="1">
      <c r="AB6071" s="9"/>
      <c r="AC6071" s="9"/>
      <c r="AD6071" s="9"/>
      <c r="AF6071" s="10"/>
      <c r="AG6071" s="10"/>
      <c r="AH6071" s="10"/>
      <c r="AI6071" s="10"/>
    </row>
    <row r="6072" spans="28:35" ht="15" hidden="1" customHeight="1">
      <c r="AB6072" s="9"/>
      <c r="AC6072" s="9"/>
      <c r="AD6072" s="9"/>
      <c r="AF6072" s="10"/>
      <c r="AG6072" s="10"/>
      <c r="AH6072" s="10"/>
      <c r="AI6072" s="10"/>
    </row>
    <row r="6073" spans="28:35" ht="15" hidden="1" customHeight="1">
      <c r="AB6073" s="9"/>
      <c r="AC6073" s="9"/>
      <c r="AD6073" s="9"/>
      <c r="AF6073" s="10"/>
      <c r="AG6073" s="10"/>
      <c r="AH6073" s="10"/>
      <c r="AI6073" s="10"/>
    </row>
    <row r="6074" spans="28:35" ht="15" hidden="1" customHeight="1">
      <c r="AB6074" s="9"/>
      <c r="AC6074" s="9"/>
      <c r="AD6074" s="9"/>
      <c r="AF6074" s="10"/>
      <c r="AG6074" s="10"/>
      <c r="AH6074" s="10"/>
      <c r="AI6074" s="10"/>
    </row>
    <row r="6075" spans="28:35" ht="15" hidden="1" customHeight="1">
      <c r="AB6075" s="9"/>
      <c r="AC6075" s="9"/>
      <c r="AD6075" s="9"/>
      <c r="AF6075" s="10"/>
      <c r="AG6075" s="10"/>
      <c r="AH6075" s="10"/>
      <c r="AI6075" s="10"/>
    </row>
    <row r="6076" spans="28:35" ht="15" hidden="1" customHeight="1">
      <c r="AB6076" s="9"/>
      <c r="AC6076" s="9"/>
      <c r="AD6076" s="9"/>
      <c r="AF6076" s="10"/>
      <c r="AG6076" s="10"/>
      <c r="AH6076" s="10"/>
      <c r="AI6076" s="10"/>
    </row>
    <row r="6077" spans="28:35" ht="15" hidden="1" customHeight="1">
      <c r="AB6077" s="9"/>
      <c r="AC6077" s="9"/>
      <c r="AD6077" s="9"/>
      <c r="AF6077" s="10"/>
      <c r="AG6077" s="10"/>
      <c r="AH6077" s="10"/>
      <c r="AI6077" s="10"/>
    </row>
    <row r="6078" spans="28:35" ht="15" hidden="1" customHeight="1">
      <c r="AB6078" s="9"/>
      <c r="AC6078" s="9"/>
      <c r="AD6078" s="9"/>
      <c r="AF6078" s="10"/>
      <c r="AG6078" s="10"/>
      <c r="AH6078" s="10"/>
      <c r="AI6078" s="10"/>
    </row>
    <row r="6079" spans="28:35" ht="15" hidden="1" customHeight="1">
      <c r="AB6079" s="9"/>
      <c r="AC6079" s="9"/>
      <c r="AD6079" s="9"/>
      <c r="AF6079" s="10"/>
      <c r="AG6079" s="10"/>
      <c r="AH6079" s="10"/>
      <c r="AI6079" s="10"/>
    </row>
    <row r="6080" spans="28:35" ht="15" hidden="1" customHeight="1">
      <c r="AB6080" s="9"/>
      <c r="AC6080" s="9"/>
      <c r="AD6080" s="9"/>
      <c r="AF6080" s="10"/>
      <c r="AG6080" s="10"/>
      <c r="AH6080" s="10"/>
      <c r="AI6080" s="10"/>
    </row>
    <row r="6081" spans="28:35" ht="15" hidden="1" customHeight="1">
      <c r="AB6081" s="9"/>
      <c r="AC6081" s="9"/>
      <c r="AD6081" s="9"/>
      <c r="AF6081" s="10"/>
      <c r="AG6081" s="10"/>
      <c r="AH6081" s="10"/>
      <c r="AI6081" s="10"/>
    </row>
    <row r="6082" spans="28:35" ht="15" hidden="1" customHeight="1">
      <c r="AB6082" s="9"/>
      <c r="AC6082" s="9"/>
      <c r="AD6082" s="9"/>
      <c r="AF6082" s="10"/>
      <c r="AG6082" s="10"/>
      <c r="AH6082" s="10"/>
      <c r="AI6082" s="10"/>
    </row>
    <row r="6083" spans="28:35" ht="15" hidden="1" customHeight="1">
      <c r="AB6083" s="9"/>
      <c r="AC6083" s="9"/>
      <c r="AD6083" s="9"/>
      <c r="AF6083" s="10"/>
      <c r="AG6083" s="10"/>
      <c r="AH6083" s="10"/>
      <c r="AI6083" s="10"/>
    </row>
    <row r="6084" spans="28:35" ht="15" hidden="1" customHeight="1">
      <c r="AB6084" s="9"/>
      <c r="AC6084" s="9"/>
      <c r="AD6084" s="9"/>
      <c r="AF6084" s="10"/>
      <c r="AG6084" s="10"/>
      <c r="AH6084" s="10"/>
      <c r="AI6084" s="10"/>
    </row>
    <row r="6085" spans="28:35" ht="15" hidden="1" customHeight="1">
      <c r="AB6085" s="9"/>
      <c r="AC6085" s="9"/>
      <c r="AD6085" s="9"/>
      <c r="AF6085" s="10"/>
      <c r="AG6085" s="10"/>
      <c r="AH6085" s="10"/>
      <c r="AI6085" s="10"/>
    </row>
    <row r="6086" spans="28:35" ht="15" hidden="1" customHeight="1">
      <c r="AB6086" s="9"/>
      <c r="AC6086" s="9"/>
      <c r="AD6086" s="9"/>
      <c r="AF6086" s="10"/>
      <c r="AG6086" s="10"/>
      <c r="AH6086" s="10"/>
      <c r="AI6086" s="10"/>
    </row>
    <row r="6087" spans="28:35" ht="15" hidden="1" customHeight="1">
      <c r="AB6087" s="9"/>
      <c r="AC6087" s="9"/>
      <c r="AD6087" s="9"/>
      <c r="AF6087" s="10"/>
      <c r="AG6087" s="10"/>
      <c r="AH6087" s="10"/>
      <c r="AI6087" s="10"/>
    </row>
    <row r="6088" spans="28:35" ht="15" hidden="1" customHeight="1">
      <c r="AB6088" s="9"/>
      <c r="AC6088" s="9"/>
      <c r="AD6088" s="9"/>
      <c r="AF6088" s="10"/>
      <c r="AG6088" s="10"/>
      <c r="AH6088" s="10"/>
      <c r="AI6088" s="10"/>
    </row>
    <row r="6089" spans="28:35" ht="15" hidden="1" customHeight="1">
      <c r="AB6089" s="9"/>
      <c r="AC6089" s="9"/>
      <c r="AD6089" s="9"/>
      <c r="AF6089" s="10"/>
      <c r="AG6089" s="10"/>
      <c r="AH6089" s="10"/>
      <c r="AI6089" s="10"/>
    </row>
    <row r="6090" spans="28:35" ht="15" hidden="1" customHeight="1">
      <c r="AB6090" s="9"/>
      <c r="AC6090" s="9"/>
      <c r="AD6090" s="9"/>
      <c r="AF6090" s="10"/>
      <c r="AG6090" s="10"/>
      <c r="AH6090" s="10"/>
      <c r="AI6090" s="10"/>
    </row>
    <row r="6091" spans="28:35" ht="15" hidden="1" customHeight="1">
      <c r="AB6091" s="9"/>
      <c r="AC6091" s="9"/>
      <c r="AD6091" s="9"/>
      <c r="AF6091" s="10"/>
      <c r="AG6091" s="10"/>
      <c r="AH6091" s="10"/>
      <c r="AI6091" s="10"/>
    </row>
    <row r="6092" spans="28:35" ht="15" hidden="1" customHeight="1">
      <c r="AB6092" s="9"/>
      <c r="AC6092" s="9"/>
      <c r="AD6092" s="9"/>
      <c r="AF6092" s="10"/>
      <c r="AG6092" s="10"/>
      <c r="AH6092" s="10"/>
      <c r="AI6092" s="10"/>
    </row>
    <row r="6093" spans="28:35" ht="15" hidden="1" customHeight="1">
      <c r="AB6093" s="9"/>
      <c r="AC6093" s="9"/>
      <c r="AD6093" s="9"/>
      <c r="AF6093" s="10"/>
      <c r="AG6093" s="10"/>
      <c r="AH6093" s="10"/>
      <c r="AI6093" s="10"/>
    </row>
    <row r="6094" spans="28:35" ht="15" hidden="1" customHeight="1">
      <c r="AB6094" s="9"/>
      <c r="AC6094" s="9"/>
      <c r="AD6094" s="9"/>
      <c r="AF6094" s="10"/>
      <c r="AG6094" s="10"/>
      <c r="AH6094" s="10"/>
      <c r="AI6094" s="10"/>
    </row>
    <row r="6095" spans="28:35" ht="15" hidden="1" customHeight="1">
      <c r="AB6095" s="9"/>
      <c r="AC6095" s="9"/>
      <c r="AD6095" s="9"/>
      <c r="AF6095" s="10"/>
      <c r="AG6095" s="10"/>
      <c r="AH6095" s="10"/>
      <c r="AI6095" s="10"/>
    </row>
    <row r="6096" spans="28:35" ht="15" hidden="1" customHeight="1">
      <c r="AB6096" s="9"/>
      <c r="AC6096" s="9"/>
      <c r="AD6096" s="9"/>
      <c r="AF6096" s="10"/>
      <c r="AG6096" s="10"/>
      <c r="AH6096" s="10"/>
      <c r="AI6096" s="10"/>
    </row>
    <row r="6097" spans="28:35" ht="15" hidden="1" customHeight="1">
      <c r="AB6097" s="9"/>
      <c r="AC6097" s="9"/>
      <c r="AD6097" s="9"/>
      <c r="AF6097" s="10"/>
      <c r="AG6097" s="10"/>
      <c r="AH6097" s="10"/>
      <c r="AI6097" s="10"/>
    </row>
    <row r="6098" spans="28:35" ht="15" hidden="1" customHeight="1">
      <c r="AB6098" s="9"/>
      <c r="AC6098" s="9"/>
      <c r="AD6098" s="9"/>
      <c r="AF6098" s="10"/>
      <c r="AG6098" s="10"/>
      <c r="AH6098" s="10"/>
      <c r="AI6098" s="10"/>
    </row>
    <row r="6099" spans="28:35" ht="15" hidden="1" customHeight="1">
      <c r="AB6099" s="9"/>
      <c r="AC6099" s="9"/>
      <c r="AD6099" s="9"/>
      <c r="AF6099" s="10"/>
      <c r="AG6099" s="10"/>
      <c r="AH6099" s="10"/>
      <c r="AI6099" s="10"/>
    </row>
    <row r="6100" spans="28:35" ht="15" hidden="1" customHeight="1">
      <c r="AB6100" s="9"/>
      <c r="AC6100" s="9"/>
      <c r="AD6100" s="9"/>
      <c r="AF6100" s="10"/>
      <c r="AG6100" s="10"/>
      <c r="AH6100" s="10"/>
      <c r="AI6100" s="10"/>
    </row>
    <row r="6101" spans="28:35" ht="15" hidden="1" customHeight="1">
      <c r="AB6101" s="9"/>
      <c r="AC6101" s="9"/>
      <c r="AD6101" s="9"/>
      <c r="AF6101" s="10"/>
      <c r="AG6101" s="10"/>
      <c r="AH6101" s="10"/>
      <c r="AI6101" s="10"/>
    </row>
    <row r="6102" spans="28:35" ht="15" hidden="1" customHeight="1">
      <c r="AB6102" s="9"/>
      <c r="AC6102" s="9"/>
      <c r="AD6102" s="9"/>
      <c r="AF6102" s="10"/>
      <c r="AG6102" s="10"/>
      <c r="AH6102" s="10"/>
      <c r="AI6102" s="10"/>
    </row>
    <row r="6103" spans="28:35" ht="15" hidden="1" customHeight="1">
      <c r="AB6103" s="9"/>
      <c r="AC6103" s="9"/>
      <c r="AD6103" s="9"/>
      <c r="AF6103" s="10"/>
      <c r="AG6103" s="10"/>
      <c r="AH6103" s="10"/>
      <c r="AI6103" s="10"/>
    </row>
    <row r="6104" spans="28:35" ht="15" hidden="1" customHeight="1">
      <c r="AB6104" s="9"/>
      <c r="AC6104" s="9"/>
      <c r="AD6104" s="9"/>
      <c r="AF6104" s="10"/>
      <c r="AG6104" s="10"/>
      <c r="AH6104" s="10"/>
      <c r="AI6104" s="10"/>
    </row>
    <row r="6105" spans="28:35" ht="15" hidden="1" customHeight="1">
      <c r="AB6105" s="9"/>
      <c r="AC6105" s="9"/>
      <c r="AD6105" s="9"/>
      <c r="AF6105" s="10"/>
      <c r="AG6105" s="10"/>
      <c r="AH6105" s="10"/>
      <c r="AI6105" s="10"/>
    </row>
    <row r="6106" spans="28:35" ht="15" hidden="1" customHeight="1">
      <c r="AB6106" s="9"/>
      <c r="AC6106" s="9"/>
      <c r="AD6106" s="9"/>
      <c r="AF6106" s="10"/>
      <c r="AG6106" s="10"/>
      <c r="AH6106" s="10"/>
      <c r="AI6106" s="10"/>
    </row>
    <row r="6107" spans="28:35" ht="15" hidden="1" customHeight="1">
      <c r="AB6107" s="9"/>
      <c r="AC6107" s="9"/>
      <c r="AD6107" s="9"/>
      <c r="AF6107" s="10"/>
      <c r="AG6107" s="10"/>
      <c r="AH6107" s="10"/>
      <c r="AI6107" s="10"/>
    </row>
    <row r="6108" spans="28:35" ht="15" hidden="1" customHeight="1">
      <c r="AB6108" s="9"/>
      <c r="AC6108" s="9"/>
      <c r="AD6108" s="9"/>
      <c r="AF6108" s="10"/>
      <c r="AG6108" s="10"/>
      <c r="AH6108" s="10"/>
      <c r="AI6108" s="10"/>
    </row>
    <row r="6109" spans="28:35" ht="15" hidden="1" customHeight="1">
      <c r="AB6109" s="9"/>
      <c r="AC6109" s="9"/>
      <c r="AD6109" s="9"/>
      <c r="AF6109" s="10"/>
      <c r="AG6109" s="10"/>
      <c r="AH6109" s="10"/>
      <c r="AI6109" s="10"/>
    </row>
    <row r="6110" spans="28:35" ht="15" hidden="1" customHeight="1">
      <c r="AB6110" s="9"/>
      <c r="AC6110" s="9"/>
      <c r="AD6110" s="9"/>
      <c r="AF6110" s="10"/>
      <c r="AG6110" s="10"/>
      <c r="AH6110" s="10"/>
      <c r="AI6110" s="10"/>
    </row>
    <row r="6111" spans="28:35" ht="15" hidden="1" customHeight="1">
      <c r="AB6111" s="9"/>
      <c r="AC6111" s="9"/>
      <c r="AD6111" s="9"/>
      <c r="AF6111" s="10"/>
      <c r="AG6111" s="10"/>
      <c r="AH6111" s="10"/>
      <c r="AI6111" s="10"/>
    </row>
    <row r="6112" spans="28:35" ht="15" hidden="1" customHeight="1">
      <c r="AB6112" s="9"/>
      <c r="AC6112" s="9"/>
      <c r="AD6112" s="9"/>
      <c r="AF6112" s="10"/>
      <c r="AG6112" s="10"/>
      <c r="AH6112" s="10"/>
      <c r="AI6112" s="10"/>
    </row>
    <row r="6113" spans="28:35" ht="15" hidden="1" customHeight="1">
      <c r="AB6113" s="9"/>
      <c r="AC6113" s="9"/>
      <c r="AD6113" s="9"/>
      <c r="AF6113" s="10"/>
      <c r="AG6113" s="10"/>
      <c r="AH6113" s="10"/>
      <c r="AI6113" s="10"/>
    </row>
    <row r="6114" spans="28:35" ht="15" hidden="1" customHeight="1">
      <c r="AB6114" s="9"/>
      <c r="AC6114" s="9"/>
      <c r="AD6114" s="9"/>
      <c r="AF6114" s="10"/>
      <c r="AG6114" s="10"/>
      <c r="AH6114" s="10"/>
      <c r="AI6114" s="10"/>
    </row>
    <row r="6115" spans="28:35" ht="15" hidden="1" customHeight="1">
      <c r="AB6115" s="9"/>
      <c r="AC6115" s="9"/>
      <c r="AD6115" s="9"/>
      <c r="AF6115" s="10"/>
      <c r="AG6115" s="10"/>
      <c r="AH6115" s="10"/>
      <c r="AI6115" s="10"/>
    </row>
    <row r="6116" spans="28:35" ht="15" hidden="1" customHeight="1">
      <c r="AB6116" s="9"/>
      <c r="AC6116" s="9"/>
      <c r="AD6116" s="9"/>
      <c r="AF6116" s="10"/>
      <c r="AG6116" s="10"/>
      <c r="AH6116" s="10"/>
      <c r="AI6116" s="10"/>
    </row>
    <row r="6117" spans="28:35" ht="15" hidden="1" customHeight="1">
      <c r="AB6117" s="9"/>
      <c r="AC6117" s="9"/>
      <c r="AD6117" s="9"/>
      <c r="AF6117" s="10"/>
      <c r="AG6117" s="10"/>
      <c r="AH6117" s="10"/>
      <c r="AI6117" s="10"/>
    </row>
    <row r="6118" spans="28:35" ht="15" hidden="1" customHeight="1">
      <c r="AB6118" s="9"/>
      <c r="AC6118" s="9"/>
      <c r="AD6118" s="9"/>
      <c r="AF6118" s="10"/>
      <c r="AG6118" s="10"/>
      <c r="AH6118" s="10"/>
      <c r="AI6118" s="10"/>
    </row>
    <row r="6119" spans="28:35" ht="15" hidden="1" customHeight="1">
      <c r="AB6119" s="9"/>
      <c r="AC6119" s="9"/>
      <c r="AD6119" s="9"/>
      <c r="AF6119" s="10"/>
      <c r="AG6119" s="10"/>
      <c r="AH6119" s="10"/>
      <c r="AI6119" s="10"/>
    </row>
    <row r="6120" spans="28:35" ht="15" hidden="1" customHeight="1">
      <c r="AB6120" s="9"/>
      <c r="AC6120" s="9"/>
      <c r="AD6120" s="9"/>
      <c r="AF6120" s="10"/>
      <c r="AG6120" s="10"/>
      <c r="AH6120" s="10"/>
      <c r="AI6120" s="10"/>
    </row>
    <row r="6121" spans="28:35" ht="15" hidden="1" customHeight="1">
      <c r="AB6121" s="9"/>
      <c r="AC6121" s="9"/>
      <c r="AD6121" s="9"/>
      <c r="AF6121" s="10"/>
      <c r="AG6121" s="10"/>
      <c r="AH6121" s="10"/>
      <c r="AI6121" s="10"/>
    </row>
    <row r="6122" spans="28:35" ht="15" hidden="1" customHeight="1">
      <c r="AB6122" s="9"/>
      <c r="AC6122" s="9"/>
      <c r="AD6122" s="9"/>
      <c r="AF6122" s="10"/>
      <c r="AG6122" s="10"/>
      <c r="AH6122" s="10"/>
      <c r="AI6122" s="10"/>
    </row>
    <row r="6123" spans="28:35" ht="15" hidden="1" customHeight="1">
      <c r="AB6123" s="9"/>
      <c r="AC6123" s="9"/>
      <c r="AD6123" s="9"/>
      <c r="AF6123" s="10"/>
      <c r="AG6123" s="10"/>
      <c r="AH6123" s="10"/>
      <c r="AI6123" s="10"/>
    </row>
    <row r="6124" spans="28:35" ht="15" hidden="1" customHeight="1">
      <c r="AB6124" s="9"/>
      <c r="AC6124" s="9"/>
      <c r="AD6124" s="9"/>
      <c r="AF6124" s="10"/>
      <c r="AG6124" s="10"/>
      <c r="AH6124" s="10"/>
      <c r="AI6124" s="10"/>
    </row>
    <row r="6125" spans="28:35" ht="15" hidden="1" customHeight="1">
      <c r="AB6125" s="9"/>
      <c r="AC6125" s="9"/>
      <c r="AD6125" s="9"/>
      <c r="AF6125" s="10"/>
      <c r="AG6125" s="10"/>
      <c r="AH6125" s="10"/>
      <c r="AI6125" s="10"/>
    </row>
    <row r="6126" spans="28:35" ht="15" hidden="1" customHeight="1">
      <c r="AB6126" s="9"/>
      <c r="AC6126" s="9"/>
      <c r="AD6126" s="9"/>
      <c r="AF6126" s="10"/>
      <c r="AG6126" s="10"/>
      <c r="AH6126" s="10"/>
      <c r="AI6126" s="10"/>
    </row>
    <row r="6127" spans="28:35" ht="15" hidden="1" customHeight="1">
      <c r="AB6127" s="9"/>
      <c r="AC6127" s="9"/>
      <c r="AD6127" s="9"/>
      <c r="AF6127" s="10"/>
      <c r="AG6127" s="10"/>
      <c r="AH6127" s="10"/>
      <c r="AI6127" s="10"/>
    </row>
    <row r="6128" spans="28:35" ht="15" hidden="1" customHeight="1">
      <c r="AB6128" s="9"/>
      <c r="AC6128" s="9"/>
      <c r="AD6128" s="9"/>
      <c r="AF6128" s="10"/>
      <c r="AG6128" s="10"/>
      <c r="AH6128" s="10"/>
      <c r="AI6128" s="10"/>
    </row>
    <row r="6129" spans="28:35" ht="15" hidden="1" customHeight="1">
      <c r="AB6129" s="9"/>
      <c r="AC6129" s="9"/>
      <c r="AD6129" s="9"/>
      <c r="AF6129" s="10"/>
      <c r="AG6129" s="10"/>
      <c r="AH6129" s="10"/>
      <c r="AI6129" s="10"/>
    </row>
    <row r="6130" spans="28:35" ht="15" hidden="1" customHeight="1">
      <c r="AB6130" s="9"/>
      <c r="AC6130" s="9"/>
      <c r="AD6130" s="9"/>
      <c r="AF6130" s="10"/>
      <c r="AG6130" s="10"/>
      <c r="AH6130" s="10"/>
      <c r="AI6130" s="10"/>
    </row>
    <row r="6131" spans="28:35" ht="15" hidden="1" customHeight="1">
      <c r="AB6131" s="9"/>
      <c r="AC6131" s="9"/>
      <c r="AD6131" s="9"/>
      <c r="AF6131" s="10"/>
      <c r="AG6131" s="10"/>
      <c r="AH6131" s="10"/>
      <c r="AI6131" s="10"/>
    </row>
    <row r="6132" spans="28:35" ht="15" hidden="1" customHeight="1">
      <c r="AB6132" s="9"/>
      <c r="AC6132" s="9"/>
      <c r="AD6132" s="9"/>
      <c r="AF6132" s="10"/>
      <c r="AG6132" s="10"/>
      <c r="AH6132" s="10"/>
      <c r="AI6132" s="10"/>
    </row>
    <row r="6133" spans="28:35" ht="15" hidden="1" customHeight="1">
      <c r="AB6133" s="9"/>
      <c r="AC6133" s="9"/>
      <c r="AD6133" s="9"/>
      <c r="AF6133" s="10"/>
      <c r="AG6133" s="10"/>
      <c r="AH6133" s="10"/>
      <c r="AI6133" s="10"/>
    </row>
    <row r="6134" spans="28:35" ht="15" hidden="1" customHeight="1">
      <c r="AB6134" s="9"/>
      <c r="AC6134" s="9"/>
      <c r="AD6134" s="9"/>
      <c r="AF6134" s="10"/>
      <c r="AG6134" s="10"/>
      <c r="AH6134" s="10"/>
      <c r="AI6134" s="10"/>
    </row>
    <row r="6135" spans="28:35" ht="15" hidden="1" customHeight="1">
      <c r="AB6135" s="9"/>
      <c r="AC6135" s="9"/>
      <c r="AD6135" s="9"/>
      <c r="AF6135" s="10"/>
      <c r="AG6135" s="10"/>
      <c r="AH6135" s="10"/>
      <c r="AI6135" s="10"/>
    </row>
    <row r="6136" spans="28:35" ht="15" hidden="1" customHeight="1">
      <c r="AB6136" s="9"/>
      <c r="AC6136" s="9"/>
      <c r="AD6136" s="9"/>
      <c r="AF6136" s="10"/>
      <c r="AG6136" s="10"/>
      <c r="AH6136" s="10"/>
      <c r="AI6136" s="10"/>
    </row>
    <row r="6137" spans="28:35" ht="15" hidden="1" customHeight="1">
      <c r="AB6137" s="9"/>
      <c r="AC6137" s="9"/>
      <c r="AD6137" s="9"/>
      <c r="AF6137" s="10"/>
      <c r="AG6137" s="10"/>
      <c r="AH6137" s="10"/>
      <c r="AI6137" s="10"/>
    </row>
    <row r="6138" spans="28:35" ht="15" hidden="1" customHeight="1">
      <c r="AB6138" s="9"/>
      <c r="AC6138" s="9"/>
      <c r="AD6138" s="9"/>
      <c r="AF6138" s="10"/>
      <c r="AG6138" s="10"/>
      <c r="AH6138" s="10"/>
      <c r="AI6138" s="10"/>
    </row>
    <row r="6139" spans="28:35" ht="15" hidden="1" customHeight="1">
      <c r="AB6139" s="9"/>
      <c r="AC6139" s="9"/>
      <c r="AD6139" s="9"/>
      <c r="AF6139" s="10"/>
      <c r="AG6139" s="10"/>
      <c r="AH6139" s="10"/>
      <c r="AI6139" s="10"/>
    </row>
    <row r="6140" spans="28:35" ht="15" hidden="1" customHeight="1">
      <c r="AB6140" s="9"/>
      <c r="AC6140" s="9"/>
      <c r="AD6140" s="9"/>
      <c r="AF6140" s="10"/>
      <c r="AG6140" s="10"/>
      <c r="AH6140" s="10"/>
      <c r="AI6140" s="10"/>
    </row>
    <row r="6141" spans="28:35" ht="15" hidden="1" customHeight="1">
      <c r="AB6141" s="9"/>
      <c r="AC6141" s="9"/>
      <c r="AD6141" s="9"/>
      <c r="AF6141" s="10"/>
      <c r="AG6141" s="10"/>
      <c r="AH6141" s="10"/>
      <c r="AI6141" s="10"/>
    </row>
    <row r="6142" spans="28:35" ht="15" hidden="1" customHeight="1">
      <c r="AB6142" s="9"/>
      <c r="AC6142" s="9"/>
      <c r="AD6142" s="9"/>
      <c r="AF6142" s="10"/>
      <c r="AG6142" s="10"/>
      <c r="AH6142" s="10"/>
      <c r="AI6142" s="10"/>
    </row>
    <row r="6143" spans="28:35" ht="15" hidden="1" customHeight="1">
      <c r="AB6143" s="9"/>
      <c r="AC6143" s="9"/>
      <c r="AD6143" s="9"/>
      <c r="AF6143" s="10"/>
      <c r="AG6143" s="10"/>
      <c r="AH6143" s="10"/>
      <c r="AI6143" s="10"/>
    </row>
    <row r="6144" spans="28:35" ht="15" hidden="1" customHeight="1">
      <c r="AB6144" s="9"/>
      <c r="AC6144" s="9"/>
      <c r="AD6144" s="9"/>
      <c r="AF6144" s="10"/>
      <c r="AG6144" s="10"/>
      <c r="AH6144" s="10"/>
      <c r="AI6144" s="10"/>
    </row>
    <row r="6145" spans="28:35" ht="15" hidden="1" customHeight="1">
      <c r="AB6145" s="9"/>
      <c r="AC6145" s="9"/>
      <c r="AD6145" s="9"/>
      <c r="AF6145" s="10"/>
      <c r="AG6145" s="10"/>
      <c r="AH6145" s="10"/>
      <c r="AI6145" s="10"/>
    </row>
    <row r="6146" spans="28:35" ht="15" hidden="1" customHeight="1">
      <c r="AB6146" s="9"/>
      <c r="AC6146" s="9"/>
      <c r="AD6146" s="9"/>
      <c r="AF6146" s="10"/>
      <c r="AG6146" s="10"/>
      <c r="AH6146" s="10"/>
      <c r="AI6146" s="10"/>
    </row>
    <row r="6147" spans="28:35" ht="15" hidden="1" customHeight="1">
      <c r="AB6147" s="9"/>
      <c r="AC6147" s="9"/>
      <c r="AD6147" s="9"/>
      <c r="AF6147" s="10"/>
      <c r="AG6147" s="10"/>
      <c r="AH6147" s="10"/>
      <c r="AI6147" s="10"/>
    </row>
    <row r="6148" spans="28:35" ht="15" hidden="1" customHeight="1">
      <c r="AB6148" s="9"/>
      <c r="AC6148" s="9"/>
      <c r="AD6148" s="9"/>
      <c r="AF6148" s="10"/>
      <c r="AG6148" s="10"/>
      <c r="AH6148" s="10"/>
      <c r="AI6148" s="10"/>
    </row>
    <row r="6149" spans="28:35" ht="15" hidden="1" customHeight="1">
      <c r="AB6149" s="9"/>
      <c r="AC6149" s="9"/>
      <c r="AD6149" s="9"/>
      <c r="AF6149" s="10"/>
      <c r="AG6149" s="10"/>
      <c r="AH6149" s="10"/>
      <c r="AI6149" s="10"/>
    </row>
    <row r="6150" spans="28:35" ht="15" hidden="1" customHeight="1">
      <c r="AB6150" s="9"/>
      <c r="AC6150" s="9"/>
      <c r="AD6150" s="9"/>
      <c r="AF6150" s="10"/>
      <c r="AG6150" s="10"/>
      <c r="AH6150" s="10"/>
      <c r="AI6150" s="10"/>
    </row>
    <row r="6151" spans="28:35" ht="15" hidden="1" customHeight="1">
      <c r="AB6151" s="9"/>
      <c r="AC6151" s="9"/>
      <c r="AD6151" s="9"/>
      <c r="AF6151" s="10"/>
      <c r="AG6151" s="10"/>
      <c r="AH6151" s="10"/>
      <c r="AI6151" s="10"/>
    </row>
    <row r="6152" spans="28:35" ht="15" hidden="1" customHeight="1">
      <c r="AB6152" s="9"/>
      <c r="AC6152" s="9"/>
      <c r="AD6152" s="9"/>
      <c r="AF6152" s="10"/>
      <c r="AG6152" s="10"/>
      <c r="AH6152" s="10"/>
      <c r="AI6152" s="10"/>
    </row>
    <row r="6153" spans="28:35" ht="15" hidden="1" customHeight="1">
      <c r="AB6153" s="9"/>
      <c r="AC6153" s="9"/>
      <c r="AD6153" s="9"/>
      <c r="AF6153" s="10"/>
      <c r="AG6153" s="10"/>
      <c r="AH6153" s="10"/>
      <c r="AI6153" s="10"/>
    </row>
    <row r="6154" spans="28:35" ht="15" hidden="1" customHeight="1">
      <c r="AB6154" s="9"/>
      <c r="AC6154" s="9"/>
      <c r="AD6154" s="9"/>
      <c r="AF6154" s="10"/>
      <c r="AG6154" s="10"/>
      <c r="AH6154" s="10"/>
      <c r="AI6154" s="10"/>
    </row>
    <row r="6155" spans="28:35" ht="15" hidden="1" customHeight="1">
      <c r="AB6155" s="9"/>
      <c r="AC6155" s="9"/>
      <c r="AD6155" s="9"/>
      <c r="AF6155" s="10"/>
      <c r="AG6155" s="10"/>
      <c r="AH6155" s="10"/>
      <c r="AI6155" s="10"/>
    </row>
    <row r="6156" spans="28:35" ht="15" hidden="1" customHeight="1">
      <c r="AB6156" s="9"/>
      <c r="AC6156" s="9"/>
      <c r="AD6156" s="9"/>
      <c r="AF6156" s="10"/>
      <c r="AG6156" s="10"/>
      <c r="AH6156" s="10"/>
      <c r="AI6156" s="10"/>
    </row>
    <row r="6157" spans="28:35" ht="15" hidden="1" customHeight="1">
      <c r="AB6157" s="9"/>
      <c r="AC6157" s="9"/>
      <c r="AD6157" s="9"/>
      <c r="AF6157" s="10"/>
      <c r="AG6157" s="10"/>
      <c r="AH6157" s="10"/>
      <c r="AI6157" s="10"/>
    </row>
    <row r="6158" spans="28:35" ht="15" hidden="1" customHeight="1">
      <c r="AB6158" s="9"/>
      <c r="AC6158" s="9"/>
      <c r="AD6158" s="9"/>
      <c r="AF6158" s="10"/>
      <c r="AG6158" s="10"/>
      <c r="AH6158" s="10"/>
      <c r="AI6158" s="10"/>
    </row>
    <row r="6159" spans="28:35" ht="15" hidden="1" customHeight="1">
      <c r="AB6159" s="9"/>
      <c r="AC6159" s="9"/>
      <c r="AD6159" s="9"/>
      <c r="AF6159" s="10"/>
      <c r="AG6159" s="10"/>
      <c r="AH6159" s="10"/>
      <c r="AI6159" s="10"/>
    </row>
    <row r="6160" spans="28:35" ht="15" hidden="1" customHeight="1">
      <c r="AB6160" s="9"/>
      <c r="AC6160" s="9"/>
      <c r="AD6160" s="9"/>
      <c r="AF6160" s="10"/>
      <c r="AG6160" s="10"/>
      <c r="AH6160" s="10"/>
      <c r="AI6160" s="10"/>
    </row>
    <row r="6161" spans="28:35" ht="15" hidden="1" customHeight="1">
      <c r="AB6161" s="9"/>
      <c r="AC6161" s="9"/>
      <c r="AD6161" s="9"/>
      <c r="AF6161" s="10"/>
      <c r="AG6161" s="10"/>
      <c r="AH6161" s="10"/>
      <c r="AI6161" s="10"/>
    </row>
    <row r="6162" spans="28:35" ht="15" hidden="1" customHeight="1">
      <c r="AB6162" s="9"/>
      <c r="AC6162" s="9"/>
      <c r="AD6162" s="9"/>
      <c r="AF6162" s="10"/>
      <c r="AG6162" s="10"/>
      <c r="AH6162" s="10"/>
      <c r="AI6162" s="10"/>
    </row>
    <row r="6163" spans="28:35" ht="15" hidden="1" customHeight="1">
      <c r="AB6163" s="9"/>
      <c r="AC6163" s="9"/>
      <c r="AD6163" s="9"/>
      <c r="AF6163" s="10"/>
      <c r="AG6163" s="10"/>
      <c r="AH6163" s="10"/>
      <c r="AI6163" s="10"/>
    </row>
    <row r="6164" spans="28:35" ht="15" hidden="1" customHeight="1">
      <c r="AB6164" s="9"/>
      <c r="AC6164" s="9"/>
      <c r="AD6164" s="9"/>
      <c r="AF6164" s="10"/>
      <c r="AG6164" s="10"/>
      <c r="AH6164" s="10"/>
      <c r="AI6164" s="10"/>
    </row>
    <row r="6165" spans="28:35" ht="15" hidden="1" customHeight="1">
      <c r="AB6165" s="9"/>
      <c r="AC6165" s="9"/>
      <c r="AD6165" s="9"/>
      <c r="AF6165" s="10"/>
      <c r="AG6165" s="10"/>
      <c r="AH6165" s="10"/>
      <c r="AI6165" s="10"/>
    </row>
    <row r="6166" spans="28:35" ht="15" hidden="1" customHeight="1">
      <c r="AB6166" s="9"/>
      <c r="AC6166" s="9"/>
      <c r="AD6166" s="9"/>
      <c r="AF6166" s="10"/>
      <c r="AG6166" s="10"/>
      <c r="AH6166" s="10"/>
      <c r="AI6166" s="10"/>
    </row>
    <row r="6167" spans="28:35" ht="15" hidden="1" customHeight="1">
      <c r="AB6167" s="9"/>
      <c r="AC6167" s="9"/>
      <c r="AD6167" s="9"/>
      <c r="AF6167" s="10"/>
      <c r="AG6167" s="10"/>
      <c r="AH6167" s="10"/>
      <c r="AI6167" s="10"/>
    </row>
    <row r="6168" spans="28:35" ht="15" hidden="1" customHeight="1">
      <c r="AB6168" s="9"/>
      <c r="AC6168" s="9"/>
      <c r="AD6168" s="9"/>
      <c r="AF6168" s="10"/>
      <c r="AG6168" s="10"/>
      <c r="AH6168" s="10"/>
      <c r="AI6168" s="10"/>
    </row>
    <row r="6169" spans="28:35" ht="15" hidden="1" customHeight="1">
      <c r="AB6169" s="9"/>
      <c r="AC6169" s="9"/>
      <c r="AD6169" s="9"/>
      <c r="AF6169" s="10"/>
      <c r="AG6169" s="10"/>
      <c r="AH6169" s="10"/>
      <c r="AI6169" s="10"/>
    </row>
    <row r="6170" spans="28:35" ht="15" hidden="1" customHeight="1">
      <c r="AB6170" s="9"/>
      <c r="AC6170" s="9"/>
      <c r="AD6170" s="9"/>
      <c r="AF6170" s="10"/>
      <c r="AG6170" s="10"/>
      <c r="AH6170" s="10"/>
      <c r="AI6170" s="10"/>
    </row>
    <row r="6171" spans="28:35" ht="15" hidden="1" customHeight="1">
      <c r="AB6171" s="9"/>
      <c r="AC6171" s="9"/>
      <c r="AD6171" s="9"/>
      <c r="AF6171" s="10"/>
      <c r="AG6171" s="10"/>
      <c r="AH6171" s="10"/>
      <c r="AI6171" s="10"/>
    </row>
    <row r="6172" spans="28:35" ht="15" hidden="1" customHeight="1">
      <c r="AB6172" s="9"/>
      <c r="AC6172" s="9"/>
      <c r="AD6172" s="9"/>
      <c r="AF6172" s="10"/>
      <c r="AG6172" s="10"/>
      <c r="AH6172" s="10"/>
      <c r="AI6172" s="10"/>
    </row>
    <row r="6173" spans="28:35" ht="15" hidden="1" customHeight="1">
      <c r="AB6173" s="9"/>
      <c r="AC6173" s="9"/>
      <c r="AD6173" s="9"/>
      <c r="AF6173" s="10"/>
      <c r="AG6173" s="10"/>
      <c r="AH6173" s="10"/>
      <c r="AI6173" s="10"/>
    </row>
    <row r="6174" spans="28:35" ht="15" hidden="1" customHeight="1">
      <c r="AB6174" s="9"/>
      <c r="AC6174" s="9"/>
      <c r="AD6174" s="9"/>
      <c r="AF6174" s="10"/>
      <c r="AG6174" s="10"/>
      <c r="AH6174" s="10"/>
      <c r="AI6174" s="10"/>
    </row>
    <row r="6175" spans="28:35" ht="15" hidden="1" customHeight="1">
      <c r="AB6175" s="9"/>
      <c r="AC6175" s="9"/>
      <c r="AD6175" s="9"/>
      <c r="AF6175" s="10"/>
      <c r="AG6175" s="10"/>
      <c r="AH6175" s="10"/>
      <c r="AI6175" s="10"/>
    </row>
    <row r="6176" spans="28:35" ht="15" hidden="1" customHeight="1">
      <c r="AB6176" s="9"/>
      <c r="AC6176" s="9"/>
      <c r="AD6176" s="9"/>
      <c r="AF6176" s="10"/>
      <c r="AG6176" s="10"/>
      <c r="AH6176" s="10"/>
      <c r="AI6176" s="10"/>
    </row>
    <row r="6177" spans="28:35" ht="15" hidden="1" customHeight="1">
      <c r="AB6177" s="9"/>
      <c r="AC6177" s="9"/>
      <c r="AD6177" s="9"/>
      <c r="AF6177" s="10"/>
      <c r="AG6177" s="10"/>
      <c r="AH6177" s="10"/>
      <c r="AI6177" s="10"/>
    </row>
    <row r="6178" spans="28:35" ht="15" hidden="1" customHeight="1">
      <c r="AB6178" s="9"/>
      <c r="AC6178" s="9"/>
      <c r="AD6178" s="9"/>
      <c r="AF6178" s="10"/>
      <c r="AG6178" s="10"/>
      <c r="AH6178" s="10"/>
      <c r="AI6178" s="10"/>
    </row>
    <row r="6179" spans="28:35" ht="15" hidden="1" customHeight="1">
      <c r="AB6179" s="9"/>
      <c r="AC6179" s="9"/>
      <c r="AD6179" s="9"/>
      <c r="AF6179" s="10"/>
      <c r="AG6179" s="10"/>
      <c r="AH6179" s="10"/>
      <c r="AI6179" s="10"/>
    </row>
    <row r="6180" spans="28:35" ht="15" hidden="1" customHeight="1">
      <c r="AB6180" s="9"/>
      <c r="AC6180" s="9"/>
      <c r="AD6180" s="9"/>
      <c r="AF6180" s="10"/>
      <c r="AG6180" s="10"/>
      <c r="AH6180" s="10"/>
      <c r="AI6180" s="10"/>
    </row>
    <row r="6181" spans="28:35" ht="15" hidden="1" customHeight="1">
      <c r="AB6181" s="9"/>
      <c r="AC6181" s="9"/>
      <c r="AD6181" s="9"/>
      <c r="AF6181" s="10"/>
      <c r="AG6181" s="10"/>
      <c r="AH6181" s="10"/>
      <c r="AI6181" s="10"/>
    </row>
    <row r="6182" spans="28:35" ht="15" hidden="1" customHeight="1">
      <c r="AB6182" s="9"/>
      <c r="AC6182" s="9"/>
      <c r="AD6182" s="9"/>
      <c r="AF6182" s="10"/>
      <c r="AG6182" s="10"/>
      <c r="AH6182" s="10"/>
      <c r="AI6182" s="10"/>
    </row>
    <row r="6183" spans="28:35" ht="15" hidden="1" customHeight="1">
      <c r="AB6183" s="9"/>
      <c r="AC6183" s="9"/>
      <c r="AD6183" s="9"/>
      <c r="AF6183" s="10"/>
      <c r="AG6183" s="10"/>
      <c r="AH6183" s="10"/>
      <c r="AI6183" s="10"/>
    </row>
    <row r="6184" spans="28:35" ht="15" hidden="1" customHeight="1">
      <c r="AB6184" s="9"/>
      <c r="AC6184" s="9"/>
      <c r="AD6184" s="9"/>
      <c r="AF6184" s="10"/>
      <c r="AG6184" s="10"/>
      <c r="AH6184" s="10"/>
      <c r="AI6184" s="10"/>
    </row>
    <row r="6185" spans="28:35" ht="15" hidden="1" customHeight="1">
      <c r="AB6185" s="9"/>
      <c r="AC6185" s="9"/>
      <c r="AD6185" s="9"/>
      <c r="AF6185" s="10"/>
      <c r="AG6185" s="10"/>
      <c r="AH6185" s="10"/>
      <c r="AI6185" s="10"/>
    </row>
    <row r="6186" spans="28:35" ht="15" hidden="1" customHeight="1">
      <c r="AB6186" s="9"/>
      <c r="AC6186" s="9"/>
      <c r="AD6186" s="9"/>
      <c r="AF6186" s="10"/>
      <c r="AG6186" s="10"/>
      <c r="AH6186" s="10"/>
      <c r="AI6186" s="10"/>
    </row>
    <row r="6187" spans="28:35" ht="15" hidden="1" customHeight="1">
      <c r="AB6187" s="9"/>
      <c r="AC6187" s="9"/>
      <c r="AD6187" s="9"/>
      <c r="AF6187" s="10"/>
      <c r="AG6187" s="10"/>
      <c r="AH6187" s="10"/>
      <c r="AI6187" s="10"/>
    </row>
    <row r="6188" spans="28:35" ht="15" hidden="1" customHeight="1">
      <c r="AB6188" s="9"/>
      <c r="AC6188" s="9"/>
      <c r="AD6188" s="9"/>
      <c r="AF6188" s="10"/>
      <c r="AG6188" s="10"/>
      <c r="AH6188" s="10"/>
      <c r="AI6188" s="10"/>
    </row>
    <row r="6189" spans="28:35" ht="15" hidden="1" customHeight="1">
      <c r="AB6189" s="9"/>
      <c r="AC6189" s="9"/>
      <c r="AD6189" s="9"/>
      <c r="AF6189" s="10"/>
      <c r="AG6189" s="10"/>
      <c r="AH6189" s="10"/>
      <c r="AI6189" s="10"/>
    </row>
    <row r="6190" spans="28:35" ht="15" hidden="1" customHeight="1">
      <c r="AB6190" s="9"/>
      <c r="AC6190" s="9"/>
      <c r="AD6190" s="9"/>
      <c r="AF6190" s="10"/>
      <c r="AG6190" s="10"/>
      <c r="AH6190" s="10"/>
      <c r="AI6190" s="10"/>
    </row>
    <row r="6191" spans="28:35" ht="15" hidden="1" customHeight="1">
      <c r="AB6191" s="9"/>
      <c r="AC6191" s="9"/>
      <c r="AD6191" s="9"/>
      <c r="AF6191" s="10"/>
      <c r="AG6191" s="10"/>
      <c r="AH6191" s="10"/>
      <c r="AI6191" s="10"/>
    </row>
    <row r="6192" spans="28:35" ht="15" hidden="1" customHeight="1">
      <c r="AB6192" s="9"/>
      <c r="AC6192" s="9"/>
      <c r="AD6192" s="9"/>
      <c r="AF6192" s="10"/>
      <c r="AG6192" s="10"/>
      <c r="AH6192" s="10"/>
      <c r="AI6192" s="10"/>
    </row>
    <row r="6193" spans="28:35" ht="15" hidden="1" customHeight="1">
      <c r="AB6193" s="9"/>
      <c r="AC6193" s="9"/>
      <c r="AD6193" s="9"/>
      <c r="AF6193" s="10"/>
      <c r="AG6193" s="10"/>
      <c r="AH6193" s="10"/>
      <c r="AI6193" s="10"/>
    </row>
    <row r="6194" spans="28:35" ht="15" hidden="1" customHeight="1">
      <c r="AB6194" s="9"/>
      <c r="AC6194" s="9"/>
      <c r="AD6194" s="9"/>
      <c r="AF6194" s="10"/>
      <c r="AG6194" s="10"/>
      <c r="AH6194" s="10"/>
      <c r="AI6194" s="10"/>
    </row>
    <row r="6195" spans="28:35" ht="15" hidden="1" customHeight="1">
      <c r="AB6195" s="9"/>
      <c r="AC6195" s="9"/>
      <c r="AD6195" s="9"/>
      <c r="AF6195" s="10"/>
      <c r="AG6195" s="10"/>
      <c r="AH6195" s="10"/>
      <c r="AI6195" s="10"/>
    </row>
    <row r="6196" spans="28:35" ht="15" hidden="1" customHeight="1">
      <c r="AB6196" s="9"/>
      <c r="AC6196" s="9"/>
      <c r="AD6196" s="9"/>
      <c r="AF6196" s="10"/>
      <c r="AG6196" s="10"/>
      <c r="AH6196" s="10"/>
      <c r="AI6196" s="10"/>
    </row>
    <row r="6197" spans="28:35" ht="15" hidden="1" customHeight="1">
      <c r="AB6197" s="9"/>
      <c r="AC6197" s="9"/>
      <c r="AD6197" s="9"/>
      <c r="AF6197" s="10"/>
      <c r="AG6197" s="10"/>
      <c r="AH6197" s="10"/>
      <c r="AI6197" s="10"/>
    </row>
    <row r="6198" spans="28:35" ht="15" hidden="1" customHeight="1">
      <c r="AB6198" s="9"/>
      <c r="AC6198" s="9"/>
      <c r="AD6198" s="9"/>
      <c r="AF6198" s="10"/>
      <c r="AG6198" s="10"/>
      <c r="AH6198" s="10"/>
      <c r="AI6198" s="10"/>
    </row>
    <row r="6199" spans="28:35" ht="15" hidden="1" customHeight="1">
      <c r="AB6199" s="9"/>
      <c r="AC6199" s="9"/>
      <c r="AD6199" s="9"/>
      <c r="AF6199" s="10"/>
      <c r="AG6199" s="10"/>
      <c r="AH6199" s="10"/>
      <c r="AI6199" s="10"/>
    </row>
    <row r="6200" spans="28:35" ht="15" hidden="1" customHeight="1">
      <c r="AB6200" s="9"/>
      <c r="AC6200" s="9"/>
      <c r="AD6200" s="9"/>
      <c r="AF6200" s="10"/>
      <c r="AG6200" s="10"/>
      <c r="AH6200" s="10"/>
      <c r="AI6200" s="10"/>
    </row>
    <row r="6201" spans="28:35" ht="15" hidden="1" customHeight="1">
      <c r="AB6201" s="9"/>
      <c r="AC6201" s="9"/>
      <c r="AD6201" s="9"/>
      <c r="AF6201" s="10"/>
      <c r="AG6201" s="10"/>
      <c r="AH6201" s="10"/>
      <c r="AI6201" s="10"/>
    </row>
    <row r="6202" spans="28:35" ht="15" hidden="1" customHeight="1">
      <c r="AB6202" s="9"/>
      <c r="AC6202" s="9"/>
      <c r="AD6202" s="9"/>
      <c r="AF6202" s="10"/>
      <c r="AG6202" s="10"/>
      <c r="AH6202" s="10"/>
      <c r="AI6202" s="10"/>
    </row>
    <row r="6203" spans="28:35" ht="15" hidden="1" customHeight="1">
      <c r="AB6203" s="9"/>
      <c r="AC6203" s="9"/>
      <c r="AD6203" s="9"/>
      <c r="AF6203" s="10"/>
      <c r="AG6203" s="10"/>
      <c r="AH6203" s="10"/>
      <c r="AI6203" s="10"/>
    </row>
    <row r="6204" spans="28:35" ht="15" hidden="1" customHeight="1">
      <c r="AB6204" s="9"/>
      <c r="AC6204" s="9"/>
      <c r="AD6204" s="9"/>
      <c r="AF6204" s="10"/>
      <c r="AG6204" s="10"/>
      <c r="AH6204" s="10"/>
      <c r="AI6204" s="10"/>
    </row>
    <row r="6205" spans="28:35" ht="15" hidden="1" customHeight="1">
      <c r="AB6205" s="9"/>
      <c r="AC6205" s="9"/>
      <c r="AD6205" s="9"/>
      <c r="AF6205" s="10"/>
      <c r="AG6205" s="10"/>
      <c r="AH6205" s="10"/>
      <c r="AI6205" s="10"/>
    </row>
    <row r="6206" spans="28:35" ht="15" hidden="1" customHeight="1">
      <c r="AB6206" s="9"/>
      <c r="AC6206" s="9"/>
      <c r="AD6206" s="9"/>
      <c r="AF6206" s="10"/>
      <c r="AG6206" s="10"/>
      <c r="AH6206" s="10"/>
      <c r="AI6206" s="10"/>
    </row>
    <row r="6207" spans="28:35" ht="15" hidden="1" customHeight="1">
      <c r="AB6207" s="9"/>
      <c r="AC6207" s="9"/>
      <c r="AD6207" s="9"/>
      <c r="AF6207" s="10"/>
      <c r="AG6207" s="10"/>
      <c r="AH6207" s="10"/>
      <c r="AI6207" s="10"/>
    </row>
    <row r="6208" spans="28:35" ht="15" hidden="1" customHeight="1">
      <c r="AB6208" s="9"/>
      <c r="AC6208" s="9"/>
      <c r="AD6208" s="9"/>
      <c r="AF6208" s="10"/>
      <c r="AG6208" s="10"/>
      <c r="AH6208" s="10"/>
      <c r="AI6208" s="10"/>
    </row>
    <row r="6209" spans="28:35" ht="15" hidden="1" customHeight="1">
      <c r="AB6209" s="9"/>
      <c r="AC6209" s="9"/>
      <c r="AD6209" s="9"/>
      <c r="AF6209" s="10"/>
      <c r="AG6209" s="10"/>
      <c r="AH6209" s="10"/>
      <c r="AI6209" s="10"/>
    </row>
    <row r="6210" spans="28:35" ht="15" hidden="1" customHeight="1">
      <c r="AB6210" s="9"/>
      <c r="AC6210" s="9"/>
      <c r="AD6210" s="9"/>
      <c r="AF6210" s="10"/>
      <c r="AG6210" s="10"/>
      <c r="AH6210" s="10"/>
      <c r="AI6210" s="10"/>
    </row>
    <row r="6211" spans="28:35" ht="15" hidden="1" customHeight="1">
      <c r="AB6211" s="9"/>
      <c r="AC6211" s="9"/>
      <c r="AD6211" s="9"/>
      <c r="AF6211" s="10"/>
      <c r="AG6211" s="10"/>
      <c r="AH6211" s="10"/>
      <c r="AI6211" s="10"/>
    </row>
    <row r="6212" spans="28:35" ht="15" hidden="1" customHeight="1">
      <c r="AB6212" s="9"/>
      <c r="AC6212" s="9"/>
      <c r="AD6212" s="9"/>
      <c r="AF6212" s="10"/>
      <c r="AG6212" s="10"/>
      <c r="AH6212" s="10"/>
      <c r="AI6212" s="10"/>
    </row>
    <row r="6213" spans="28:35" ht="15" hidden="1" customHeight="1">
      <c r="AB6213" s="9"/>
      <c r="AC6213" s="9"/>
      <c r="AD6213" s="9"/>
      <c r="AF6213" s="10"/>
      <c r="AG6213" s="10"/>
      <c r="AH6213" s="10"/>
      <c r="AI6213" s="10"/>
    </row>
    <row r="6214" spans="28:35" ht="15" hidden="1" customHeight="1">
      <c r="AB6214" s="9"/>
      <c r="AC6214" s="9"/>
      <c r="AD6214" s="9"/>
      <c r="AF6214" s="10"/>
      <c r="AG6214" s="10"/>
      <c r="AH6214" s="10"/>
      <c r="AI6214" s="10"/>
    </row>
    <row r="6215" spans="28:35" ht="15" hidden="1" customHeight="1">
      <c r="AB6215" s="9"/>
      <c r="AC6215" s="9"/>
      <c r="AD6215" s="9"/>
      <c r="AF6215" s="10"/>
      <c r="AG6215" s="10"/>
      <c r="AH6215" s="10"/>
      <c r="AI6215" s="10"/>
    </row>
    <row r="6216" spans="28:35" ht="15" hidden="1" customHeight="1">
      <c r="AB6216" s="9"/>
      <c r="AC6216" s="9"/>
      <c r="AD6216" s="9"/>
      <c r="AF6216" s="10"/>
      <c r="AG6216" s="10"/>
      <c r="AH6216" s="10"/>
      <c r="AI6216" s="10"/>
    </row>
    <row r="6217" spans="28:35" ht="15" hidden="1" customHeight="1">
      <c r="AB6217" s="9"/>
      <c r="AC6217" s="9"/>
      <c r="AD6217" s="9"/>
      <c r="AF6217" s="10"/>
      <c r="AG6217" s="10"/>
      <c r="AH6217" s="10"/>
      <c r="AI6217" s="10"/>
    </row>
    <row r="6218" spans="28:35" ht="15" hidden="1" customHeight="1">
      <c r="AB6218" s="9"/>
      <c r="AC6218" s="9"/>
      <c r="AD6218" s="9"/>
      <c r="AF6218" s="10"/>
      <c r="AG6218" s="10"/>
      <c r="AH6218" s="10"/>
      <c r="AI6218" s="10"/>
    </row>
    <row r="6219" spans="28:35" ht="15" hidden="1" customHeight="1">
      <c r="AB6219" s="9"/>
      <c r="AC6219" s="9"/>
      <c r="AD6219" s="9"/>
      <c r="AF6219" s="10"/>
      <c r="AG6219" s="10"/>
      <c r="AH6219" s="10"/>
      <c r="AI6219" s="10"/>
    </row>
    <row r="6220" spans="28:35" ht="15" hidden="1" customHeight="1">
      <c r="AB6220" s="9"/>
      <c r="AC6220" s="9"/>
      <c r="AD6220" s="9"/>
      <c r="AF6220" s="10"/>
      <c r="AG6220" s="10"/>
      <c r="AH6220" s="10"/>
      <c r="AI6220" s="10"/>
    </row>
    <row r="6221" spans="28:35" ht="15" hidden="1" customHeight="1">
      <c r="AB6221" s="9"/>
      <c r="AC6221" s="9"/>
      <c r="AD6221" s="9"/>
      <c r="AF6221" s="10"/>
      <c r="AG6221" s="10"/>
      <c r="AH6221" s="10"/>
      <c r="AI6221" s="10"/>
    </row>
    <row r="6222" spans="28:35" ht="15" hidden="1" customHeight="1">
      <c r="AB6222" s="9"/>
      <c r="AC6222" s="9"/>
      <c r="AD6222" s="9"/>
      <c r="AF6222" s="10"/>
      <c r="AG6222" s="10"/>
      <c r="AH6222" s="10"/>
      <c r="AI6222" s="10"/>
    </row>
    <row r="6223" spans="28:35" ht="15" hidden="1" customHeight="1">
      <c r="AB6223" s="9"/>
      <c r="AC6223" s="9"/>
      <c r="AD6223" s="9"/>
      <c r="AF6223" s="10"/>
      <c r="AG6223" s="10"/>
      <c r="AH6223" s="10"/>
      <c r="AI6223" s="10"/>
    </row>
    <row r="6224" spans="28:35" ht="15" hidden="1" customHeight="1">
      <c r="AB6224" s="9"/>
      <c r="AC6224" s="9"/>
      <c r="AD6224" s="9"/>
      <c r="AF6224" s="10"/>
      <c r="AG6224" s="10"/>
      <c r="AH6224" s="10"/>
      <c r="AI6224" s="10"/>
    </row>
    <row r="6225" spans="28:35" ht="15" hidden="1" customHeight="1">
      <c r="AB6225" s="9"/>
      <c r="AC6225" s="9"/>
      <c r="AD6225" s="9"/>
      <c r="AF6225" s="10"/>
      <c r="AG6225" s="10"/>
      <c r="AH6225" s="10"/>
      <c r="AI6225" s="10"/>
    </row>
    <row r="6226" spans="28:35" ht="15" hidden="1" customHeight="1">
      <c r="AB6226" s="9"/>
      <c r="AC6226" s="9"/>
      <c r="AD6226" s="9"/>
      <c r="AF6226" s="10"/>
      <c r="AG6226" s="10"/>
      <c r="AH6226" s="10"/>
      <c r="AI6226" s="10"/>
    </row>
    <row r="6227" spans="28:35" ht="15" hidden="1" customHeight="1">
      <c r="AB6227" s="9"/>
      <c r="AC6227" s="9"/>
      <c r="AD6227" s="9"/>
      <c r="AF6227" s="10"/>
      <c r="AG6227" s="10"/>
      <c r="AH6227" s="10"/>
      <c r="AI6227" s="10"/>
    </row>
    <row r="6228" spans="28:35" ht="15" hidden="1" customHeight="1">
      <c r="AB6228" s="9"/>
      <c r="AC6228" s="9"/>
      <c r="AD6228" s="9"/>
      <c r="AF6228" s="10"/>
      <c r="AG6228" s="10"/>
      <c r="AH6228" s="10"/>
      <c r="AI6228" s="10"/>
    </row>
    <row r="6229" spans="28:35" ht="15" hidden="1" customHeight="1">
      <c r="AB6229" s="9"/>
      <c r="AC6229" s="9"/>
      <c r="AD6229" s="9"/>
      <c r="AF6229" s="10"/>
      <c r="AG6229" s="10"/>
      <c r="AH6229" s="10"/>
      <c r="AI6229" s="10"/>
    </row>
    <row r="6230" spans="28:35" ht="15" hidden="1" customHeight="1">
      <c r="AB6230" s="9"/>
      <c r="AC6230" s="9"/>
      <c r="AD6230" s="9"/>
      <c r="AF6230" s="10"/>
      <c r="AG6230" s="10"/>
      <c r="AH6230" s="10"/>
      <c r="AI6230" s="10"/>
    </row>
    <row r="6231" spans="28:35" ht="15" hidden="1" customHeight="1">
      <c r="AB6231" s="9"/>
      <c r="AC6231" s="9"/>
      <c r="AD6231" s="9"/>
      <c r="AF6231" s="10"/>
      <c r="AG6231" s="10"/>
      <c r="AH6231" s="10"/>
      <c r="AI6231" s="10"/>
    </row>
    <row r="6232" spans="28:35" ht="15" hidden="1" customHeight="1">
      <c r="AB6232" s="9"/>
      <c r="AC6232" s="9"/>
      <c r="AD6232" s="9"/>
      <c r="AF6232" s="10"/>
      <c r="AG6232" s="10"/>
      <c r="AH6232" s="10"/>
      <c r="AI6232" s="10"/>
    </row>
    <row r="6233" spans="28:35" ht="15" hidden="1" customHeight="1">
      <c r="AB6233" s="9"/>
      <c r="AC6233" s="9"/>
      <c r="AD6233" s="9"/>
      <c r="AF6233" s="10"/>
      <c r="AG6233" s="10"/>
      <c r="AH6233" s="10"/>
      <c r="AI6233" s="10"/>
    </row>
    <row r="6234" spans="28:35" ht="15" hidden="1" customHeight="1">
      <c r="AB6234" s="9"/>
      <c r="AC6234" s="9"/>
      <c r="AD6234" s="9"/>
      <c r="AF6234" s="10"/>
      <c r="AG6234" s="10"/>
      <c r="AH6234" s="10"/>
      <c r="AI6234" s="10"/>
    </row>
    <row r="6235" spans="28:35" ht="15" hidden="1" customHeight="1">
      <c r="AB6235" s="9"/>
      <c r="AC6235" s="9"/>
      <c r="AD6235" s="9"/>
      <c r="AF6235" s="10"/>
      <c r="AG6235" s="10"/>
      <c r="AH6235" s="10"/>
      <c r="AI6235" s="10"/>
    </row>
    <row r="6236" spans="28:35" ht="15" hidden="1" customHeight="1">
      <c r="AB6236" s="9"/>
      <c r="AC6236" s="9"/>
      <c r="AD6236" s="9"/>
      <c r="AF6236" s="10"/>
      <c r="AG6236" s="10"/>
      <c r="AH6236" s="10"/>
      <c r="AI6236" s="10"/>
    </row>
    <row r="6237" spans="28:35" ht="15" hidden="1" customHeight="1">
      <c r="AB6237" s="9"/>
      <c r="AC6237" s="9"/>
      <c r="AD6237" s="9"/>
      <c r="AF6237" s="10"/>
      <c r="AG6237" s="10"/>
      <c r="AH6237" s="10"/>
      <c r="AI6237" s="10"/>
    </row>
    <row r="6238" spans="28:35" ht="15" hidden="1" customHeight="1">
      <c r="AB6238" s="9"/>
      <c r="AC6238" s="9"/>
      <c r="AD6238" s="9"/>
      <c r="AF6238" s="10"/>
      <c r="AG6238" s="10"/>
      <c r="AH6238" s="10"/>
      <c r="AI6238" s="10"/>
    </row>
    <row r="6239" spans="28:35" ht="15" hidden="1" customHeight="1">
      <c r="AB6239" s="9"/>
      <c r="AC6239" s="9"/>
      <c r="AD6239" s="9"/>
      <c r="AF6239" s="10"/>
      <c r="AG6239" s="10"/>
      <c r="AH6239" s="10"/>
      <c r="AI6239" s="10"/>
    </row>
    <row r="6240" spans="28:35" ht="15" hidden="1" customHeight="1">
      <c r="AB6240" s="9"/>
      <c r="AC6240" s="9"/>
      <c r="AD6240" s="9"/>
      <c r="AF6240" s="10"/>
      <c r="AG6240" s="10"/>
      <c r="AH6240" s="10"/>
      <c r="AI6240" s="10"/>
    </row>
    <row r="6241" spans="28:35" ht="15" hidden="1" customHeight="1">
      <c r="AB6241" s="9"/>
      <c r="AC6241" s="9"/>
      <c r="AD6241" s="9"/>
      <c r="AF6241" s="10"/>
      <c r="AG6241" s="10"/>
      <c r="AH6241" s="10"/>
      <c r="AI6241" s="10"/>
    </row>
    <row r="6242" spans="28:35" ht="15" hidden="1" customHeight="1">
      <c r="AB6242" s="9"/>
      <c r="AC6242" s="9"/>
      <c r="AD6242" s="9"/>
      <c r="AF6242" s="10"/>
      <c r="AG6242" s="10"/>
      <c r="AH6242" s="10"/>
      <c r="AI6242" s="10"/>
    </row>
    <row r="6243" spans="28:35" ht="15" hidden="1" customHeight="1">
      <c r="AB6243" s="9"/>
      <c r="AC6243" s="9"/>
      <c r="AD6243" s="9"/>
      <c r="AF6243" s="10"/>
      <c r="AG6243" s="10"/>
      <c r="AH6243" s="10"/>
      <c r="AI6243" s="10"/>
    </row>
    <row r="6244" spans="28:35" ht="15" hidden="1" customHeight="1">
      <c r="AB6244" s="9"/>
      <c r="AC6244" s="9"/>
      <c r="AD6244" s="9"/>
      <c r="AF6244" s="10"/>
      <c r="AG6244" s="10"/>
      <c r="AH6244" s="10"/>
      <c r="AI6244" s="10"/>
    </row>
    <row r="6245" spans="28:35" ht="15" hidden="1" customHeight="1">
      <c r="AB6245" s="9"/>
      <c r="AC6245" s="9"/>
      <c r="AD6245" s="9"/>
      <c r="AF6245" s="10"/>
      <c r="AG6245" s="10"/>
      <c r="AH6245" s="10"/>
      <c r="AI6245" s="10"/>
    </row>
    <row r="6246" spans="28:35" ht="15" hidden="1" customHeight="1">
      <c r="AB6246" s="9"/>
      <c r="AC6246" s="9"/>
      <c r="AD6246" s="9"/>
      <c r="AF6246" s="10"/>
      <c r="AG6246" s="10"/>
      <c r="AH6246" s="10"/>
      <c r="AI6246" s="10"/>
    </row>
    <row r="6247" spans="28:35" ht="15" hidden="1" customHeight="1">
      <c r="AB6247" s="9"/>
      <c r="AC6247" s="9"/>
      <c r="AD6247" s="9"/>
      <c r="AF6247" s="10"/>
      <c r="AG6247" s="10"/>
      <c r="AH6247" s="10"/>
      <c r="AI6247" s="10"/>
    </row>
    <row r="6248" spans="28:35" ht="15" hidden="1" customHeight="1">
      <c r="AB6248" s="9"/>
      <c r="AC6248" s="9"/>
      <c r="AD6248" s="9"/>
      <c r="AF6248" s="10"/>
      <c r="AG6248" s="10"/>
      <c r="AH6248" s="10"/>
      <c r="AI6248" s="10"/>
    </row>
    <row r="6249" spans="28:35" ht="15" hidden="1" customHeight="1">
      <c r="AB6249" s="9"/>
      <c r="AC6249" s="9"/>
      <c r="AD6249" s="9"/>
      <c r="AF6249" s="10"/>
      <c r="AG6249" s="10"/>
      <c r="AH6249" s="10"/>
      <c r="AI6249" s="10"/>
    </row>
    <row r="6250" spans="28:35" ht="15" hidden="1" customHeight="1">
      <c r="AB6250" s="9"/>
      <c r="AC6250" s="9"/>
      <c r="AD6250" s="9"/>
      <c r="AF6250" s="10"/>
      <c r="AG6250" s="10"/>
      <c r="AH6250" s="10"/>
      <c r="AI6250" s="10"/>
    </row>
    <row r="6251" spans="28:35" ht="15" hidden="1" customHeight="1">
      <c r="AB6251" s="9"/>
      <c r="AC6251" s="9"/>
      <c r="AD6251" s="9"/>
      <c r="AF6251" s="10"/>
      <c r="AG6251" s="10"/>
      <c r="AH6251" s="10"/>
      <c r="AI6251" s="10"/>
    </row>
    <row r="6252" spans="28:35" ht="15" hidden="1" customHeight="1">
      <c r="AB6252" s="9"/>
      <c r="AC6252" s="9"/>
      <c r="AD6252" s="9"/>
      <c r="AF6252" s="10"/>
      <c r="AG6252" s="10"/>
      <c r="AH6252" s="10"/>
      <c r="AI6252" s="10"/>
    </row>
    <row r="6253" spans="28:35" ht="15" hidden="1" customHeight="1">
      <c r="AB6253" s="9"/>
      <c r="AC6253" s="9"/>
      <c r="AD6253" s="9"/>
      <c r="AF6253" s="10"/>
      <c r="AG6253" s="10"/>
      <c r="AH6253" s="10"/>
      <c r="AI6253" s="10"/>
    </row>
    <row r="6254" spans="28:35" ht="15" hidden="1" customHeight="1">
      <c r="AB6254" s="9"/>
      <c r="AC6254" s="9"/>
      <c r="AD6254" s="9"/>
      <c r="AF6254" s="10"/>
      <c r="AG6254" s="10"/>
      <c r="AH6254" s="10"/>
      <c r="AI6254" s="10"/>
    </row>
    <row r="6255" spans="28:35" ht="15" hidden="1" customHeight="1">
      <c r="AB6255" s="9"/>
      <c r="AC6255" s="9"/>
      <c r="AD6255" s="9"/>
      <c r="AF6255" s="10"/>
      <c r="AG6255" s="10"/>
      <c r="AH6255" s="10"/>
      <c r="AI6255" s="10"/>
    </row>
    <row r="6256" spans="28:35" ht="15" hidden="1" customHeight="1">
      <c r="AB6256" s="9"/>
      <c r="AC6256" s="9"/>
      <c r="AD6256" s="9"/>
      <c r="AF6256" s="10"/>
      <c r="AG6256" s="10"/>
      <c r="AH6256" s="10"/>
      <c r="AI6256" s="10"/>
    </row>
    <row r="6257" spans="28:35" ht="15" hidden="1" customHeight="1">
      <c r="AB6257" s="9"/>
      <c r="AC6257" s="9"/>
      <c r="AD6257" s="9"/>
      <c r="AF6257" s="10"/>
      <c r="AG6257" s="10"/>
      <c r="AH6257" s="10"/>
      <c r="AI6257" s="10"/>
    </row>
    <row r="6258" spans="28:35" ht="15" hidden="1" customHeight="1">
      <c r="AB6258" s="9"/>
      <c r="AC6258" s="9"/>
      <c r="AD6258" s="9"/>
      <c r="AF6258" s="10"/>
      <c r="AG6258" s="10"/>
      <c r="AH6258" s="10"/>
      <c r="AI6258" s="10"/>
    </row>
    <row r="6259" spans="28:35" ht="15" hidden="1" customHeight="1">
      <c r="AB6259" s="9"/>
      <c r="AC6259" s="9"/>
      <c r="AD6259" s="9"/>
      <c r="AF6259" s="10"/>
      <c r="AG6259" s="10"/>
      <c r="AH6259" s="10"/>
      <c r="AI6259" s="10"/>
    </row>
    <row r="6260" spans="28:35" ht="15" hidden="1" customHeight="1">
      <c r="AB6260" s="9"/>
      <c r="AC6260" s="9"/>
      <c r="AD6260" s="9"/>
      <c r="AF6260" s="10"/>
      <c r="AG6260" s="10"/>
      <c r="AH6260" s="10"/>
      <c r="AI6260" s="10"/>
    </row>
    <row r="6261" spans="28:35" ht="15" hidden="1" customHeight="1">
      <c r="AB6261" s="9"/>
      <c r="AC6261" s="9"/>
      <c r="AD6261" s="9"/>
      <c r="AF6261" s="10"/>
      <c r="AG6261" s="10"/>
      <c r="AH6261" s="10"/>
      <c r="AI6261" s="10"/>
    </row>
    <row r="6262" spans="28:35" ht="15" hidden="1" customHeight="1">
      <c r="AB6262" s="9"/>
      <c r="AC6262" s="9"/>
      <c r="AD6262" s="9"/>
      <c r="AF6262" s="10"/>
      <c r="AG6262" s="10"/>
      <c r="AH6262" s="10"/>
      <c r="AI6262" s="10"/>
    </row>
    <row r="6263" spans="28:35" ht="15" hidden="1" customHeight="1">
      <c r="AB6263" s="9"/>
      <c r="AC6263" s="9"/>
      <c r="AD6263" s="9"/>
      <c r="AF6263" s="10"/>
      <c r="AG6263" s="10"/>
      <c r="AH6263" s="10"/>
      <c r="AI6263" s="10"/>
    </row>
    <row r="6264" spans="28:35" ht="15" hidden="1" customHeight="1">
      <c r="AB6264" s="9"/>
      <c r="AC6264" s="9"/>
      <c r="AD6264" s="9"/>
      <c r="AF6264" s="10"/>
      <c r="AG6264" s="10"/>
      <c r="AH6264" s="10"/>
      <c r="AI6264" s="10"/>
    </row>
    <row r="6265" spans="28:35" ht="15" hidden="1" customHeight="1">
      <c r="AB6265" s="9"/>
      <c r="AC6265" s="9"/>
      <c r="AD6265" s="9"/>
      <c r="AF6265" s="10"/>
      <c r="AG6265" s="10"/>
      <c r="AH6265" s="10"/>
      <c r="AI6265" s="10"/>
    </row>
    <row r="6266" spans="28:35" ht="15" hidden="1" customHeight="1">
      <c r="AB6266" s="9"/>
      <c r="AC6266" s="9"/>
      <c r="AD6266" s="9"/>
      <c r="AF6266" s="10"/>
      <c r="AG6266" s="10"/>
      <c r="AH6266" s="10"/>
      <c r="AI6266" s="10"/>
    </row>
    <row r="6267" spans="28:35" ht="15" hidden="1" customHeight="1">
      <c r="AB6267" s="9"/>
      <c r="AC6267" s="9"/>
      <c r="AD6267" s="9"/>
      <c r="AF6267" s="10"/>
      <c r="AG6267" s="10"/>
      <c r="AH6267" s="10"/>
      <c r="AI6267" s="10"/>
    </row>
    <row r="6268" spans="28:35" ht="15" hidden="1" customHeight="1">
      <c r="AB6268" s="9"/>
      <c r="AC6268" s="9"/>
      <c r="AD6268" s="9"/>
      <c r="AF6268" s="10"/>
      <c r="AG6268" s="10"/>
      <c r="AH6268" s="10"/>
      <c r="AI6268" s="10"/>
    </row>
    <row r="6269" spans="28:35" ht="15" hidden="1" customHeight="1">
      <c r="AB6269" s="9"/>
      <c r="AC6269" s="9"/>
      <c r="AD6269" s="9"/>
      <c r="AF6269" s="10"/>
      <c r="AG6269" s="10"/>
      <c r="AH6269" s="10"/>
      <c r="AI6269" s="10"/>
    </row>
    <row r="6270" spans="28:35" ht="15" hidden="1" customHeight="1">
      <c r="AB6270" s="9"/>
      <c r="AC6270" s="9"/>
      <c r="AD6270" s="9"/>
      <c r="AF6270" s="10"/>
      <c r="AG6270" s="10"/>
      <c r="AH6270" s="10"/>
      <c r="AI6270" s="10"/>
    </row>
    <row r="6271" spans="28:35" ht="15" hidden="1" customHeight="1">
      <c r="AB6271" s="9"/>
      <c r="AC6271" s="9"/>
      <c r="AD6271" s="9"/>
      <c r="AF6271" s="10"/>
      <c r="AG6271" s="10"/>
      <c r="AH6271" s="10"/>
      <c r="AI6271" s="10"/>
    </row>
    <row r="6272" spans="28:35" ht="15" hidden="1" customHeight="1">
      <c r="AB6272" s="9"/>
      <c r="AC6272" s="9"/>
      <c r="AD6272" s="9"/>
      <c r="AF6272" s="10"/>
      <c r="AG6272" s="10"/>
      <c r="AH6272" s="10"/>
      <c r="AI6272" s="10"/>
    </row>
    <row r="6273" spans="28:35" ht="15" hidden="1" customHeight="1">
      <c r="AB6273" s="9"/>
      <c r="AC6273" s="9"/>
      <c r="AD6273" s="9"/>
      <c r="AF6273" s="10"/>
      <c r="AG6273" s="10"/>
      <c r="AH6273" s="10"/>
      <c r="AI6273" s="10"/>
    </row>
    <row r="6274" spans="28:35" ht="15" hidden="1" customHeight="1">
      <c r="AB6274" s="9"/>
      <c r="AC6274" s="9"/>
      <c r="AD6274" s="9"/>
      <c r="AF6274" s="10"/>
      <c r="AG6274" s="10"/>
      <c r="AH6274" s="10"/>
      <c r="AI6274" s="10"/>
    </row>
    <row r="6275" spans="28:35" ht="15" hidden="1" customHeight="1">
      <c r="AB6275" s="9"/>
      <c r="AC6275" s="9"/>
      <c r="AD6275" s="9"/>
      <c r="AF6275" s="10"/>
      <c r="AG6275" s="10"/>
      <c r="AH6275" s="10"/>
      <c r="AI6275" s="10"/>
    </row>
    <row r="6276" spans="28:35" ht="15" hidden="1" customHeight="1">
      <c r="AB6276" s="9"/>
      <c r="AC6276" s="9"/>
      <c r="AD6276" s="9"/>
      <c r="AF6276" s="10"/>
      <c r="AG6276" s="10"/>
      <c r="AH6276" s="10"/>
      <c r="AI6276" s="10"/>
    </row>
    <row r="6277" spans="28:35" ht="15" hidden="1" customHeight="1">
      <c r="AB6277" s="9"/>
      <c r="AC6277" s="9"/>
      <c r="AD6277" s="9"/>
      <c r="AF6277" s="10"/>
      <c r="AG6277" s="10"/>
      <c r="AH6277" s="10"/>
      <c r="AI6277" s="10"/>
    </row>
    <row r="6278" spans="28:35" ht="15" hidden="1" customHeight="1">
      <c r="AB6278" s="9"/>
      <c r="AC6278" s="9"/>
      <c r="AD6278" s="9"/>
      <c r="AF6278" s="10"/>
      <c r="AG6278" s="10"/>
      <c r="AH6278" s="10"/>
      <c r="AI6278" s="10"/>
    </row>
    <row r="6279" spans="28:35" ht="15" hidden="1" customHeight="1">
      <c r="AB6279" s="9"/>
      <c r="AC6279" s="9"/>
      <c r="AD6279" s="9"/>
      <c r="AF6279" s="10"/>
      <c r="AG6279" s="10"/>
      <c r="AH6279" s="10"/>
      <c r="AI6279" s="10"/>
    </row>
    <row r="6280" spans="28:35" ht="15" hidden="1" customHeight="1">
      <c r="AB6280" s="9"/>
      <c r="AC6280" s="9"/>
      <c r="AD6280" s="9"/>
      <c r="AF6280" s="10"/>
      <c r="AG6280" s="10"/>
      <c r="AH6280" s="10"/>
      <c r="AI6280" s="10"/>
    </row>
    <row r="6281" spans="28:35" ht="15" hidden="1" customHeight="1">
      <c r="AB6281" s="9"/>
      <c r="AC6281" s="9"/>
      <c r="AD6281" s="9"/>
      <c r="AF6281" s="10"/>
      <c r="AG6281" s="10"/>
      <c r="AH6281" s="10"/>
      <c r="AI6281" s="10"/>
    </row>
    <row r="6282" spans="28:35" ht="15" hidden="1" customHeight="1">
      <c r="AB6282" s="9"/>
      <c r="AC6282" s="9"/>
      <c r="AD6282" s="9"/>
      <c r="AF6282" s="10"/>
      <c r="AG6282" s="10"/>
      <c r="AH6282" s="10"/>
      <c r="AI6282" s="10"/>
    </row>
    <row r="6283" spans="28:35" ht="15" hidden="1" customHeight="1">
      <c r="AB6283" s="9"/>
      <c r="AC6283" s="9"/>
      <c r="AD6283" s="9"/>
      <c r="AF6283" s="10"/>
      <c r="AG6283" s="10"/>
      <c r="AH6283" s="10"/>
      <c r="AI6283" s="10"/>
    </row>
    <row r="6284" spans="28:35" ht="15" hidden="1" customHeight="1">
      <c r="AB6284" s="9"/>
      <c r="AC6284" s="9"/>
      <c r="AD6284" s="9"/>
      <c r="AF6284" s="10"/>
      <c r="AG6284" s="10"/>
      <c r="AH6284" s="10"/>
      <c r="AI6284" s="10"/>
    </row>
    <row r="6285" spans="28:35" ht="15" hidden="1" customHeight="1">
      <c r="AB6285" s="9"/>
      <c r="AC6285" s="9"/>
      <c r="AD6285" s="9"/>
      <c r="AF6285" s="10"/>
      <c r="AG6285" s="10"/>
      <c r="AH6285" s="10"/>
      <c r="AI6285" s="10"/>
    </row>
    <row r="6286" spans="28:35" ht="15" hidden="1" customHeight="1">
      <c r="AB6286" s="9"/>
      <c r="AC6286" s="9"/>
      <c r="AD6286" s="9"/>
      <c r="AF6286" s="10"/>
      <c r="AG6286" s="10"/>
      <c r="AH6286" s="10"/>
      <c r="AI6286" s="10"/>
    </row>
    <row r="6287" spans="28:35" ht="15" hidden="1" customHeight="1">
      <c r="AB6287" s="9"/>
      <c r="AC6287" s="9"/>
      <c r="AD6287" s="9"/>
      <c r="AF6287" s="10"/>
      <c r="AG6287" s="10"/>
      <c r="AH6287" s="10"/>
      <c r="AI6287" s="10"/>
    </row>
    <row r="6288" spans="28:35" ht="15" hidden="1" customHeight="1">
      <c r="AB6288" s="9"/>
      <c r="AC6288" s="9"/>
      <c r="AD6288" s="9"/>
      <c r="AF6288" s="10"/>
      <c r="AG6288" s="10"/>
      <c r="AH6288" s="10"/>
      <c r="AI6288" s="10"/>
    </row>
    <row r="6289" spans="28:35" ht="15" hidden="1" customHeight="1">
      <c r="AB6289" s="9"/>
      <c r="AC6289" s="9"/>
      <c r="AD6289" s="9"/>
      <c r="AF6289" s="10"/>
      <c r="AG6289" s="10"/>
      <c r="AH6289" s="10"/>
      <c r="AI6289" s="10"/>
    </row>
    <row r="6290" spans="28:35" ht="15" hidden="1" customHeight="1">
      <c r="AB6290" s="9"/>
      <c r="AC6290" s="9"/>
      <c r="AD6290" s="9"/>
      <c r="AF6290" s="10"/>
      <c r="AG6290" s="10"/>
      <c r="AH6290" s="10"/>
      <c r="AI6290" s="10"/>
    </row>
    <row r="6291" spans="28:35" ht="15" hidden="1" customHeight="1">
      <c r="AB6291" s="9"/>
      <c r="AC6291" s="9"/>
      <c r="AD6291" s="9"/>
      <c r="AF6291" s="10"/>
      <c r="AG6291" s="10"/>
      <c r="AH6291" s="10"/>
      <c r="AI6291" s="10"/>
    </row>
    <row r="6292" spans="28:35" ht="15" hidden="1" customHeight="1">
      <c r="AB6292" s="9"/>
      <c r="AC6292" s="9"/>
      <c r="AD6292" s="9"/>
      <c r="AF6292" s="10"/>
      <c r="AG6292" s="10"/>
      <c r="AH6292" s="10"/>
      <c r="AI6292" s="10"/>
    </row>
    <row r="6293" spans="28:35" ht="15" hidden="1" customHeight="1">
      <c r="AB6293" s="9"/>
      <c r="AC6293" s="9"/>
      <c r="AD6293" s="9"/>
      <c r="AF6293" s="10"/>
      <c r="AG6293" s="10"/>
      <c r="AH6293" s="10"/>
      <c r="AI6293" s="10"/>
    </row>
    <row r="6294" spans="28:35" ht="15" hidden="1" customHeight="1">
      <c r="AB6294" s="9"/>
      <c r="AC6294" s="9"/>
      <c r="AD6294" s="9"/>
      <c r="AF6294" s="10"/>
      <c r="AG6294" s="10"/>
      <c r="AH6294" s="10"/>
      <c r="AI6294" s="10"/>
    </row>
    <row r="6295" spans="28:35" ht="15" hidden="1" customHeight="1">
      <c r="AB6295" s="9"/>
      <c r="AC6295" s="9"/>
      <c r="AD6295" s="9"/>
      <c r="AF6295" s="10"/>
      <c r="AG6295" s="10"/>
      <c r="AH6295" s="10"/>
      <c r="AI6295" s="10"/>
    </row>
    <row r="6296" spans="28:35" ht="15" hidden="1" customHeight="1">
      <c r="AB6296" s="9"/>
      <c r="AC6296" s="9"/>
      <c r="AD6296" s="9"/>
      <c r="AF6296" s="10"/>
      <c r="AG6296" s="10"/>
      <c r="AH6296" s="10"/>
      <c r="AI6296" s="10"/>
    </row>
    <row r="6297" spans="28:35" ht="15" hidden="1" customHeight="1">
      <c r="AB6297" s="9"/>
      <c r="AC6297" s="9"/>
      <c r="AD6297" s="9"/>
      <c r="AF6297" s="10"/>
      <c r="AG6297" s="10"/>
      <c r="AH6297" s="10"/>
      <c r="AI6297" s="10"/>
    </row>
    <row r="6298" spans="28:35" ht="15" hidden="1" customHeight="1">
      <c r="AB6298" s="9"/>
      <c r="AC6298" s="9"/>
      <c r="AD6298" s="9"/>
      <c r="AF6298" s="10"/>
      <c r="AG6298" s="10"/>
      <c r="AH6298" s="10"/>
      <c r="AI6298" s="10"/>
    </row>
    <row r="6299" spans="28:35" ht="15" hidden="1" customHeight="1">
      <c r="AB6299" s="9"/>
      <c r="AC6299" s="9"/>
      <c r="AD6299" s="9"/>
      <c r="AF6299" s="10"/>
      <c r="AG6299" s="10"/>
      <c r="AH6299" s="10"/>
      <c r="AI6299" s="10"/>
    </row>
    <row r="6300" spans="28:35" ht="15" hidden="1" customHeight="1">
      <c r="AB6300" s="9"/>
      <c r="AC6300" s="9"/>
      <c r="AD6300" s="9"/>
      <c r="AF6300" s="10"/>
      <c r="AG6300" s="10"/>
      <c r="AH6300" s="10"/>
      <c r="AI6300" s="10"/>
    </row>
    <row r="6301" spans="28:35" ht="15" hidden="1" customHeight="1">
      <c r="AB6301" s="9"/>
      <c r="AC6301" s="9"/>
      <c r="AD6301" s="9"/>
      <c r="AF6301" s="10"/>
      <c r="AG6301" s="10"/>
      <c r="AH6301" s="10"/>
      <c r="AI6301" s="10"/>
    </row>
    <row r="6302" spans="28:35" ht="15" hidden="1" customHeight="1">
      <c r="AB6302" s="9"/>
      <c r="AC6302" s="9"/>
      <c r="AD6302" s="9"/>
      <c r="AF6302" s="10"/>
      <c r="AG6302" s="10"/>
      <c r="AH6302" s="10"/>
      <c r="AI6302" s="10"/>
    </row>
    <row r="6303" spans="28:35" ht="15" hidden="1" customHeight="1">
      <c r="AB6303" s="9"/>
      <c r="AC6303" s="9"/>
      <c r="AD6303" s="9"/>
      <c r="AF6303" s="10"/>
      <c r="AG6303" s="10"/>
      <c r="AH6303" s="10"/>
      <c r="AI6303" s="10"/>
    </row>
    <row r="6304" spans="28:35" ht="15" hidden="1" customHeight="1">
      <c r="AB6304" s="9"/>
      <c r="AC6304" s="9"/>
      <c r="AD6304" s="9"/>
      <c r="AF6304" s="10"/>
      <c r="AG6304" s="10"/>
      <c r="AH6304" s="10"/>
      <c r="AI6304" s="10"/>
    </row>
    <row r="6305" spans="28:35" ht="15" hidden="1" customHeight="1">
      <c r="AB6305" s="9"/>
      <c r="AC6305" s="9"/>
      <c r="AD6305" s="9"/>
      <c r="AF6305" s="10"/>
      <c r="AG6305" s="10"/>
      <c r="AH6305" s="10"/>
      <c r="AI6305" s="10"/>
    </row>
    <row r="6306" spans="28:35" ht="15" hidden="1" customHeight="1">
      <c r="AB6306" s="9"/>
      <c r="AC6306" s="9"/>
      <c r="AD6306" s="9"/>
      <c r="AF6306" s="10"/>
      <c r="AG6306" s="10"/>
      <c r="AH6306" s="10"/>
      <c r="AI6306" s="10"/>
    </row>
    <row r="6307" spans="28:35" ht="15" hidden="1" customHeight="1">
      <c r="AB6307" s="9"/>
      <c r="AC6307" s="9"/>
      <c r="AD6307" s="9"/>
      <c r="AF6307" s="10"/>
      <c r="AG6307" s="10"/>
      <c r="AH6307" s="10"/>
      <c r="AI6307" s="10"/>
    </row>
    <row r="6308" spans="28:35" ht="15" hidden="1" customHeight="1">
      <c r="AB6308" s="9"/>
      <c r="AC6308" s="9"/>
      <c r="AD6308" s="9"/>
      <c r="AF6308" s="10"/>
      <c r="AG6308" s="10"/>
      <c r="AH6308" s="10"/>
      <c r="AI6308" s="10"/>
    </row>
    <row r="6309" spans="28:35" ht="15" hidden="1" customHeight="1">
      <c r="AB6309" s="9"/>
      <c r="AC6309" s="9"/>
      <c r="AD6309" s="9"/>
      <c r="AF6309" s="10"/>
      <c r="AG6309" s="10"/>
      <c r="AH6309" s="10"/>
      <c r="AI6309" s="10"/>
    </row>
    <row r="6310" spans="28:35" ht="15" hidden="1" customHeight="1">
      <c r="AB6310" s="9"/>
      <c r="AC6310" s="9"/>
      <c r="AD6310" s="9"/>
      <c r="AF6310" s="10"/>
      <c r="AG6310" s="10"/>
      <c r="AH6310" s="10"/>
      <c r="AI6310" s="10"/>
    </row>
    <row r="6311" spans="28:35" ht="15" hidden="1" customHeight="1">
      <c r="AB6311" s="9"/>
      <c r="AC6311" s="9"/>
      <c r="AD6311" s="9"/>
      <c r="AF6311" s="10"/>
      <c r="AG6311" s="10"/>
      <c r="AH6311" s="10"/>
      <c r="AI6311" s="10"/>
    </row>
    <row r="6312" spans="28:35" ht="15" hidden="1" customHeight="1">
      <c r="AB6312" s="9"/>
      <c r="AC6312" s="9"/>
      <c r="AD6312" s="9"/>
      <c r="AF6312" s="10"/>
      <c r="AG6312" s="10"/>
      <c r="AH6312" s="10"/>
      <c r="AI6312" s="10"/>
    </row>
    <row r="6313" spans="28:35" ht="15" hidden="1" customHeight="1">
      <c r="AB6313" s="9"/>
      <c r="AC6313" s="9"/>
      <c r="AD6313" s="9"/>
      <c r="AF6313" s="10"/>
      <c r="AG6313" s="10"/>
      <c r="AH6313" s="10"/>
      <c r="AI6313" s="10"/>
    </row>
    <row r="6314" spans="28:35" ht="15" hidden="1" customHeight="1">
      <c r="AB6314" s="9"/>
      <c r="AC6314" s="9"/>
      <c r="AD6314" s="9"/>
      <c r="AF6314" s="10"/>
      <c r="AG6314" s="10"/>
      <c r="AH6314" s="10"/>
      <c r="AI6314" s="10"/>
    </row>
    <row r="6315" spans="28:35" ht="15" hidden="1" customHeight="1">
      <c r="AB6315" s="9"/>
      <c r="AC6315" s="9"/>
      <c r="AD6315" s="9"/>
      <c r="AF6315" s="10"/>
      <c r="AG6315" s="10"/>
      <c r="AH6315" s="10"/>
      <c r="AI6315" s="10"/>
    </row>
    <row r="6316" spans="28:35" ht="15" hidden="1" customHeight="1">
      <c r="AB6316" s="9"/>
      <c r="AC6316" s="9"/>
      <c r="AD6316" s="9"/>
      <c r="AF6316" s="10"/>
      <c r="AG6316" s="10"/>
      <c r="AH6316" s="10"/>
      <c r="AI6316" s="10"/>
    </row>
    <row r="6317" spans="28:35" ht="15" hidden="1" customHeight="1">
      <c r="AB6317" s="9"/>
      <c r="AC6317" s="9"/>
      <c r="AD6317" s="9"/>
      <c r="AF6317" s="10"/>
      <c r="AG6317" s="10"/>
      <c r="AH6317" s="10"/>
      <c r="AI6317" s="10"/>
    </row>
    <row r="6318" spans="28:35" ht="15" hidden="1" customHeight="1">
      <c r="AB6318" s="9"/>
      <c r="AC6318" s="9"/>
      <c r="AD6318" s="9"/>
      <c r="AF6318" s="10"/>
      <c r="AG6318" s="10"/>
      <c r="AH6318" s="10"/>
      <c r="AI6318" s="10"/>
    </row>
    <row r="6319" spans="28:35" ht="15" hidden="1" customHeight="1">
      <c r="AB6319" s="9"/>
      <c r="AC6319" s="9"/>
      <c r="AD6319" s="9"/>
      <c r="AF6319" s="10"/>
      <c r="AG6319" s="10"/>
      <c r="AH6319" s="10"/>
      <c r="AI6319" s="10"/>
    </row>
    <row r="6320" spans="28:35" ht="15" hidden="1" customHeight="1">
      <c r="AB6320" s="9"/>
      <c r="AC6320" s="9"/>
      <c r="AD6320" s="9"/>
      <c r="AF6320" s="10"/>
      <c r="AG6320" s="10"/>
      <c r="AH6320" s="10"/>
      <c r="AI6320" s="10"/>
    </row>
    <row r="6321" spans="28:35" ht="15" hidden="1" customHeight="1">
      <c r="AB6321" s="9"/>
      <c r="AC6321" s="9"/>
      <c r="AD6321" s="9"/>
      <c r="AF6321" s="10"/>
      <c r="AG6321" s="10"/>
      <c r="AH6321" s="10"/>
      <c r="AI6321" s="10"/>
    </row>
    <row r="6322" spans="28:35" ht="15" hidden="1" customHeight="1">
      <c r="AB6322" s="9"/>
      <c r="AC6322" s="9"/>
      <c r="AD6322" s="9"/>
      <c r="AF6322" s="10"/>
      <c r="AG6322" s="10"/>
      <c r="AH6322" s="10"/>
      <c r="AI6322" s="10"/>
    </row>
    <row r="6323" spans="28:35" ht="15" hidden="1" customHeight="1">
      <c r="AB6323" s="9"/>
      <c r="AC6323" s="9"/>
      <c r="AD6323" s="9"/>
      <c r="AF6323" s="10"/>
      <c r="AG6323" s="10"/>
      <c r="AH6323" s="10"/>
      <c r="AI6323" s="10"/>
    </row>
    <row r="6324" spans="28:35" ht="15" hidden="1" customHeight="1">
      <c r="AB6324" s="9"/>
      <c r="AC6324" s="9"/>
      <c r="AD6324" s="9"/>
      <c r="AF6324" s="10"/>
      <c r="AG6324" s="10"/>
      <c r="AH6324" s="10"/>
      <c r="AI6324" s="10"/>
    </row>
    <row r="6325" spans="28:35" ht="15" hidden="1" customHeight="1">
      <c r="AB6325" s="9"/>
      <c r="AC6325" s="9"/>
      <c r="AD6325" s="9"/>
      <c r="AF6325" s="10"/>
      <c r="AG6325" s="10"/>
      <c r="AH6325" s="10"/>
      <c r="AI6325" s="10"/>
    </row>
    <row r="6326" spans="28:35" ht="15" hidden="1" customHeight="1">
      <c r="AB6326" s="9"/>
      <c r="AC6326" s="9"/>
      <c r="AD6326" s="9"/>
      <c r="AF6326" s="10"/>
      <c r="AG6326" s="10"/>
      <c r="AH6326" s="10"/>
      <c r="AI6326" s="10"/>
    </row>
    <row r="6327" spans="28:35" ht="15" hidden="1" customHeight="1">
      <c r="AB6327" s="9"/>
      <c r="AC6327" s="9"/>
      <c r="AD6327" s="9"/>
      <c r="AF6327" s="10"/>
      <c r="AG6327" s="10"/>
      <c r="AH6327" s="10"/>
      <c r="AI6327" s="10"/>
    </row>
    <row r="6328" spans="28:35" ht="15" hidden="1" customHeight="1">
      <c r="AB6328" s="9"/>
      <c r="AC6328" s="9"/>
      <c r="AD6328" s="9"/>
      <c r="AF6328" s="10"/>
      <c r="AG6328" s="10"/>
      <c r="AH6328" s="10"/>
      <c r="AI6328" s="10"/>
    </row>
    <row r="6329" spans="28:35" ht="15" hidden="1" customHeight="1">
      <c r="AB6329" s="9"/>
      <c r="AC6329" s="9"/>
      <c r="AD6329" s="9"/>
      <c r="AF6329" s="10"/>
      <c r="AG6329" s="10"/>
      <c r="AH6329" s="10"/>
      <c r="AI6329" s="10"/>
    </row>
    <row r="6330" spans="28:35" ht="15" hidden="1" customHeight="1">
      <c r="AB6330" s="9"/>
      <c r="AC6330" s="9"/>
      <c r="AD6330" s="9"/>
      <c r="AF6330" s="10"/>
      <c r="AG6330" s="10"/>
      <c r="AH6330" s="10"/>
      <c r="AI6330" s="10"/>
    </row>
    <row r="6331" spans="28:35" ht="15" hidden="1" customHeight="1">
      <c r="AB6331" s="9"/>
      <c r="AC6331" s="9"/>
      <c r="AD6331" s="9"/>
      <c r="AF6331" s="10"/>
      <c r="AG6331" s="10"/>
      <c r="AH6331" s="10"/>
      <c r="AI6331" s="10"/>
    </row>
    <row r="6332" spans="28:35" ht="15" hidden="1" customHeight="1">
      <c r="AB6332" s="9"/>
      <c r="AC6332" s="9"/>
      <c r="AD6332" s="9"/>
      <c r="AF6332" s="10"/>
      <c r="AG6332" s="10"/>
      <c r="AH6332" s="10"/>
      <c r="AI6332" s="10"/>
    </row>
    <row r="6333" spans="28:35" ht="15" hidden="1" customHeight="1">
      <c r="AB6333" s="9"/>
      <c r="AC6333" s="9"/>
      <c r="AD6333" s="9"/>
      <c r="AF6333" s="10"/>
      <c r="AG6333" s="10"/>
      <c r="AH6333" s="10"/>
      <c r="AI6333" s="10"/>
    </row>
    <row r="6334" spans="28:35" ht="15" hidden="1" customHeight="1">
      <c r="AB6334" s="9"/>
      <c r="AC6334" s="9"/>
      <c r="AD6334" s="9"/>
      <c r="AF6334" s="10"/>
      <c r="AG6334" s="10"/>
      <c r="AH6334" s="10"/>
      <c r="AI6334" s="10"/>
    </row>
    <row r="6335" spans="28:35" ht="15" hidden="1" customHeight="1">
      <c r="AB6335" s="9"/>
      <c r="AC6335" s="9"/>
      <c r="AD6335" s="9"/>
      <c r="AF6335" s="10"/>
      <c r="AG6335" s="10"/>
      <c r="AH6335" s="10"/>
      <c r="AI6335" s="10"/>
    </row>
    <row r="6336" spans="28:35" ht="15" hidden="1" customHeight="1">
      <c r="AB6336" s="9"/>
      <c r="AC6336" s="9"/>
      <c r="AD6336" s="9"/>
      <c r="AF6336" s="10"/>
      <c r="AG6336" s="10"/>
      <c r="AH6336" s="10"/>
      <c r="AI6336" s="10"/>
    </row>
    <row r="6337" spans="28:35" ht="15" hidden="1" customHeight="1">
      <c r="AB6337" s="9"/>
      <c r="AC6337" s="9"/>
      <c r="AD6337" s="9"/>
      <c r="AF6337" s="10"/>
      <c r="AG6337" s="10"/>
      <c r="AH6337" s="10"/>
      <c r="AI6337" s="10"/>
    </row>
    <row r="6338" spans="28:35" ht="15" hidden="1" customHeight="1">
      <c r="AB6338" s="9"/>
      <c r="AC6338" s="9"/>
      <c r="AD6338" s="9"/>
      <c r="AF6338" s="10"/>
      <c r="AG6338" s="10"/>
      <c r="AH6338" s="10"/>
      <c r="AI6338" s="10"/>
    </row>
    <row r="6339" spans="28:35" ht="15" hidden="1" customHeight="1">
      <c r="AB6339" s="9"/>
      <c r="AC6339" s="9"/>
      <c r="AD6339" s="9"/>
      <c r="AF6339" s="10"/>
      <c r="AG6339" s="10"/>
      <c r="AH6339" s="10"/>
      <c r="AI6339" s="10"/>
    </row>
    <row r="6340" spans="28:35" ht="15" hidden="1" customHeight="1">
      <c r="AB6340" s="9"/>
      <c r="AC6340" s="9"/>
      <c r="AD6340" s="9"/>
      <c r="AF6340" s="10"/>
      <c r="AG6340" s="10"/>
      <c r="AH6340" s="10"/>
      <c r="AI6340" s="10"/>
    </row>
    <row r="6341" spans="28:35" ht="15" hidden="1" customHeight="1">
      <c r="AB6341" s="9"/>
      <c r="AC6341" s="9"/>
      <c r="AD6341" s="9"/>
      <c r="AF6341" s="10"/>
      <c r="AG6341" s="10"/>
      <c r="AH6341" s="10"/>
      <c r="AI6341" s="10"/>
    </row>
    <row r="6342" spans="28:35" ht="15" hidden="1" customHeight="1">
      <c r="AB6342" s="9"/>
      <c r="AC6342" s="9"/>
      <c r="AD6342" s="9"/>
      <c r="AF6342" s="10"/>
      <c r="AG6342" s="10"/>
      <c r="AH6342" s="10"/>
      <c r="AI6342" s="10"/>
    </row>
    <row r="6343" spans="28:35" ht="15" hidden="1" customHeight="1">
      <c r="AB6343" s="9"/>
      <c r="AC6343" s="9"/>
      <c r="AD6343" s="9"/>
      <c r="AF6343" s="10"/>
      <c r="AG6343" s="10"/>
      <c r="AH6343" s="10"/>
      <c r="AI6343" s="10"/>
    </row>
    <row r="6344" spans="28:35" ht="15" hidden="1" customHeight="1">
      <c r="AB6344" s="9"/>
      <c r="AC6344" s="9"/>
      <c r="AD6344" s="9"/>
      <c r="AF6344" s="10"/>
      <c r="AG6344" s="10"/>
      <c r="AH6344" s="10"/>
      <c r="AI6344" s="10"/>
    </row>
    <row r="6345" spans="28:35" ht="15" hidden="1" customHeight="1">
      <c r="AB6345" s="9"/>
      <c r="AC6345" s="9"/>
      <c r="AD6345" s="9"/>
      <c r="AF6345" s="10"/>
      <c r="AG6345" s="10"/>
      <c r="AH6345" s="10"/>
      <c r="AI6345" s="10"/>
    </row>
    <row r="6346" spans="28:35" ht="15" hidden="1" customHeight="1">
      <c r="AB6346" s="9"/>
      <c r="AC6346" s="9"/>
      <c r="AD6346" s="9"/>
      <c r="AF6346" s="10"/>
      <c r="AG6346" s="10"/>
      <c r="AH6346" s="10"/>
      <c r="AI6346" s="10"/>
    </row>
    <row r="6347" spans="28:35" ht="15" hidden="1" customHeight="1">
      <c r="AB6347" s="9"/>
      <c r="AC6347" s="9"/>
      <c r="AD6347" s="9"/>
      <c r="AF6347" s="10"/>
      <c r="AG6347" s="10"/>
      <c r="AH6347" s="10"/>
      <c r="AI6347" s="10"/>
    </row>
    <row r="6348" spans="28:35" ht="15" hidden="1" customHeight="1">
      <c r="AB6348" s="9"/>
      <c r="AC6348" s="9"/>
      <c r="AD6348" s="9"/>
      <c r="AF6348" s="10"/>
      <c r="AG6348" s="10"/>
      <c r="AH6348" s="10"/>
      <c r="AI6348" s="10"/>
    </row>
    <row r="6349" spans="28:35" ht="15" hidden="1" customHeight="1">
      <c r="AB6349" s="9"/>
      <c r="AC6349" s="9"/>
      <c r="AD6349" s="9"/>
      <c r="AF6349" s="10"/>
      <c r="AG6349" s="10"/>
      <c r="AH6349" s="10"/>
      <c r="AI6349" s="10"/>
    </row>
    <row r="6350" spans="28:35" ht="15" hidden="1" customHeight="1">
      <c r="AB6350" s="9"/>
      <c r="AC6350" s="9"/>
      <c r="AD6350" s="9"/>
      <c r="AF6350" s="10"/>
      <c r="AG6350" s="10"/>
      <c r="AH6350" s="10"/>
      <c r="AI6350" s="10"/>
    </row>
    <row r="6351" spans="28:35" ht="15" hidden="1" customHeight="1">
      <c r="AB6351" s="9"/>
      <c r="AC6351" s="9"/>
      <c r="AD6351" s="9"/>
      <c r="AF6351" s="10"/>
      <c r="AG6351" s="10"/>
      <c r="AH6351" s="10"/>
      <c r="AI6351" s="10"/>
    </row>
    <row r="6352" spans="28:35" ht="15" hidden="1" customHeight="1">
      <c r="AB6352" s="9"/>
      <c r="AC6352" s="9"/>
      <c r="AD6352" s="9"/>
      <c r="AF6352" s="10"/>
      <c r="AG6352" s="10"/>
      <c r="AH6352" s="10"/>
      <c r="AI6352" s="10"/>
    </row>
    <row r="6353" spans="28:35" ht="15" hidden="1" customHeight="1">
      <c r="AB6353" s="9"/>
      <c r="AC6353" s="9"/>
      <c r="AD6353" s="9"/>
      <c r="AF6353" s="10"/>
      <c r="AG6353" s="10"/>
      <c r="AH6353" s="10"/>
      <c r="AI6353" s="10"/>
    </row>
    <row r="6354" spans="28:35" ht="15" hidden="1" customHeight="1">
      <c r="AB6354" s="9"/>
      <c r="AC6354" s="9"/>
      <c r="AD6354" s="9"/>
      <c r="AF6354" s="10"/>
      <c r="AG6354" s="10"/>
      <c r="AH6354" s="10"/>
      <c r="AI6354" s="10"/>
    </row>
    <row r="6355" spans="28:35" ht="15" hidden="1" customHeight="1">
      <c r="AB6355" s="9"/>
      <c r="AC6355" s="9"/>
      <c r="AD6355" s="9"/>
      <c r="AF6355" s="10"/>
      <c r="AG6355" s="10"/>
      <c r="AH6355" s="10"/>
      <c r="AI6355" s="10"/>
    </row>
    <row r="6356" spans="28:35" ht="15" hidden="1" customHeight="1">
      <c r="AB6356" s="9"/>
      <c r="AC6356" s="9"/>
      <c r="AD6356" s="9"/>
      <c r="AF6356" s="10"/>
      <c r="AG6356" s="10"/>
      <c r="AH6356" s="10"/>
      <c r="AI6356" s="10"/>
    </row>
    <row r="6357" spans="28:35" ht="15" hidden="1" customHeight="1">
      <c r="AB6357" s="9"/>
      <c r="AC6357" s="9"/>
      <c r="AD6357" s="9"/>
      <c r="AF6357" s="10"/>
      <c r="AG6357" s="10"/>
      <c r="AH6357" s="10"/>
      <c r="AI6357" s="10"/>
    </row>
    <row r="6358" spans="28:35" ht="15" hidden="1" customHeight="1">
      <c r="AB6358" s="9"/>
      <c r="AC6358" s="9"/>
      <c r="AD6358" s="9"/>
      <c r="AF6358" s="10"/>
      <c r="AG6358" s="10"/>
      <c r="AH6358" s="10"/>
      <c r="AI6358" s="10"/>
    </row>
    <row r="6359" spans="28:35" ht="15" hidden="1" customHeight="1">
      <c r="AB6359" s="9"/>
      <c r="AC6359" s="9"/>
      <c r="AD6359" s="9"/>
      <c r="AF6359" s="10"/>
      <c r="AG6359" s="10"/>
      <c r="AH6359" s="10"/>
      <c r="AI6359" s="10"/>
    </row>
    <row r="6360" spans="28:35" ht="15" hidden="1" customHeight="1">
      <c r="AB6360" s="9"/>
      <c r="AC6360" s="9"/>
      <c r="AD6360" s="9"/>
      <c r="AF6360" s="10"/>
      <c r="AG6360" s="10"/>
      <c r="AH6360" s="10"/>
      <c r="AI6360" s="10"/>
    </row>
    <row r="6361" spans="28:35" ht="15" hidden="1" customHeight="1">
      <c r="AB6361" s="9"/>
      <c r="AC6361" s="9"/>
      <c r="AD6361" s="9"/>
      <c r="AF6361" s="10"/>
      <c r="AG6361" s="10"/>
      <c r="AH6361" s="10"/>
      <c r="AI6361" s="10"/>
    </row>
    <row r="6362" spans="28:35" ht="15" hidden="1" customHeight="1">
      <c r="AB6362" s="9"/>
      <c r="AC6362" s="9"/>
      <c r="AD6362" s="9"/>
      <c r="AF6362" s="10"/>
      <c r="AG6362" s="10"/>
      <c r="AH6362" s="10"/>
      <c r="AI6362" s="10"/>
    </row>
    <row r="6363" spans="28:35" ht="15" hidden="1" customHeight="1">
      <c r="AB6363" s="9"/>
      <c r="AC6363" s="9"/>
      <c r="AD6363" s="9"/>
      <c r="AF6363" s="10"/>
      <c r="AG6363" s="10"/>
      <c r="AH6363" s="10"/>
      <c r="AI6363" s="10"/>
    </row>
    <row r="6364" spans="28:35" ht="15" hidden="1" customHeight="1">
      <c r="AB6364" s="9"/>
      <c r="AC6364" s="9"/>
      <c r="AD6364" s="9"/>
      <c r="AF6364" s="10"/>
      <c r="AG6364" s="10"/>
      <c r="AH6364" s="10"/>
      <c r="AI6364" s="10"/>
    </row>
    <row r="6365" spans="28:35" ht="15" hidden="1" customHeight="1">
      <c r="AB6365" s="9"/>
      <c r="AC6365" s="9"/>
      <c r="AD6365" s="9"/>
      <c r="AF6365" s="10"/>
      <c r="AG6365" s="10"/>
      <c r="AH6365" s="10"/>
      <c r="AI6365" s="10"/>
    </row>
    <row r="6366" spans="28:35" ht="15" hidden="1" customHeight="1">
      <c r="AB6366" s="9"/>
      <c r="AC6366" s="9"/>
      <c r="AD6366" s="9"/>
      <c r="AF6366" s="10"/>
      <c r="AG6366" s="10"/>
      <c r="AH6366" s="10"/>
      <c r="AI6366" s="10"/>
    </row>
    <row r="6367" spans="28:35" ht="15" hidden="1" customHeight="1">
      <c r="AB6367" s="9"/>
      <c r="AC6367" s="9"/>
      <c r="AD6367" s="9"/>
      <c r="AF6367" s="10"/>
      <c r="AG6367" s="10"/>
      <c r="AH6367" s="10"/>
      <c r="AI6367" s="10"/>
    </row>
    <row r="6368" spans="28:35" ht="15" hidden="1" customHeight="1">
      <c r="AB6368" s="9"/>
      <c r="AC6368" s="9"/>
      <c r="AD6368" s="9"/>
      <c r="AF6368" s="10"/>
      <c r="AG6368" s="10"/>
      <c r="AH6368" s="10"/>
      <c r="AI6368" s="10"/>
    </row>
    <row r="6369" spans="28:35" ht="15" hidden="1" customHeight="1">
      <c r="AB6369" s="9"/>
      <c r="AC6369" s="9"/>
      <c r="AD6369" s="9"/>
      <c r="AF6369" s="10"/>
      <c r="AG6369" s="10"/>
      <c r="AH6369" s="10"/>
      <c r="AI6369" s="10"/>
    </row>
    <row r="6370" spans="28:35" ht="15" hidden="1" customHeight="1">
      <c r="AB6370" s="9"/>
      <c r="AC6370" s="9"/>
      <c r="AD6370" s="9"/>
      <c r="AF6370" s="10"/>
      <c r="AG6370" s="10"/>
      <c r="AH6370" s="10"/>
      <c r="AI6370" s="10"/>
    </row>
    <row r="6371" spans="28:35" ht="15" hidden="1" customHeight="1">
      <c r="AB6371" s="9"/>
      <c r="AC6371" s="9"/>
      <c r="AD6371" s="9"/>
      <c r="AF6371" s="10"/>
      <c r="AG6371" s="10"/>
      <c r="AH6371" s="10"/>
      <c r="AI6371" s="10"/>
    </row>
    <row r="6372" spans="28:35" ht="15" hidden="1" customHeight="1">
      <c r="AB6372" s="9"/>
      <c r="AC6372" s="9"/>
      <c r="AD6372" s="9"/>
      <c r="AF6372" s="10"/>
      <c r="AG6372" s="10"/>
      <c r="AH6372" s="10"/>
      <c r="AI6372" s="10"/>
    </row>
    <row r="6373" spans="28:35" ht="15" hidden="1" customHeight="1">
      <c r="AB6373" s="9"/>
      <c r="AC6373" s="9"/>
      <c r="AD6373" s="9"/>
      <c r="AF6373" s="10"/>
      <c r="AG6373" s="10"/>
      <c r="AH6373" s="10"/>
      <c r="AI6373" s="10"/>
    </row>
    <row r="6374" spans="28:35" ht="15" hidden="1" customHeight="1">
      <c r="AB6374" s="9"/>
      <c r="AC6374" s="9"/>
      <c r="AD6374" s="9"/>
      <c r="AF6374" s="10"/>
      <c r="AG6374" s="10"/>
      <c r="AH6374" s="10"/>
      <c r="AI6374" s="10"/>
    </row>
    <row r="6375" spans="28:35" ht="15" hidden="1" customHeight="1">
      <c r="AB6375" s="9"/>
      <c r="AC6375" s="9"/>
      <c r="AD6375" s="9"/>
      <c r="AF6375" s="10"/>
      <c r="AG6375" s="10"/>
      <c r="AH6375" s="10"/>
      <c r="AI6375" s="10"/>
    </row>
    <row r="6376" spans="28:35" ht="15" hidden="1" customHeight="1">
      <c r="AB6376" s="9"/>
      <c r="AC6376" s="9"/>
      <c r="AD6376" s="9"/>
      <c r="AF6376" s="10"/>
      <c r="AG6376" s="10"/>
      <c r="AH6376" s="10"/>
      <c r="AI6376" s="10"/>
    </row>
    <row r="6377" spans="28:35" ht="15" hidden="1" customHeight="1">
      <c r="AB6377" s="9"/>
      <c r="AC6377" s="9"/>
      <c r="AD6377" s="9"/>
      <c r="AF6377" s="10"/>
      <c r="AG6377" s="10"/>
      <c r="AH6377" s="10"/>
      <c r="AI6377" s="10"/>
    </row>
    <row r="6378" spans="28:35" ht="15" hidden="1" customHeight="1">
      <c r="AB6378" s="9"/>
      <c r="AC6378" s="9"/>
      <c r="AD6378" s="9"/>
      <c r="AF6378" s="10"/>
      <c r="AG6378" s="10"/>
      <c r="AH6378" s="10"/>
      <c r="AI6378" s="10"/>
    </row>
    <row r="6379" spans="28:35" ht="15" hidden="1" customHeight="1">
      <c r="AB6379" s="9"/>
      <c r="AC6379" s="9"/>
      <c r="AD6379" s="9"/>
      <c r="AF6379" s="10"/>
      <c r="AG6379" s="10"/>
      <c r="AH6379" s="10"/>
      <c r="AI6379" s="10"/>
    </row>
    <row r="6380" spans="28:35" ht="15" hidden="1" customHeight="1">
      <c r="AB6380" s="9"/>
      <c r="AC6380" s="9"/>
      <c r="AD6380" s="9"/>
      <c r="AF6380" s="10"/>
      <c r="AG6380" s="10"/>
      <c r="AH6380" s="10"/>
      <c r="AI6380" s="10"/>
    </row>
    <row r="6381" spans="28:35" ht="15" hidden="1" customHeight="1">
      <c r="AB6381" s="9"/>
      <c r="AC6381" s="9"/>
      <c r="AD6381" s="9"/>
      <c r="AF6381" s="10"/>
      <c r="AG6381" s="10"/>
      <c r="AH6381" s="10"/>
      <c r="AI6381" s="10"/>
    </row>
    <row r="6382" spans="28:35" ht="15" hidden="1" customHeight="1">
      <c r="AB6382" s="9"/>
      <c r="AC6382" s="9"/>
      <c r="AD6382" s="9"/>
      <c r="AF6382" s="10"/>
      <c r="AG6382" s="10"/>
      <c r="AH6382" s="10"/>
      <c r="AI6382" s="10"/>
    </row>
    <row r="6383" spans="28:35" ht="15" hidden="1" customHeight="1">
      <c r="AB6383" s="9"/>
      <c r="AC6383" s="9"/>
      <c r="AD6383" s="9"/>
      <c r="AF6383" s="10"/>
      <c r="AG6383" s="10"/>
      <c r="AH6383" s="10"/>
      <c r="AI6383" s="10"/>
    </row>
    <row r="6384" spans="28:35" ht="15" hidden="1" customHeight="1">
      <c r="AB6384" s="9"/>
      <c r="AC6384" s="9"/>
      <c r="AD6384" s="9"/>
      <c r="AF6384" s="10"/>
      <c r="AG6384" s="10"/>
      <c r="AH6384" s="10"/>
      <c r="AI6384" s="10"/>
    </row>
    <row r="6385" spans="28:35" ht="15" hidden="1" customHeight="1">
      <c r="AB6385" s="9"/>
      <c r="AC6385" s="9"/>
      <c r="AD6385" s="9"/>
      <c r="AF6385" s="10"/>
      <c r="AG6385" s="10"/>
      <c r="AH6385" s="10"/>
      <c r="AI6385" s="10"/>
    </row>
    <row r="6386" spans="28:35" ht="15" hidden="1" customHeight="1">
      <c r="AB6386" s="9"/>
      <c r="AC6386" s="9"/>
      <c r="AD6386" s="9"/>
      <c r="AF6386" s="10"/>
      <c r="AG6386" s="10"/>
      <c r="AH6386" s="10"/>
      <c r="AI6386" s="10"/>
    </row>
    <row r="6387" spans="28:35" ht="15" hidden="1" customHeight="1">
      <c r="AB6387" s="9"/>
      <c r="AC6387" s="9"/>
      <c r="AD6387" s="9"/>
      <c r="AF6387" s="10"/>
      <c r="AG6387" s="10"/>
      <c r="AH6387" s="10"/>
      <c r="AI6387" s="10"/>
    </row>
    <row r="6388" spans="28:35" ht="15" hidden="1" customHeight="1">
      <c r="AB6388" s="9"/>
      <c r="AC6388" s="9"/>
      <c r="AD6388" s="9"/>
      <c r="AF6388" s="10"/>
      <c r="AG6388" s="10"/>
      <c r="AH6388" s="10"/>
      <c r="AI6388" s="10"/>
    </row>
    <row r="6389" spans="28:35" ht="15" hidden="1" customHeight="1">
      <c r="AB6389" s="9"/>
      <c r="AC6389" s="9"/>
      <c r="AD6389" s="9"/>
      <c r="AF6389" s="10"/>
      <c r="AG6389" s="10"/>
      <c r="AH6389" s="10"/>
      <c r="AI6389" s="10"/>
    </row>
    <row r="6390" spans="28:35" ht="15" hidden="1" customHeight="1">
      <c r="AB6390" s="9"/>
      <c r="AC6390" s="9"/>
      <c r="AD6390" s="9"/>
      <c r="AF6390" s="10"/>
      <c r="AG6390" s="10"/>
      <c r="AH6390" s="10"/>
      <c r="AI6390" s="10"/>
    </row>
    <row r="6391" spans="28:35" ht="15" hidden="1" customHeight="1">
      <c r="AB6391" s="9"/>
      <c r="AC6391" s="9"/>
      <c r="AD6391" s="9"/>
      <c r="AF6391" s="10"/>
      <c r="AG6391" s="10"/>
      <c r="AH6391" s="10"/>
      <c r="AI6391" s="10"/>
    </row>
    <row r="6392" spans="28:35" ht="15" hidden="1" customHeight="1">
      <c r="AB6392" s="9"/>
      <c r="AC6392" s="9"/>
      <c r="AD6392" s="9"/>
      <c r="AF6392" s="10"/>
      <c r="AG6392" s="10"/>
      <c r="AH6392" s="10"/>
      <c r="AI6392" s="10"/>
    </row>
    <row r="6393" spans="28:35" ht="15" hidden="1" customHeight="1">
      <c r="AB6393" s="9"/>
      <c r="AC6393" s="9"/>
      <c r="AD6393" s="9"/>
      <c r="AF6393" s="10"/>
      <c r="AG6393" s="10"/>
      <c r="AH6393" s="10"/>
      <c r="AI6393" s="10"/>
    </row>
    <row r="6394" spans="28:35" ht="15" hidden="1" customHeight="1">
      <c r="AB6394" s="9"/>
      <c r="AC6394" s="9"/>
      <c r="AD6394" s="9"/>
      <c r="AF6394" s="10"/>
      <c r="AG6394" s="10"/>
      <c r="AH6394" s="10"/>
      <c r="AI6394" s="10"/>
    </row>
    <row r="6395" spans="28:35" ht="15" hidden="1" customHeight="1">
      <c r="AB6395" s="9"/>
      <c r="AC6395" s="9"/>
      <c r="AD6395" s="9"/>
      <c r="AF6395" s="10"/>
      <c r="AG6395" s="10"/>
      <c r="AH6395" s="10"/>
      <c r="AI6395" s="10"/>
    </row>
    <row r="6396" spans="28:35" ht="15" hidden="1" customHeight="1">
      <c r="AB6396" s="9"/>
      <c r="AC6396" s="9"/>
      <c r="AD6396" s="9"/>
      <c r="AF6396" s="10"/>
      <c r="AG6396" s="10"/>
      <c r="AH6396" s="10"/>
      <c r="AI6396" s="10"/>
    </row>
    <row r="6397" spans="28:35" ht="15" hidden="1" customHeight="1">
      <c r="AB6397" s="9"/>
      <c r="AC6397" s="9"/>
      <c r="AD6397" s="9"/>
      <c r="AF6397" s="10"/>
      <c r="AG6397" s="10"/>
      <c r="AH6397" s="10"/>
      <c r="AI6397" s="10"/>
    </row>
    <row r="6398" spans="28:35" ht="15" hidden="1" customHeight="1">
      <c r="AB6398" s="9"/>
      <c r="AC6398" s="9"/>
      <c r="AD6398" s="9"/>
      <c r="AF6398" s="10"/>
      <c r="AG6398" s="10"/>
      <c r="AH6398" s="10"/>
      <c r="AI6398" s="10"/>
    </row>
    <row r="6399" spans="28:35" ht="15" hidden="1" customHeight="1">
      <c r="AB6399" s="9"/>
      <c r="AC6399" s="9"/>
      <c r="AD6399" s="9"/>
      <c r="AF6399" s="10"/>
      <c r="AG6399" s="10"/>
      <c r="AH6399" s="10"/>
      <c r="AI6399" s="10"/>
    </row>
    <row r="6400" spans="28:35" ht="15" hidden="1" customHeight="1">
      <c r="AB6400" s="9"/>
      <c r="AC6400" s="9"/>
      <c r="AD6400" s="9"/>
      <c r="AF6400" s="10"/>
      <c r="AG6400" s="10"/>
      <c r="AH6400" s="10"/>
      <c r="AI6400" s="10"/>
    </row>
    <row r="6401" spans="28:35" ht="15" hidden="1" customHeight="1">
      <c r="AB6401" s="9"/>
      <c r="AC6401" s="9"/>
      <c r="AD6401" s="9"/>
      <c r="AF6401" s="10"/>
      <c r="AG6401" s="10"/>
      <c r="AH6401" s="10"/>
      <c r="AI6401" s="10"/>
    </row>
    <row r="6402" spans="28:35" ht="15" hidden="1" customHeight="1">
      <c r="AB6402" s="9"/>
      <c r="AC6402" s="9"/>
      <c r="AD6402" s="9"/>
      <c r="AF6402" s="10"/>
      <c r="AG6402" s="10"/>
      <c r="AH6402" s="10"/>
      <c r="AI6402" s="10"/>
    </row>
    <row r="6403" spans="28:35" ht="15" hidden="1" customHeight="1">
      <c r="AB6403" s="9"/>
      <c r="AC6403" s="9"/>
      <c r="AD6403" s="9"/>
      <c r="AF6403" s="10"/>
      <c r="AG6403" s="10"/>
      <c r="AH6403" s="10"/>
      <c r="AI6403" s="10"/>
    </row>
    <row r="6404" spans="28:35" ht="15" hidden="1" customHeight="1">
      <c r="AB6404" s="9"/>
      <c r="AC6404" s="9"/>
      <c r="AD6404" s="9"/>
      <c r="AF6404" s="10"/>
      <c r="AG6404" s="10"/>
      <c r="AH6404" s="10"/>
      <c r="AI6404" s="10"/>
    </row>
    <row r="6405" spans="28:35" ht="15" hidden="1" customHeight="1">
      <c r="AB6405" s="9"/>
      <c r="AC6405" s="9"/>
      <c r="AD6405" s="9"/>
      <c r="AF6405" s="10"/>
      <c r="AG6405" s="10"/>
      <c r="AH6405" s="10"/>
      <c r="AI6405" s="10"/>
    </row>
    <row r="6406" spans="28:35" ht="15" hidden="1" customHeight="1">
      <c r="AB6406" s="9"/>
      <c r="AC6406" s="9"/>
      <c r="AD6406" s="9"/>
      <c r="AF6406" s="10"/>
      <c r="AG6406" s="10"/>
      <c r="AH6406" s="10"/>
      <c r="AI6406" s="10"/>
    </row>
    <row r="6407" spans="28:35" ht="15" hidden="1" customHeight="1">
      <c r="AB6407" s="9"/>
      <c r="AC6407" s="9"/>
      <c r="AD6407" s="9"/>
      <c r="AF6407" s="10"/>
      <c r="AG6407" s="10"/>
      <c r="AH6407" s="10"/>
      <c r="AI6407" s="10"/>
    </row>
    <row r="6408" spans="28:35" ht="15" hidden="1" customHeight="1">
      <c r="AB6408" s="9"/>
      <c r="AC6408" s="9"/>
      <c r="AD6408" s="9"/>
      <c r="AF6408" s="10"/>
      <c r="AG6408" s="10"/>
      <c r="AH6408" s="10"/>
      <c r="AI6408" s="10"/>
    </row>
    <row r="6409" spans="28:35" ht="15" hidden="1" customHeight="1">
      <c r="AB6409" s="9"/>
      <c r="AC6409" s="9"/>
      <c r="AD6409" s="9"/>
      <c r="AF6409" s="10"/>
      <c r="AG6409" s="10"/>
      <c r="AH6409" s="10"/>
      <c r="AI6409" s="10"/>
    </row>
    <row r="6410" spans="28:35" ht="15" hidden="1" customHeight="1">
      <c r="AB6410" s="9"/>
      <c r="AC6410" s="9"/>
      <c r="AD6410" s="9"/>
      <c r="AF6410" s="10"/>
      <c r="AG6410" s="10"/>
      <c r="AH6410" s="10"/>
      <c r="AI6410" s="10"/>
    </row>
    <row r="6411" spans="28:35" ht="15" hidden="1" customHeight="1">
      <c r="AB6411" s="9"/>
      <c r="AC6411" s="9"/>
      <c r="AD6411" s="9"/>
      <c r="AF6411" s="10"/>
      <c r="AG6411" s="10"/>
      <c r="AH6411" s="10"/>
      <c r="AI6411" s="10"/>
    </row>
    <row r="6412" spans="28:35" ht="15" hidden="1" customHeight="1">
      <c r="AB6412" s="9"/>
      <c r="AC6412" s="9"/>
      <c r="AD6412" s="9"/>
      <c r="AF6412" s="10"/>
      <c r="AG6412" s="10"/>
      <c r="AH6412" s="10"/>
      <c r="AI6412" s="10"/>
    </row>
    <row r="6413" spans="28:35" ht="15" hidden="1" customHeight="1">
      <c r="AB6413" s="9"/>
      <c r="AC6413" s="9"/>
      <c r="AD6413" s="9"/>
      <c r="AF6413" s="10"/>
      <c r="AG6413" s="10"/>
      <c r="AH6413" s="10"/>
      <c r="AI6413" s="10"/>
    </row>
    <row r="6414" spans="28:35" ht="15" hidden="1" customHeight="1">
      <c r="AB6414" s="9"/>
      <c r="AC6414" s="9"/>
      <c r="AD6414" s="9"/>
      <c r="AF6414" s="10"/>
      <c r="AG6414" s="10"/>
      <c r="AH6414" s="10"/>
      <c r="AI6414" s="10"/>
    </row>
    <row r="6415" spans="28:35" ht="15" hidden="1" customHeight="1">
      <c r="AB6415" s="9"/>
      <c r="AC6415" s="9"/>
      <c r="AD6415" s="9"/>
      <c r="AF6415" s="10"/>
      <c r="AG6415" s="10"/>
      <c r="AH6415" s="10"/>
      <c r="AI6415" s="10"/>
    </row>
    <row r="6416" spans="28:35" ht="15" hidden="1" customHeight="1">
      <c r="AB6416" s="9"/>
      <c r="AC6416" s="9"/>
      <c r="AD6416" s="9"/>
      <c r="AF6416" s="10"/>
      <c r="AG6416" s="10"/>
      <c r="AH6416" s="10"/>
      <c r="AI6416" s="10"/>
    </row>
    <row r="6417" spans="28:35" ht="15" hidden="1" customHeight="1">
      <c r="AB6417" s="9"/>
      <c r="AC6417" s="9"/>
      <c r="AD6417" s="9"/>
      <c r="AF6417" s="10"/>
      <c r="AG6417" s="10"/>
      <c r="AH6417" s="10"/>
      <c r="AI6417" s="10"/>
    </row>
    <row r="6418" spans="28:35" ht="15" hidden="1" customHeight="1">
      <c r="AB6418" s="9"/>
      <c r="AC6418" s="9"/>
      <c r="AD6418" s="9"/>
      <c r="AF6418" s="10"/>
      <c r="AG6418" s="10"/>
      <c r="AH6418" s="10"/>
      <c r="AI6418" s="10"/>
    </row>
    <row r="6419" spans="28:35" ht="15" hidden="1" customHeight="1">
      <c r="AB6419" s="9"/>
      <c r="AC6419" s="9"/>
      <c r="AD6419" s="9"/>
      <c r="AF6419" s="10"/>
      <c r="AG6419" s="10"/>
      <c r="AH6419" s="10"/>
      <c r="AI6419" s="10"/>
    </row>
    <row r="6420" spans="28:35" ht="15" hidden="1" customHeight="1">
      <c r="AB6420" s="9"/>
      <c r="AC6420" s="9"/>
      <c r="AD6420" s="9"/>
      <c r="AF6420" s="10"/>
      <c r="AG6420" s="10"/>
      <c r="AH6420" s="10"/>
      <c r="AI6420" s="10"/>
    </row>
    <row r="6421" spans="28:35" ht="15" hidden="1" customHeight="1">
      <c r="AB6421" s="9"/>
      <c r="AC6421" s="9"/>
      <c r="AD6421" s="9"/>
      <c r="AF6421" s="10"/>
      <c r="AG6421" s="10"/>
      <c r="AH6421" s="10"/>
      <c r="AI6421" s="10"/>
    </row>
    <row r="6422" spans="28:35" ht="15" hidden="1" customHeight="1">
      <c r="AB6422" s="9"/>
      <c r="AC6422" s="9"/>
      <c r="AD6422" s="9"/>
      <c r="AF6422" s="10"/>
      <c r="AG6422" s="10"/>
      <c r="AH6422" s="10"/>
      <c r="AI6422" s="10"/>
    </row>
    <row r="6423" spans="28:35" ht="15" hidden="1" customHeight="1">
      <c r="AB6423" s="9"/>
      <c r="AC6423" s="9"/>
      <c r="AD6423" s="9"/>
      <c r="AF6423" s="10"/>
      <c r="AG6423" s="10"/>
      <c r="AH6423" s="10"/>
      <c r="AI6423" s="10"/>
    </row>
    <row r="6424" spans="28:35" ht="15" hidden="1" customHeight="1">
      <c r="AB6424" s="9"/>
      <c r="AC6424" s="9"/>
      <c r="AD6424" s="9"/>
      <c r="AF6424" s="10"/>
      <c r="AG6424" s="10"/>
      <c r="AH6424" s="10"/>
      <c r="AI6424" s="10"/>
    </row>
    <row r="6425" spans="28:35" ht="15" hidden="1" customHeight="1">
      <c r="AB6425" s="9"/>
      <c r="AC6425" s="9"/>
      <c r="AD6425" s="9"/>
      <c r="AF6425" s="10"/>
      <c r="AG6425" s="10"/>
      <c r="AH6425" s="10"/>
      <c r="AI6425" s="10"/>
    </row>
    <row r="6426" spans="28:35" ht="15" hidden="1" customHeight="1">
      <c r="AB6426" s="9"/>
      <c r="AC6426" s="9"/>
      <c r="AD6426" s="9"/>
      <c r="AF6426" s="10"/>
      <c r="AG6426" s="10"/>
      <c r="AH6426" s="10"/>
      <c r="AI6426" s="10"/>
    </row>
    <row r="6427" spans="28:35" ht="15" hidden="1" customHeight="1">
      <c r="AB6427" s="9"/>
      <c r="AC6427" s="9"/>
      <c r="AD6427" s="9"/>
      <c r="AF6427" s="10"/>
      <c r="AG6427" s="10"/>
      <c r="AH6427" s="10"/>
      <c r="AI6427" s="10"/>
    </row>
    <row r="6428" spans="28:35" ht="15" hidden="1" customHeight="1">
      <c r="AB6428" s="9"/>
      <c r="AC6428" s="9"/>
      <c r="AD6428" s="9"/>
      <c r="AF6428" s="10"/>
      <c r="AG6428" s="10"/>
      <c r="AH6428" s="10"/>
      <c r="AI6428" s="10"/>
    </row>
    <row r="6429" spans="28:35" ht="15" hidden="1" customHeight="1">
      <c r="AB6429" s="9"/>
      <c r="AC6429" s="9"/>
      <c r="AD6429" s="9"/>
      <c r="AF6429" s="10"/>
      <c r="AG6429" s="10"/>
      <c r="AH6429" s="10"/>
      <c r="AI6429" s="10"/>
    </row>
    <row r="6430" spans="28:35" ht="15" hidden="1" customHeight="1">
      <c r="AB6430" s="9"/>
      <c r="AC6430" s="9"/>
      <c r="AD6430" s="9"/>
      <c r="AF6430" s="10"/>
      <c r="AG6430" s="10"/>
      <c r="AH6430" s="10"/>
      <c r="AI6430" s="10"/>
    </row>
    <row r="6431" spans="28:35" ht="15" hidden="1" customHeight="1">
      <c r="AB6431" s="9"/>
      <c r="AC6431" s="9"/>
      <c r="AD6431" s="9"/>
      <c r="AF6431" s="10"/>
      <c r="AG6431" s="10"/>
      <c r="AH6431" s="10"/>
      <c r="AI6431" s="10"/>
    </row>
    <row r="6432" spans="28:35" ht="15" hidden="1" customHeight="1">
      <c r="AB6432" s="9"/>
      <c r="AC6432" s="9"/>
      <c r="AD6432" s="9"/>
      <c r="AF6432" s="10"/>
      <c r="AG6432" s="10"/>
      <c r="AH6432" s="10"/>
      <c r="AI6432" s="10"/>
    </row>
    <row r="6433" spans="28:35" ht="15" hidden="1" customHeight="1">
      <c r="AB6433" s="9"/>
      <c r="AC6433" s="9"/>
      <c r="AD6433" s="9"/>
      <c r="AF6433" s="10"/>
      <c r="AG6433" s="10"/>
      <c r="AH6433" s="10"/>
      <c r="AI6433" s="10"/>
    </row>
    <row r="6434" spans="28:35" ht="15" hidden="1" customHeight="1">
      <c r="AB6434" s="9"/>
      <c r="AC6434" s="9"/>
      <c r="AD6434" s="9"/>
      <c r="AF6434" s="10"/>
      <c r="AG6434" s="10"/>
      <c r="AH6434" s="10"/>
      <c r="AI6434" s="10"/>
    </row>
    <row r="6435" spans="28:35" ht="15" hidden="1" customHeight="1">
      <c r="AB6435" s="9"/>
      <c r="AC6435" s="9"/>
      <c r="AD6435" s="9"/>
      <c r="AF6435" s="10"/>
      <c r="AG6435" s="10"/>
      <c r="AH6435" s="10"/>
      <c r="AI6435" s="10"/>
    </row>
    <row r="6436" spans="28:35" ht="15" hidden="1" customHeight="1">
      <c r="AB6436" s="9"/>
      <c r="AC6436" s="9"/>
      <c r="AD6436" s="9"/>
      <c r="AF6436" s="10"/>
      <c r="AG6436" s="10"/>
      <c r="AH6436" s="10"/>
      <c r="AI6436" s="10"/>
    </row>
    <row r="6437" spans="28:35" ht="15" hidden="1" customHeight="1">
      <c r="AB6437" s="9"/>
      <c r="AC6437" s="9"/>
      <c r="AD6437" s="9"/>
      <c r="AF6437" s="10"/>
      <c r="AG6437" s="10"/>
      <c r="AH6437" s="10"/>
      <c r="AI6437" s="10"/>
    </row>
    <row r="6438" spans="28:35" ht="15" hidden="1" customHeight="1">
      <c r="AB6438" s="9"/>
      <c r="AC6438" s="9"/>
      <c r="AD6438" s="9"/>
      <c r="AF6438" s="10"/>
      <c r="AG6438" s="10"/>
      <c r="AH6438" s="10"/>
      <c r="AI6438" s="10"/>
    </row>
    <row r="6439" spans="28:35" ht="15" hidden="1" customHeight="1">
      <c r="AB6439" s="9"/>
      <c r="AC6439" s="9"/>
      <c r="AD6439" s="9"/>
      <c r="AF6439" s="10"/>
      <c r="AG6439" s="10"/>
      <c r="AH6439" s="10"/>
      <c r="AI6439" s="10"/>
    </row>
    <row r="6440" spans="28:35" ht="15" hidden="1" customHeight="1">
      <c r="AB6440" s="9"/>
      <c r="AC6440" s="9"/>
      <c r="AD6440" s="9"/>
      <c r="AF6440" s="10"/>
      <c r="AG6440" s="10"/>
      <c r="AH6440" s="10"/>
      <c r="AI6440" s="10"/>
    </row>
    <row r="6441" spans="28:35" ht="15" hidden="1" customHeight="1">
      <c r="AB6441" s="9"/>
      <c r="AC6441" s="9"/>
      <c r="AD6441" s="9"/>
      <c r="AF6441" s="10"/>
      <c r="AG6441" s="10"/>
      <c r="AH6441" s="10"/>
      <c r="AI6441" s="10"/>
    </row>
    <row r="6442" spans="28:35" ht="15" hidden="1" customHeight="1">
      <c r="AB6442" s="9"/>
      <c r="AC6442" s="9"/>
      <c r="AD6442" s="9"/>
      <c r="AF6442" s="10"/>
      <c r="AG6442" s="10"/>
      <c r="AH6442" s="10"/>
      <c r="AI6442" s="10"/>
    </row>
    <row r="6443" spans="28:35" ht="15" hidden="1" customHeight="1">
      <c r="AB6443" s="9"/>
      <c r="AC6443" s="9"/>
      <c r="AD6443" s="9"/>
      <c r="AF6443" s="10"/>
      <c r="AG6443" s="10"/>
      <c r="AH6443" s="10"/>
      <c r="AI6443" s="10"/>
    </row>
    <row r="6444" spans="28:35" ht="15" hidden="1" customHeight="1">
      <c r="AB6444" s="9"/>
      <c r="AC6444" s="9"/>
      <c r="AD6444" s="9"/>
      <c r="AF6444" s="10"/>
      <c r="AG6444" s="10"/>
      <c r="AH6444" s="10"/>
      <c r="AI6444" s="10"/>
    </row>
    <row r="6445" spans="28:35" ht="15" hidden="1" customHeight="1">
      <c r="AB6445" s="9"/>
      <c r="AC6445" s="9"/>
      <c r="AD6445" s="9"/>
      <c r="AF6445" s="10"/>
      <c r="AG6445" s="10"/>
      <c r="AH6445" s="10"/>
      <c r="AI6445" s="10"/>
    </row>
    <row r="6446" spans="28:35" ht="15" hidden="1" customHeight="1">
      <c r="AB6446" s="9"/>
      <c r="AC6446" s="9"/>
      <c r="AD6446" s="9"/>
      <c r="AF6446" s="10"/>
      <c r="AG6446" s="10"/>
      <c r="AH6446" s="10"/>
      <c r="AI6446" s="10"/>
    </row>
    <row r="6447" spans="28:35" ht="15" hidden="1" customHeight="1">
      <c r="AB6447" s="9"/>
      <c r="AC6447" s="9"/>
      <c r="AD6447" s="9"/>
      <c r="AF6447" s="10"/>
      <c r="AG6447" s="10"/>
      <c r="AH6447" s="10"/>
      <c r="AI6447" s="10"/>
    </row>
    <row r="6448" spans="28:35" ht="15" hidden="1" customHeight="1">
      <c r="AB6448" s="9"/>
      <c r="AC6448" s="9"/>
      <c r="AD6448" s="9"/>
      <c r="AF6448" s="10"/>
      <c r="AG6448" s="10"/>
      <c r="AH6448" s="10"/>
      <c r="AI6448" s="10"/>
    </row>
    <row r="6449" spans="28:35" ht="15" hidden="1" customHeight="1">
      <c r="AB6449" s="9"/>
      <c r="AC6449" s="9"/>
      <c r="AD6449" s="9"/>
      <c r="AF6449" s="10"/>
      <c r="AG6449" s="10"/>
      <c r="AH6449" s="10"/>
      <c r="AI6449" s="10"/>
    </row>
    <row r="6450" spans="28:35" ht="15" hidden="1" customHeight="1">
      <c r="AB6450" s="9"/>
      <c r="AC6450" s="9"/>
      <c r="AD6450" s="9"/>
      <c r="AF6450" s="10"/>
      <c r="AG6450" s="10"/>
      <c r="AH6450" s="10"/>
      <c r="AI6450" s="10"/>
    </row>
    <row r="6451" spans="28:35" ht="15" hidden="1" customHeight="1">
      <c r="AB6451" s="9"/>
      <c r="AC6451" s="9"/>
      <c r="AD6451" s="9"/>
      <c r="AF6451" s="10"/>
      <c r="AG6451" s="10"/>
      <c r="AH6451" s="10"/>
      <c r="AI6451" s="10"/>
    </row>
    <row r="6452" spans="28:35" ht="15" hidden="1" customHeight="1">
      <c r="AB6452" s="9"/>
      <c r="AC6452" s="9"/>
      <c r="AD6452" s="9"/>
      <c r="AF6452" s="10"/>
      <c r="AG6452" s="10"/>
      <c r="AH6452" s="10"/>
      <c r="AI6452" s="10"/>
    </row>
    <row r="6453" spans="28:35" ht="15" hidden="1" customHeight="1">
      <c r="AB6453" s="9"/>
      <c r="AC6453" s="9"/>
      <c r="AD6453" s="9"/>
      <c r="AF6453" s="10"/>
      <c r="AG6453" s="10"/>
      <c r="AH6453" s="10"/>
      <c r="AI6453" s="10"/>
    </row>
    <row r="6454" spans="28:35" ht="15" hidden="1" customHeight="1">
      <c r="AB6454" s="9"/>
      <c r="AC6454" s="9"/>
      <c r="AD6454" s="9"/>
      <c r="AF6454" s="10"/>
      <c r="AG6454" s="10"/>
      <c r="AH6454" s="10"/>
      <c r="AI6454" s="10"/>
    </row>
    <row r="6455" spans="28:35" ht="15" hidden="1" customHeight="1">
      <c r="AB6455" s="9"/>
      <c r="AC6455" s="9"/>
      <c r="AD6455" s="9"/>
      <c r="AF6455" s="10"/>
      <c r="AG6455" s="10"/>
      <c r="AH6455" s="10"/>
      <c r="AI6455" s="10"/>
    </row>
    <row r="6456" spans="28:35" ht="15" hidden="1" customHeight="1">
      <c r="AB6456" s="9"/>
      <c r="AC6456" s="9"/>
      <c r="AD6456" s="9"/>
      <c r="AF6456" s="10"/>
      <c r="AG6456" s="10"/>
      <c r="AH6456" s="10"/>
      <c r="AI6456" s="10"/>
    </row>
    <row r="6457" spans="28:35" ht="15" hidden="1" customHeight="1">
      <c r="AB6457" s="9"/>
      <c r="AC6457" s="9"/>
      <c r="AD6457" s="9"/>
      <c r="AF6457" s="10"/>
      <c r="AG6457" s="10"/>
      <c r="AH6457" s="10"/>
      <c r="AI6457" s="10"/>
    </row>
    <row r="6458" spans="28:35" ht="15" hidden="1" customHeight="1">
      <c r="AB6458" s="9"/>
      <c r="AC6458" s="9"/>
      <c r="AD6458" s="9"/>
      <c r="AF6458" s="10"/>
      <c r="AG6458" s="10"/>
      <c r="AH6458" s="10"/>
      <c r="AI6458" s="10"/>
    </row>
    <row r="6459" spans="28:35" ht="15" hidden="1" customHeight="1">
      <c r="AB6459" s="9"/>
      <c r="AC6459" s="9"/>
      <c r="AD6459" s="9"/>
      <c r="AF6459" s="10"/>
      <c r="AG6459" s="10"/>
      <c r="AH6459" s="10"/>
      <c r="AI6459" s="10"/>
    </row>
    <row r="6460" spans="28:35" ht="15" hidden="1" customHeight="1">
      <c r="AB6460" s="9"/>
      <c r="AC6460" s="9"/>
      <c r="AD6460" s="9"/>
      <c r="AF6460" s="10"/>
      <c r="AG6460" s="10"/>
      <c r="AH6460" s="10"/>
      <c r="AI6460" s="10"/>
    </row>
    <row r="6461" spans="28:35" ht="15" hidden="1" customHeight="1">
      <c r="AB6461" s="9"/>
      <c r="AC6461" s="9"/>
      <c r="AD6461" s="9"/>
      <c r="AF6461" s="10"/>
      <c r="AG6461" s="10"/>
      <c r="AH6461" s="10"/>
      <c r="AI6461" s="10"/>
    </row>
    <row r="6462" spans="28:35" ht="15" hidden="1" customHeight="1">
      <c r="AB6462" s="9"/>
      <c r="AC6462" s="9"/>
      <c r="AD6462" s="9"/>
      <c r="AF6462" s="10"/>
      <c r="AG6462" s="10"/>
      <c r="AH6462" s="10"/>
      <c r="AI6462" s="10"/>
    </row>
    <row r="6463" spans="28:35" ht="15" hidden="1" customHeight="1">
      <c r="AB6463" s="9"/>
      <c r="AC6463" s="9"/>
      <c r="AD6463" s="9"/>
      <c r="AF6463" s="10"/>
      <c r="AG6463" s="10"/>
      <c r="AH6463" s="10"/>
      <c r="AI6463" s="10"/>
    </row>
    <row r="6464" spans="28:35" ht="15" hidden="1" customHeight="1">
      <c r="AB6464" s="9"/>
      <c r="AC6464" s="9"/>
      <c r="AD6464" s="9"/>
      <c r="AF6464" s="10"/>
      <c r="AG6464" s="10"/>
      <c r="AH6464" s="10"/>
      <c r="AI6464" s="10"/>
    </row>
    <row r="6465" spans="28:35" ht="15" hidden="1" customHeight="1">
      <c r="AB6465" s="9"/>
      <c r="AC6465" s="9"/>
      <c r="AD6465" s="9"/>
      <c r="AF6465" s="10"/>
      <c r="AG6465" s="10"/>
      <c r="AH6465" s="10"/>
      <c r="AI6465" s="10"/>
    </row>
    <row r="6466" spans="28:35" ht="15" hidden="1" customHeight="1">
      <c r="AB6466" s="9"/>
      <c r="AC6466" s="9"/>
      <c r="AD6466" s="9"/>
      <c r="AF6466" s="10"/>
      <c r="AG6466" s="10"/>
      <c r="AH6466" s="10"/>
      <c r="AI6466" s="10"/>
    </row>
    <row r="6467" spans="28:35" ht="15" hidden="1" customHeight="1">
      <c r="AB6467" s="9"/>
      <c r="AC6467" s="9"/>
      <c r="AD6467" s="9"/>
      <c r="AF6467" s="10"/>
      <c r="AG6467" s="10"/>
      <c r="AH6467" s="10"/>
      <c r="AI6467" s="10"/>
    </row>
    <row r="6468" spans="28:35" ht="15" hidden="1" customHeight="1">
      <c r="AB6468" s="9"/>
      <c r="AC6468" s="9"/>
      <c r="AD6468" s="9"/>
      <c r="AF6468" s="10"/>
      <c r="AG6468" s="10"/>
      <c r="AH6468" s="10"/>
      <c r="AI6468" s="10"/>
    </row>
    <row r="6469" spans="28:35" ht="15" hidden="1" customHeight="1">
      <c r="AB6469" s="9"/>
      <c r="AC6469" s="9"/>
      <c r="AD6469" s="9"/>
      <c r="AF6469" s="10"/>
      <c r="AG6469" s="10"/>
      <c r="AH6469" s="10"/>
      <c r="AI6469" s="10"/>
    </row>
    <row r="6470" spans="28:35" ht="15" hidden="1" customHeight="1">
      <c r="AB6470" s="9"/>
      <c r="AC6470" s="9"/>
      <c r="AD6470" s="9"/>
      <c r="AF6470" s="10"/>
      <c r="AG6470" s="10"/>
      <c r="AH6470" s="10"/>
      <c r="AI6470" s="10"/>
    </row>
    <row r="6471" spans="28:35" ht="15" hidden="1" customHeight="1">
      <c r="AB6471" s="9"/>
      <c r="AC6471" s="9"/>
      <c r="AD6471" s="9"/>
      <c r="AF6471" s="10"/>
      <c r="AG6471" s="10"/>
      <c r="AH6471" s="10"/>
      <c r="AI6471" s="10"/>
    </row>
    <row r="6472" spans="28:35" ht="15" hidden="1" customHeight="1">
      <c r="AB6472" s="9"/>
      <c r="AC6472" s="9"/>
      <c r="AD6472" s="9"/>
      <c r="AF6472" s="10"/>
      <c r="AG6472" s="10"/>
      <c r="AH6472" s="10"/>
      <c r="AI6472" s="10"/>
    </row>
    <row r="6473" spans="28:35" ht="15" hidden="1" customHeight="1">
      <c r="AB6473" s="9"/>
      <c r="AC6473" s="9"/>
      <c r="AD6473" s="9"/>
      <c r="AF6473" s="10"/>
      <c r="AG6473" s="10"/>
      <c r="AH6473" s="10"/>
      <c r="AI6473" s="10"/>
    </row>
    <row r="6474" spans="28:35" ht="15" hidden="1" customHeight="1">
      <c r="AB6474" s="9"/>
      <c r="AC6474" s="9"/>
      <c r="AD6474" s="9"/>
      <c r="AF6474" s="10"/>
      <c r="AG6474" s="10"/>
      <c r="AH6474" s="10"/>
      <c r="AI6474" s="10"/>
    </row>
    <row r="6475" spans="28:35" ht="15" hidden="1" customHeight="1">
      <c r="AB6475" s="9"/>
      <c r="AC6475" s="9"/>
      <c r="AD6475" s="9"/>
      <c r="AF6475" s="10"/>
      <c r="AG6475" s="10"/>
      <c r="AH6475" s="10"/>
      <c r="AI6475" s="10"/>
    </row>
    <row r="6476" spans="28:35" ht="15" hidden="1" customHeight="1">
      <c r="AB6476" s="9"/>
      <c r="AC6476" s="9"/>
      <c r="AD6476" s="9"/>
      <c r="AF6476" s="10"/>
      <c r="AG6476" s="10"/>
      <c r="AH6476" s="10"/>
      <c r="AI6476" s="10"/>
    </row>
    <row r="6477" spans="28:35" ht="15" hidden="1" customHeight="1">
      <c r="AB6477" s="9"/>
      <c r="AC6477" s="9"/>
      <c r="AD6477" s="9"/>
      <c r="AF6477" s="10"/>
      <c r="AG6477" s="10"/>
      <c r="AH6477" s="10"/>
      <c r="AI6477" s="10"/>
    </row>
    <row r="6478" spans="28:35" ht="15" hidden="1" customHeight="1">
      <c r="AB6478" s="9"/>
      <c r="AC6478" s="9"/>
      <c r="AD6478" s="9"/>
      <c r="AF6478" s="10"/>
      <c r="AG6478" s="10"/>
      <c r="AH6478" s="10"/>
      <c r="AI6478" s="10"/>
    </row>
    <row r="6479" spans="28:35" ht="15" hidden="1" customHeight="1">
      <c r="AB6479" s="9"/>
      <c r="AC6479" s="9"/>
      <c r="AD6479" s="9"/>
      <c r="AF6479" s="10"/>
      <c r="AG6479" s="10"/>
      <c r="AH6479" s="10"/>
      <c r="AI6479" s="10"/>
    </row>
    <row r="6480" spans="28:35" ht="15" hidden="1" customHeight="1">
      <c r="AB6480" s="9"/>
      <c r="AC6480" s="9"/>
      <c r="AD6480" s="9"/>
      <c r="AF6480" s="10"/>
      <c r="AG6480" s="10"/>
      <c r="AH6480" s="10"/>
      <c r="AI6480" s="10"/>
    </row>
    <row r="6481" spans="28:35" ht="15" hidden="1" customHeight="1">
      <c r="AB6481" s="9"/>
      <c r="AC6481" s="9"/>
      <c r="AD6481" s="9"/>
      <c r="AF6481" s="10"/>
      <c r="AG6481" s="10"/>
      <c r="AH6481" s="10"/>
      <c r="AI6481" s="10"/>
    </row>
    <row r="6482" spans="28:35" ht="15" hidden="1" customHeight="1">
      <c r="AB6482" s="9"/>
      <c r="AC6482" s="9"/>
      <c r="AD6482" s="9"/>
      <c r="AF6482" s="10"/>
      <c r="AG6482" s="10"/>
      <c r="AH6482" s="10"/>
      <c r="AI6482" s="10"/>
    </row>
    <row r="6483" spans="28:35" ht="15" hidden="1" customHeight="1">
      <c r="AB6483" s="9"/>
      <c r="AC6483" s="9"/>
      <c r="AD6483" s="9"/>
      <c r="AF6483" s="10"/>
      <c r="AG6483" s="10"/>
      <c r="AH6483" s="10"/>
      <c r="AI6483" s="10"/>
    </row>
    <row r="6484" spans="28:35" ht="15" hidden="1" customHeight="1">
      <c r="AB6484" s="9"/>
      <c r="AC6484" s="9"/>
      <c r="AD6484" s="9"/>
      <c r="AF6484" s="10"/>
      <c r="AG6484" s="10"/>
      <c r="AH6484" s="10"/>
      <c r="AI6484" s="10"/>
    </row>
    <row r="6485" spans="28:35" ht="15" hidden="1" customHeight="1">
      <c r="AB6485" s="9"/>
      <c r="AC6485" s="9"/>
      <c r="AD6485" s="9"/>
      <c r="AF6485" s="10"/>
      <c r="AG6485" s="10"/>
      <c r="AH6485" s="10"/>
      <c r="AI6485" s="10"/>
    </row>
    <row r="6486" spans="28:35" ht="15" hidden="1" customHeight="1">
      <c r="AB6486" s="9"/>
      <c r="AC6486" s="9"/>
      <c r="AD6486" s="9"/>
      <c r="AF6486" s="10"/>
      <c r="AG6486" s="10"/>
      <c r="AH6486" s="10"/>
      <c r="AI6486" s="10"/>
    </row>
    <row r="6487" spans="28:35" ht="15" hidden="1" customHeight="1">
      <c r="AB6487" s="9"/>
      <c r="AC6487" s="9"/>
      <c r="AD6487" s="9"/>
      <c r="AF6487" s="10"/>
      <c r="AG6487" s="10"/>
      <c r="AH6487" s="10"/>
      <c r="AI6487" s="10"/>
    </row>
    <row r="6488" spans="28:35" ht="15" hidden="1" customHeight="1">
      <c r="AB6488" s="9"/>
      <c r="AC6488" s="9"/>
      <c r="AD6488" s="9"/>
      <c r="AF6488" s="10"/>
      <c r="AG6488" s="10"/>
      <c r="AH6488" s="10"/>
      <c r="AI6488" s="10"/>
    </row>
    <row r="6489" spans="28:35" ht="15" hidden="1" customHeight="1">
      <c r="AB6489" s="9"/>
      <c r="AC6489" s="9"/>
      <c r="AD6489" s="9"/>
      <c r="AF6489" s="10"/>
      <c r="AG6489" s="10"/>
      <c r="AH6489" s="10"/>
      <c r="AI6489" s="10"/>
    </row>
    <row r="6490" spans="28:35" ht="15" hidden="1" customHeight="1">
      <c r="AB6490" s="9"/>
      <c r="AC6490" s="9"/>
      <c r="AD6490" s="9"/>
      <c r="AF6490" s="10"/>
      <c r="AG6490" s="10"/>
      <c r="AH6490" s="10"/>
      <c r="AI6490" s="10"/>
    </row>
    <row r="6491" spans="28:35" ht="15" hidden="1" customHeight="1">
      <c r="AB6491" s="9"/>
      <c r="AC6491" s="9"/>
      <c r="AD6491" s="9"/>
      <c r="AF6491" s="10"/>
      <c r="AG6491" s="10"/>
      <c r="AH6491" s="10"/>
      <c r="AI6491" s="10"/>
    </row>
    <row r="6492" spans="28:35" ht="15" hidden="1" customHeight="1">
      <c r="AB6492" s="9"/>
      <c r="AC6492" s="9"/>
      <c r="AD6492" s="9"/>
      <c r="AF6492" s="10"/>
      <c r="AG6492" s="10"/>
      <c r="AH6492" s="10"/>
      <c r="AI6492" s="10"/>
    </row>
    <row r="6493" spans="28:35" ht="15" hidden="1" customHeight="1">
      <c r="AB6493" s="9"/>
      <c r="AC6493" s="9"/>
      <c r="AD6493" s="9"/>
      <c r="AF6493" s="10"/>
      <c r="AG6493" s="10"/>
      <c r="AH6493" s="10"/>
      <c r="AI6493" s="10"/>
    </row>
    <row r="6494" spans="28:35" ht="15" hidden="1" customHeight="1">
      <c r="AB6494" s="9"/>
      <c r="AC6494" s="9"/>
      <c r="AD6494" s="9"/>
      <c r="AF6494" s="10"/>
      <c r="AG6494" s="10"/>
      <c r="AH6494" s="10"/>
      <c r="AI6494" s="10"/>
    </row>
    <row r="6495" spans="28:35" ht="15" hidden="1" customHeight="1">
      <c r="AB6495" s="9"/>
      <c r="AC6495" s="9"/>
      <c r="AD6495" s="9"/>
      <c r="AF6495" s="10"/>
      <c r="AG6495" s="10"/>
      <c r="AH6495" s="10"/>
      <c r="AI6495" s="10"/>
    </row>
    <row r="6496" spans="28:35" ht="15" hidden="1" customHeight="1">
      <c r="AB6496" s="9"/>
      <c r="AC6496" s="9"/>
      <c r="AD6496" s="9"/>
      <c r="AF6496" s="10"/>
      <c r="AG6496" s="10"/>
      <c r="AH6496" s="10"/>
      <c r="AI6496" s="10"/>
    </row>
    <row r="6497" spans="28:35" ht="15" hidden="1" customHeight="1">
      <c r="AB6497" s="9"/>
      <c r="AC6497" s="9"/>
      <c r="AD6497" s="9"/>
      <c r="AF6497" s="10"/>
      <c r="AG6497" s="10"/>
      <c r="AH6497" s="10"/>
      <c r="AI6497" s="10"/>
    </row>
    <row r="6498" spans="28:35" ht="15" hidden="1" customHeight="1">
      <c r="AB6498" s="9"/>
      <c r="AC6498" s="9"/>
      <c r="AD6498" s="9"/>
      <c r="AF6498" s="10"/>
      <c r="AG6498" s="10"/>
      <c r="AH6498" s="10"/>
      <c r="AI6498" s="10"/>
    </row>
    <row r="6499" spans="28:35" ht="15" hidden="1" customHeight="1">
      <c r="AB6499" s="9"/>
      <c r="AC6499" s="9"/>
      <c r="AD6499" s="9"/>
      <c r="AF6499" s="10"/>
      <c r="AG6499" s="10"/>
      <c r="AH6499" s="10"/>
      <c r="AI6499" s="10"/>
    </row>
    <row r="6500" spans="28:35" ht="15" hidden="1" customHeight="1">
      <c r="AB6500" s="9"/>
      <c r="AC6500" s="9"/>
      <c r="AD6500" s="9"/>
      <c r="AF6500" s="10"/>
      <c r="AG6500" s="10"/>
      <c r="AH6500" s="10"/>
      <c r="AI6500" s="10"/>
    </row>
    <row r="6501" spans="28:35" ht="15" hidden="1" customHeight="1">
      <c r="AB6501" s="9"/>
      <c r="AC6501" s="9"/>
      <c r="AD6501" s="9"/>
      <c r="AF6501" s="10"/>
      <c r="AG6501" s="10"/>
      <c r="AH6501" s="10"/>
      <c r="AI6501" s="10"/>
    </row>
    <row r="6502" spans="28:35" ht="15" hidden="1" customHeight="1">
      <c r="AB6502" s="9"/>
      <c r="AC6502" s="9"/>
      <c r="AD6502" s="9"/>
      <c r="AF6502" s="10"/>
      <c r="AG6502" s="10"/>
      <c r="AH6502" s="10"/>
      <c r="AI6502" s="10"/>
    </row>
    <row r="6503" spans="28:35" ht="15" hidden="1" customHeight="1">
      <c r="AB6503" s="9"/>
      <c r="AC6503" s="9"/>
      <c r="AD6503" s="9"/>
      <c r="AF6503" s="10"/>
      <c r="AG6503" s="10"/>
      <c r="AH6503" s="10"/>
      <c r="AI6503" s="10"/>
    </row>
    <row r="6504" spans="28:35" ht="15" hidden="1" customHeight="1">
      <c r="AB6504" s="9"/>
      <c r="AC6504" s="9"/>
      <c r="AD6504" s="9"/>
      <c r="AF6504" s="10"/>
      <c r="AG6504" s="10"/>
      <c r="AH6504" s="10"/>
      <c r="AI6504" s="10"/>
    </row>
    <row r="6505" spans="28:35" ht="15" hidden="1" customHeight="1">
      <c r="AB6505" s="9"/>
      <c r="AC6505" s="9"/>
      <c r="AD6505" s="9"/>
      <c r="AF6505" s="10"/>
      <c r="AG6505" s="10"/>
      <c r="AH6505" s="10"/>
      <c r="AI6505" s="10"/>
    </row>
    <row r="6506" spans="28:35" ht="15" hidden="1" customHeight="1">
      <c r="AB6506" s="9"/>
      <c r="AC6506" s="9"/>
      <c r="AD6506" s="9"/>
      <c r="AF6506" s="10"/>
      <c r="AG6506" s="10"/>
      <c r="AH6506" s="10"/>
      <c r="AI6506" s="10"/>
    </row>
    <row r="6507" spans="28:35" ht="15" hidden="1" customHeight="1">
      <c r="AB6507" s="9"/>
      <c r="AC6507" s="9"/>
      <c r="AD6507" s="9"/>
      <c r="AF6507" s="10"/>
      <c r="AG6507" s="10"/>
      <c r="AH6507" s="10"/>
      <c r="AI6507" s="10"/>
    </row>
    <row r="6508" spans="28:35" ht="15" hidden="1" customHeight="1">
      <c r="AB6508" s="9"/>
      <c r="AC6508" s="9"/>
      <c r="AD6508" s="9"/>
      <c r="AF6508" s="10"/>
      <c r="AG6508" s="10"/>
      <c r="AH6508" s="10"/>
      <c r="AI6508" s="10"/>
    </row>
    <row r="6509" spans="28:35" ht="15" hidden="1" customHeight="1">
      <c r="AB6509" s="9"/>
      <c r="AC6509" s="9"/>
      <c r="AD6509" s="9"/>
      <c r="AF6509" s="10"/>
      <c r="AG6509" s="10"/>
      <c r="AH6509" s="10"/>
      <c r="AI6509" s="10"/>
    </row>
    <row r="6510" spans="28:35" ht="15" hidden="1" customHeight="1">
      <c r="AB6510" s="9"/>
      <c r="AC6510" s="9"/>
      <c r="AD6510" s="9"/>
      <c r="AF6510" s="10"/>
      <c r="AG6510" s="10"/>
      <c r="AH6510" s="10"/>
      <c r="AI6510" s="10"/>
    </row>
    <row r="6511" spans="28:35" ht="15" hidden="1" customHeight="1">
      <c r="AB6511" s="9"/>
      <c r="AC6511" s="9"/>
      <c r="AD6511" s="9"/>
      <c r="AF6511" s="10"/>
      <c r="AG6511" s="10"/>
      <c r="AH6511" s="10"/>
      <c r="AI6511" s="10"/>
    </row>
    <row r="6512" spans="28:35" ht="15" hidden="1" customHeight="1">
      <c r="AB6512" s="9"/>
      <c r="AC6512" s="9"/>
      <c r="AD6512" s="9"/>
      <c r="AF6512" s="10"/>
      <c r="AG6512" s="10"/>
      <c r="AH6512" s="10"/>
      <c r="AI6512" s="10"/>
    </row>
    <row r="6513" spans="28:35" ht="15" hidden="1" customHeight="1">
      <c r="AB6513" s="9"/>
      <c r="AC6513" s="9"/>
      <c r="AD6513" s="9"/>
      <c r="AF6513" s="10"/>
      <c r="AG6513" s="10"/>
      <c r="AH6513" s="10"/>
      <c r="AI6513" s="10"/>
    </row>
    <row r="6514" spans="28:35" ht="15" hidden="1" customHeight="1">
      <c r="AB6514" s="9"/>
      <c r="AC6514" s="9"/>
      <c r="AD6514" s="9"/>
      <c r="AF6514" s="10"/>
      <c r="AG6514" s="10"/>
      <c r="AH6514" s="10"/>
      <c r="AI6514" s="10"/>
    </row>
    <row r="6515" spans="28:35" ht="15" hidden="1" customHeight="1">
      <c r="AB6515" s="9"/>
      <c r="AC6515" s="9"/>
      <c r="AD6515" s="9"/>
      <c r="AF6515" s="10"/>
      <c r="AG6515" s="10"/>
      <c r="AH6515" s="10"/>
      <c r="AI6515" s="10"/>
    </row>
    <row r="6516" spans="28:35" ht="15" hidden="1" customHeight="1">
      <c r="AB6516" s="9"/>
      <c r="AC6516" s="9"/>
      <c r="AD6516" s="9"/>
      <c r="AF6516" s="10"/>
      <c r="AG6516" s="10"/>
      <c r="AH6516" s="10"/>
      <c r="AI6516" s="10"/>
    </row>
    <row r="6517" spans="28:35" ht="15" hidden="1" customHeight="1">
      <c r="AB6517" s="9"/>
      <c r="AC6517" s="9"/>
      <c r="AD6517" s="9"/>
      <c r="AF6517" s="10"/>
      <c r="AG6517" s="10"/>
      <c r="AH6517" s="10"/>
      <c r="AI6517" s="10"/>
    </row>
    <row r="6518" spans="28:35" ht="15" hidden="1" customHeight="1">
      <c r="AB6518" s="9"/>
      <c r="AC6518" s="9"/>
      <c r="AD6518" s="9"/>
      <c r="AF6518" s="10"/>
      <c r="AG6518" s="10"/>
      <c r="AH6518" s="10"/>
      <c r="AI6518" s="10"/>
    </row>
    <row r="6519" spans="28:35" ht="15" hidden="1" customHeight="1">
      <c r="AB6519" s="9"/>
      <c r="AC6519" s="9"/>
      <c r="AD6519" s="9"/>
      <c r="AF6519" s="10"/>
      <c r="AG6519" s="10"/>
      <c r="AH6519" s="10"/>
      <c r="AI6519" s="10"/>
    </row>
    <row r="6520" spans="28:35" ht="15" hidden="1" customHeight="1">
      <c r="AB6520" s="9"/>
      <c r="AC6520" s="9"/>
      <c r="AD6520" s="9"/>
      <c r="AF6520" s="10"/>
      <c r="AG6520" s="10"/>
      <c r="AH6520" s="10"/>
      <c r="AI6520" s="10"/>
    </row>
    <row r="6521" spans="28:35" ht="15" hidden="1" customHeight="1">
      <c r="AB6521" s="9"/>
      <c r="AC6521" s="9"/>
      <c r="AD6521" s="9"/>
      <c r="AF6521" s="10"/>
      <c r="AG6521" s="10"/>
      <c r="AH6521" s="10"/>
      <c r="AI6521" s="10"/>
    </row>
    <row r="6522" spans="28:35" ht="15" hidden="1" customHeight="1">
      <c r="AB6522" s="9"/>
      <c r="AC6522" s="9"/>
      <c r="AD6522" s="9"/>
      <c r="AF6522" s="10"/>
      <c r="AG6522" s="10"/>
      <c r="AH6522" s="10"/>
      <c r="AI6522" s="10"/>
    </row>
    <row r="6523" spans="28:35" ht="15" hidden="1" customHeight="1">
      <c r="AB6523" s="9"/>
      <c r="AC6523" s="9"/>
      <c r="AD6523" s="9"/>
      <c r="AF6523" s="10"/>
      <c r="AG6523" s="10"/>
      <c r="AH6523" s="10"/>
      <c r="AI6523" s="10"/>
    </row>
    <row r="6524" spans="28:35" ht="15" hidden="1" customHeight="1">
      <c r="AB6524" s="9"/>
      <c r="AC6524" s="9"/>
      <c r="AD6524" s="9"/>
      <c r="AF6524" s="10"/>
      <c r="AG6524" s="10"/>
      <c r="AH6524" s="10"/>
      <c r="AI6524" s="10"/>
    </row>
    <row r="6525" spans="28:35" ht="15" hidden="1" customHeight="1">
      <c r="AB6525" s="9"/>
      <c r="AC6525" s="9"/>
      <c r="AD6525" s="9"/>
      <c r="AF6525" s="10"/>
      <c r="AG6525" s="10"/>
      <c r="AH6525" s="10"/>
      <c r="AI6525" s="10"/>
    </row>
    <row r="6526" spans="28:35" ht="15" hidden="1" customHeight="1">
      <c r="AB6526" s="9"/>
      <c r="AC6526" s="9"/>
      <c r="AD6526" s="9"/>
      <c r="AF6526" s="10"/>
      <c r="AG6526" s="10"/>
      <c r="AH6526" s="10"/>
      <c r="AI6526" s="10"/>
    </row>
    <row r="6527" spans="28:35" ht="15" hidden="1" customHeight="1">
      <c r="AB6527" s="9"/>
      <c r="AC6527" s="9"/>
      <c r="AD6527" s="9"/>
      <c r="AF6527" s="10"/>
      <c r="AG6527" s="10"/>
      <c r="AH6527" s="10"/>
      <c r="AI6527" s="10"/>
    </row>
    <row r="6528" spans="28:35" ht="15" hidden="1" customHeight="1">
      <c r="AB6528" s="9"/>
      <c r="AC6528" s="9"/>
      <c r="AD6528" s="9"/>
      <c r="AF6528" s="10"/>
      <c r="AG6528" s="10"/>
      <c r="AH6528" s="10"/>
      <c r="AI6528" s="10"/>
    </row>
    <row r="6529" spans="28:35" ht="15" hidden="1" customHeight="1">
      <c r="AB6529" s="9"/>
      <c r="AC6529" s="9"/>
      <c r="AD6529" s="9"/>
      <c r="AF6529" s="10"/>
      <c r="AG6529" s="10"/>
      <c r="AH6529" s="10"/>
      <c r="AI6529" s="10"/>
    </row>
    <row r="6530" spans="28:35" ht="15" hidden="1" customHeight="1">
      <c r="AB6530" s="9"/>
      <c r="AC6530" s="9"/>
      <c r="AD6530" s="9"/>
      <c r="AF6530" s="10"/>
      <c r="AG6530" s="10"/>
      <c r="AH6530" s="10"/>
      <c r="AI6530" s="10"/>
    </row>
    <row r="6531" spans="28:35" ht="15" hidden="1" customHeight="1">
      <c r="AB6531" s="9"/>
      <c r="AC6531" s="9"/>
      <c r="AD6531" s="9"/>
      <c r="AF6531" s="10"/>
      <c r="AG6531" s="10"/>
      <c r="AH6531" s="10"/>
      <c r="AI6531" s="10"/>
    </row>
    <row r="6532" spans="28:35" ht="15" hidden="1" customHeight="1">
      <c r="AB6532" s="9"/>
      <c r="AC6532" s="9"/>
      <c r="AD6532" s="9"/>
      <c r="AF6532" s="10"/>
      <c r="AG6532" s="10"/>
      <c r="AH6532" s="10"/>
      <c r="AI6532" s="10"/>
    </row>
    <row r="6533" spans="28:35" ht="15" hidden="1" customHeight="1">
      <c r="AB6533" s="9"/>
      <c r="AC6533" s="9"/>
      <c r="AD6533" s="9"/>
      <c r="AF6533" s="10"/>
      <c r="AG6533" s="10"/>
      <c r="AH6533" s="10"/>
      <c r="AI6533" s="10"/>
    </row>
    <row r="6534" spans="28:35" ht="15" hidden="1" customHeight="1">
      <c r="AB6534" s="9"/>
      <c r="AC6534" s="9"/>
      <c r="AD6534" s="9"/>
      <c r="AF6534" s="10"/>
      <c r="AG6534" s="10"/>
      <c r="AH6534" s="10"/>
      <c r="AI6534" s="10"/>
    </row>
    <row r="6535" spans="28:35" ht="15" hidden="1" customHeight="1">
      <c r="AB6535" s="9"/>
      <c r="AC6535" s="9"/>
      <c r="AD6535" s="9"/>
      <c r="AF6535" s="10"/>
      <c r="AG6535" s="10"/>
      <c r="AH6535" s="10"/>
      <c r="AI6535" s="10"/>
    </row>
    <row r="6536" spans="28:35" ht="15" hidden="1" customHeight="1">
      <c r="AB6536" s="9"/>
      <c r="AC6536" s="9"/>
      <c r="AD6536" s="9"/>
      <c r="AF6536" s="10"/>
      <c r="AG6536" s="10"/>
      <c r="AH6536" s="10"/>
      <c r="AI6536" s="10"/>
    </row>
    <row r="6537" spans="28:35" ht="15" hidden="1" customHeight="1">
      <c r="AB6537" s="9"/>
      <c r="AC6537" s="9"/>
      <c r="AD6537" s="9"/>
      <c r="AF6537" s="10"/>
      <c r="AG6537" s="10"/>
      <c r="AH6537" s="10"/>
      <c r="AI6537" s="10"/>
    </row>
    <row r="6538" spans="28:35" ht="15" hidden="1" customHeight="1">
      <c r="AB6538" s="9"/>
      <c r="AC6538" s="9"/>
      <c r="AD6538" s="9"/>
      <c r="AF6538" s="10"/>
      <c r="AG6538" s="10"/>
      <c r="AH6538" s="10"/>
      <c r="AI6538" s="10"/>
    </row>
    <row r="6539" spans="28:35" ht="15" hidden="1" customHeight="1">
      <c r="AB6539" s="9"/>
      <c r="AC6539" s="9"/>
      <c r="AD6539" s="9"/>
      <c r="AF6539" s="10"/>
      <c r="AG6539" s="10"/>
      <c r="AH6539" s="10"/>
      <c r="AI6539" s="10"/>
    </row>
    <row r="6540" spans="28:35" ht="15" hidden="1" customHeight="1">
      <c r="AB6540" s="9"/>
      <c r="AC6540" s="9"/>
      <c r="AD6540" s="9"/>
      <c r="AF6540" s="10"/>
      <c r="AG6540" s="10"/>
      <c r="AH6540" s="10"/>
      <c r="AI6540" s="10"/>
    </row>
    <row r="6541" spans="28:35" ht="15" hidden="1" customHeight="1">
      <c r="AB6541" s="9"/>
      <c r="AC6541" s="9"/>
      <c r="AD6541" s="9"/>
      <c r="AF6541" s="10"/>
      <c r="AG6541" s="10"/>
      <c r="AH6541" s="10"/>
      <c r="AI6541" s="10"/>
    </row>
    <row r="6542" spans="28:35" ht="15" hidden="1" customHeight="1">
      <c r="AB6542" s="9"/>
      <c r="AC6542" s="9"/>
      <c r="AD6542" s="9"/>
      <c r="AF6542" s="10"/>
      <c r="AG6542" s="10"/>
      <c r="AH6542" s="10"/>
      <c r="AI6542" s="10"/>
    </row>
    <row r="6543" spans="28:35" ht="15" hidden="1" customHeight="1">
      <c r="AB6543" s="9"/>
      <c r="AC6543" s="9"/>
      <c r="AD6543" s="9"/>
      <c r="AF6543" s="10"/>
      <c r="AG6543" s="10"/>
      <c r="AH6543" s="10"/>
      <c r="AI6543" s="10"/>
    </row>
    <row r="6544" spans="28:35" ht="15" hidden="1" customHeight="1">
      <c r="AB6544" s="9"/>
      <c r="AC6544" s="9"/>
      <c r="AD6544" s="9"/>
      <c r="AF6544" s="10"/>
      <c r="AG6544" s="10"/>
      <c r="AH6544" s="10"/>
      <c r="AI6544" s="10"/>
    </row>
    <row r="6545" spans="28:35" ht="15" hidden="1" customHeight="1">
      <c r="AB6545" s="9"/>
      <c r="AC6545" s="9"/>
      <c r="AD6545" s="9"/>
      <c r="AF6545" s="10"/>
      <c r="AG6545" s="10"/>
      <c r="AH6545" s="10"/>
      <c r="AI6545" s="10"/>
    </row>
    <row r="6546" spans="28:35" ht="15" hidden="1" customHeight="1">
      <c r="AB6546" s="9"/>
      <c r="AC6546" s="9"/>
      <c r="AD6546" s="9"/>
      <c r="AF6546" s="10"/>
      <c r="AG6546" s="10"/>
      <c r="AH6546" s="10"/>
      <c r="AI6546" s="10"/>
    </row>
    <row r="6547" spans="28:35" ht="15" hidden="1" customHeight="1">
      <c r="AB6547" s="9"/>
      <c r="AC6547" s="9"/>
      <c r="AD6547" s="9"/>
      <c r="AF6547" s="10"/>
      <c r="AG6547" s="10"/>
      <c r="AH6547" s="10"/>
      <c r="AI6547" s="10"/>
    </row>
    <row r="6548" spans="28:35" ht="15" hidden="1" customHeight="1">
      <c r="AB6548" s="9"/>
      <c r="AC6548" s="9"/>
      <c r="AD6548" s="9"/>
      <c r="AF6548" s="10"/>
      <c r="AG6548" s="10"/>
      <c r="AH6548" s="10"/>
      <c r="AI6548" s="10"/>
    </row>
    <row r="6549" spans="28:35" ht="15" hidden="1" customHeight="1">
      <c r="AB6549" s="9"/>
      <c r="AC6549" s="9"/>
      <c r="AD6549" s="9"/>
      <c r="AF6549" s="10"/>
      <c r="AG6549" s="10"/>
      <c r="AH6549" s="10"/>
      <c r="AI6549" s="10"/>
    </row>
    <row r="6550" spans="28:35" ht="15" hidden="1" customHeight="1">
      <c r="AB6550" s="9"/>
      <c r="AC6550" s="9"/>
      <c r="AD6550" s="9"/>
      <c r="AF6550" s="10"/>
      <c r="AG6550" s="10"/>
      <c r="AH6550" s="10"/>
      <c r="AI6550" s="10"/>
    </row>
    <row r="6551" spans="28:35" ht="15" hidden="1" customHeight="1">
      <c r="AB6551" s="9"/>
      <c r="AC6551" s="9"/>
      <c r="AD6551" s="9"/>
      <c r="AF6551" s="10"/>
      <c r="AG6551" s="10"/>
      <c r="AH6551" s="10"/>
      <c r="AI6551" s="10"/>
    </row>
    <row r="6552" spans="28:35" ht="15" hidden="1" customHeight="1">
      <c r="AB6552" s="9"/>
      <c r="AC6552" s="9"/>
      <c r="AD6552" s="9"/>
      <c r="AF6552" s="10"/>
      <c r="AG6552" s="10"/>
      <c r="AH6552" s="10"/>
      <c r="AI6552" s="10"/>
    </row>
    <row r="6553" spans="28:35" ht="15" hidden="1" customHeight="1">
      <c r="AB6553" s="9"/>
      <c r="AC6553" s="9"/>
      <c r="AD6553" s="9"/>
      <c r="AF6553" s="10"/>
      <c r="AG6553" s="10"/>
      <c r="AH6553" s="10"/>
      <c r="AI6553" s="10"/>
    </row>
    <row r="6554" spans="28:35" ht="15" hidden="1" customHeight="1">
      <c r="AB6554" s="9"/>
      <c r="AC6554" s="9"/>
      <c r="AD6554" s="9"/>
      <c r="AF6554" s="10"/>
      <c r="AG6554" s="10"/>
      <c r="AH6554" s="10"/>
      <c r="AI6554" s="10"/>
    </row>
    <row r="6555" spans="28:35" ht="15" hidden="1" customHeight="1">
      <c r="AB6555" s="9"/>
      <c r="AC6555" s="9"/>
      <c r="AD6555" s="9"/>
      <c r="AF6555" s="10"/>
      <c r="AG6555" s="10"/>
      <c r="AH6555" s="10"/>
      <c r="AI6555" s="10"/>
    </row>
    <row r="6556" spans="28:35" ht="15" hidden="1" customHeight="1">
      <c r="AB6556" s="9"/>
      <c r="AC6556" s="9"/>
      <c r="AD6556" s="9"/>
      <c r="AF6556" s="10"/>
      <c r="AG6556" s="10"/>
      <c r="AH6556" s="10"/>
      <c r="AI6556" s="10"/>
    </row>
    <row r="6557" spans="28:35" ht="15" hidden="1" customHeight="1">
      <c r="AB6557" s="9"/>
      <c r="AC6557" s="9"/>
      <c r="AD6557" s="9"/>
      <c r="AF6557" s="10"/>
      <c r="AG6557" s="10"/>
      <c r="AH6557" s="10"/>
      <c r="AI6557" s="10"/>
    </row>
    <row r="6558" spans="28:35" ht="15" hidden="1" customHeight="1">
      <c r="AB6558" s="9"/>
      <c r="AC6558" s="9"/>
      <c r="AD6558" s="9"/>
      <c r="AF6558" s="10"/>
      <c r="AG6558" s="10"/>
      <c r="AH6558" s="10"/>
      <c r="AI6558" s="10"/>
    </row>
    <row r="6559" spans="28:35" ht="15" hidden="1" customHeight="1">
      <c r="AB6559" s="9"/>
      <c r="AC6559" s="9"/>
      <c r="AD6559" s="9"/>
      <c r="AF6559" s="10"/>
      <c r="AG6559" s="10"/>
      <c r="AH6559" s="10"/>
      <c r="AI6559" s="10"/>
    </row>
    <row r="6560" spans="28:35" ht="15" hidden="1" customHeight="1">
      <c r="AB6560" s="9"/>
      <c r="AC6560" s="9"/>
      <c r="AD6560" s="9"/>
      <c r="AF6560" s="10"/>
      <c r="AG6560" s="10"/>
      <c r="AH6560" s="10"/>
      <c r="AI6560" s="10"/>
    </row>
    <row r="6561" spans="28:35" ht="15" hidden="1" customHeight="1">
      <c r="AB6561" s="9"/>
      <c r="AC6561" s="9"/>
      <c r="AD6561" s="9"/>
      <c r="AF6561" s="10"/>
      <c r="AG6561" s="10"/>
      <c r="AH6561" s="10"/>
      <c r="AI6561" s="10"/>
    </row>
    <row r="6562" spans="28:35" ht="15" hidden="1" customHeight="1">
      <c r="AB6562" s="9"/>
      <c r="AC6562" s="9"/>
      <c r="AD6562" s="9"/>
      <c r="AF6562" s="10"/>
      <c r="AG6562" s="10"/>
      <c r="AH6562" s="10"/>
      <c r="AI6562" s="10"/>
    </row>
    <row r="6563" spans="28:35" ht="15" hidden="1" customHeight="1">
      <c r="AB6563" s="9"/>
      <c r="AC6563" s="9"/>
      <c r="AD6563" s="9"/>
      <c r="AF6563" s="10"/>
      <c r="AG6563" s="10"/>
      <c r="AH6563" s="10"/>
      <c r="AI6563" s="10"/>
    </row>
    <row r="6564" spans="28:35" ht="15" hidden="1" customHeight="1">
      <c r="AB6564" s="9"/>
      <c r="AC6564" s="9"/>
      <c r="AD6564" s="9"/>
      <c r="AF6564" s="10"/>
      <c r="AG6564" s="10"/>
      <c r="AH6564" s="10"/>
      <c r="AI6564" s="10"/>
    </row>
    <row r="6565" spans="28:35" ht="15" hidden="1" customHeight="1">
      <c r="AB6565" s="9"/>
      <c r="AC6565" s="9"/>
      <c r="AD6565" s="9"/>
      <c r="AF6565" s="10"/>
      <c r="AG6565" s="10"/>
      <c r="AH6565" s="10"/>
      <c r="AI6565" s="10"/>
    </row>
    <row r="6566" spans="28:35" ht="15" hidden="1" customHeight="1">
      <c r="AB6566" s="9"/>
      <c r="AC6566" s="9"/>
      <c r="AD6566" s="9"/>
      <c r="AF6566" s="10"/>
      <c r="AG6566" s="10"/>
      <c r="AH6566" s="10"/>
      <c r="AI6566" s="10"/>
    </row>
    <row r="6567" spans="28:35" ht="15" hidden="1" customHeight="1">
      <c r="AB6567" s="9"/>
      <c r="AC6567" s="9"/>
      <c r="AD6567" s="9"/>
      <c r="AF6567" s="10"/>
      <c r="AG6567" s="10"/>
      <c r="AH6567" s="10"/>
      <c r="AI6567" s="10"/>
    </row>
    <row r="6568" spans="28:35" ht="15" hidden="1" customHeight="1">
      <c r="AB6568" s="9"/>
      <c r="AC6568" s="9"/>
      <c r="AD6568" s="9"/>
      <c r="AF6568" s="10"/>
      <c r="AG6568" s="10"/>
      <c r="AH6568" s="10"/>
      <c r="AI6568" s="10"/>
    </row>
    <row r="6569" spans="28:35" ht="15" hidden="1" customHeight="1">
      <c r="AB6569" s="9"/>
      <c r="AC6569" s="9"/>
      <c r="AD6569" s="9"/>
      <c r="AF6569" s="10"/>
      <c r="AG6569" s="10"/>
      <c r="AH6569" s="10"/>
      <c r="AI6569" s="10"/>
    </row>
    <row r="6570" spans="28:35" ht="15" hidden="1" customHeight="1">
      <c r="AB6570" s="9"/>
      <c r="AC6570" s="9"/>
      <c r="AD6570" s="9"/>
      <c r="AF6570" s="10"/>
      <c r="AG6570" s="10"/>
      <c r="AH6570" s="10"/>
      <c r="AI6570" s="10"/>
    </row>
    <row r="6571" spans="28:35" ht="15" hidden="1" customHeight="1">
      <c r="AB6571" s="9"/>
      <c r="AC6571" s="9"/>
      <c r="AD6571" s="9"/>
      <c r="AF6571" s="10"/>
      <c r="AG6571" s="10"/>
      <c r="AH6571" s="10"/>
      <c r="AI6571" s="10"/>
    </row>
    <row r="6572" spans="28:35" ht="15" hidden="1" customHeight="1">
      <c r="AB6572" s="9"/>
      <c r="AC6572" s="9"/>
      <c r="AD6572" s="9"/>
      <c r="AF6572" s="10"/>
      <c r="AG6572" s="10"/>
      <c r="AH6572" s="10"/>
      <c r="AI6572" s="10"/>
    </row>
    <row r="6573" spans="28:35" ht="15" hidden="1" customHeight="1">
      <c r="AB6573" s="9"/>
      <c r="AC6573" s="9"/>
      <c r="AD6573" s="9"/>
      <c r="AF6573" s="10"/>
      <c r="AG6573" s="10"/>
      <c r="AH6573" s="10"/>
      <c r="AI6573" s="10"/>
    </row>
    <row r="6574" spans="28:35" ht="15" hidden="1" customHeight="1">
      <c r="AB6574" s="9"/>
      <c r="AC6574" s="9"/>
      <c r="AD6574" s="9"/>
      <c r="AF6574" s="10"/>
      <c r="AG6574" s="10"/>
      <c r="AH6574" s="10"/>
      <c r="AI6574" s="10"/>
    </row>
    <row r="6575" spans="28:35" ht="15" hidden="1" customHeight="1">
      <c r="AB6575" s="9"/>
      <c r="AC6575" s="9"/>
      <c r="AD6575" s="9"/>
      <c r="AF6575" s="10"/>
      <c r="AG6575" s="10"/>
      <c r="AH6575" s="10"/>
      <c r="AI6575" s="10"/>
    </row>
    <row r="6576" spans="28:35" ht="15" hidden="1" customHeight="1">
      <c r="AB6576" s="9"/>
      <c r="AC6576" s="9"/>
      <c r="AD6576" s="9"/>
      <c r="AF6576" s="10"/>
      <c r="AG6576" s="10"/>
      <c r="AH6576" s="10"/>
      <c r="AI6576" s="10"/>
    </row>
    <row r="6577" spans="28:35" ht="15" hidden="1" customHeight="1">
      <c r="AB6577" s="9"/>
      <c r="AC6577" s="9"/>
      <c r="AD6577" s="9"/>
      <c r="AF6577" s="10"/>
      <c r="AG6577" s="10"/>
      <c r="AH6577" s="10"/>
      <c r="AI6577" s="10"/>
    </row>
    <row r="6578" spans="28:35" ht="15" hidden="1" customHeight="1">
      <c r="AB6578" s="9"/>
      <c r="AC6578" s="9"/>
      <c r="AD6578" s="9"/>
      <c r="AF6578" s="10"/>
      <c r="AG6578" s="10"/>
      <c r="AH6578" s="10"/>
      <c r="AI6578" s="10"/>
    </row>
    <row r="6579" spans="28:35" ht="15" hidden="1" customHeight="1">
      <c r="AB6579" s="9"/>
      <c r="AC6579" s="9"/>
      <c r="AD6579" s="9"/>
      <c r="AF6579" s="10"/>
      <c r="AG6579" s="10"/>
      <c r="AH6579" s="10"/>
      <c r="AI6579" s="10"/>
    </row>
    <row r="6580" spans="28:35" ht="15" hidden="1" customHeight="1">
      <c r="AB6580" s="9"/>
      <c r="AC6580" s="9"/>
      <c r="AD6580" s="9"/>
      <c r="AF6580" s="10"/>
      <c r="AG6580" s="10"/>
      <c r="AH6580" s="10"/>
      <c r="AI6580" s="10"/>
    </row>
    <row r="6581" spans="28:35" ht="15" hidden="1" customHeight="1">
      <c r="AB6581" s="9"/>
      <c r="AC6581" s="9"/>
      <c r="AD6581" s="9"/>
      <c r="AF6581" s="10"/>
      <c r="AG6581" s="10"/>
      <c r="AH6581" s="10"/>
      <c r="AI6581" s="10"/>
    </row>
    <row r="6582" spans="28:35" ht="15" hidden="1" customHeight="1">
      <c r="AB6582" s="9"/>
      <c r="AC6582" s="9"/>
      <c r="AD6582" s="9"/>
      <c r="AF6582" s="10"/>
      <c r="AG6582" s="10"/>
      <c r="AH6582" s="10"/>
      <c r="AI6582" s="10"/>
    </row>
    <row r="6583" spans="28:35" ht="15" hidden="1" customHeight="1">
      <c r="AB6583" s="9"/>
      <c r="AC6583" s="9"/>
      <c r="AD6583" s="9"/>
      <c r="AF6583" s="10"/>
      <c r="AG6583" s="10"/>
      <c r="AH6583" s="10"/>
      <c r="AI6583" s="10"/>
    </row>
    <row r="6584" spans="28:35" ht="15" hidden="1" customHeight="1">
      <c r="AB6584" s="9"/>
      <c r="AC6584" s="9"/>
      <c r="AD6584" s="9"/>
      <c r="AF6584" s="10"/>
      <c r="AG6584" s="10"/>
      <c r="AH6584" s="10"/>
      <c r="AI6584" s="10"/>
    </row>
    <row r="6585" spans="28:35" ht="15" hidden="1" customHeight="1">
      <c r="AB6585" s="9"/>
      <c r="AC6585" s="9"/>
      <c r="AD6585" s="9"/>
      <c r="AF6585" s="10"/>
      <c r="AG6585" s="10"/>
      <c r="AH6585" s="10"/>
      <c r="AI6585" s="10"/>
    </row>
    <row r="6586" spans="28:35" ht="15" hidden="1" customHeight="1">
      <c r="AB6586" s="9"/>
      <c r="AC6586" s="9"/>
      <c r="AD6586" s="9"/>
      <c r="AF6586" s="10"/>
      <c r="AG6586" s="10"/>
      <c r="AH6586" s="10"/>
      <c r="AI6586" s="10"/>
    </row>
    <row r="6587" spans="28:35" ht="15" hidden="1" customHeight="1">
      <c r="AB6587" s="9"/>
      <c r="AC6587" s="9"/>
      <c r="AD6587" s="9"/>
      <c r="AF6587" s="10"/>
      <c r="AG6587" s="10"/>
      <c r="AH6587" s="10"/>
      <c r="AI6587" s="10"/>
    </row>
    <row r="6588" spans="28:35" ht="15" hidden="1" customHeight="1">
      <c r="AB6588" s="9"/>
      <c r="AC6588" s="9"/>
      <c r="AD6588" s="9"/>
      <c r="AF6588" s="10"/>
      <c r="AG6588" s="10"/>
      <c r="AH6588" s="10"/>
      <c r="AI6588" s="10"/>
    </row>
    <row r="6589" spans="28:35" ht="15" hidden="1" customHeight="1">
      <c r="AB6589" s="9"/>
      <c r="AC6589" s="9"/>
      <c r="AD6589" s="9"/>
      <c r="AF6589" s="10"/>
      <c r="AG6589" s="10"/>
      <c r="AH6589" s="10"/>
      <c r="AI6589" s="10"/>
    </row>
    <row r="6590" spans="28:35" ht="15" hidden="1" customHeight="1">
      <c r="AB6590" s="9"/>
      <c r="AC6590" s="9"/>
      <c r="AD6590" s="9"/>
      <c r="AF6590" s="10"/>
      <c r="AG6590" s="10"/>
      <c r="AH6590" s="10"/>
      <c r="AI6590" s="10"/>
    </row>
    <row r="6591" spans="28:35" ht="15" hidden="1" customHeight="1">
      <c r="AB6591" s="9"/>
      <c r="AC6591" s="9"/>
      <c r="AD6591" s="9"/>
      <c r="AF6591" s="10"/>
      <c r="AG6591" s="10"/>
      <c r="AH6591" s="10"/>
      <c r="AI6591" s="10"/>
    </row>
    <row r="6592" spans="28:35" ht="15" hidden="1" customHeight="1">
      <c r="AB6592" s="9"/>
      <c r="AC6592" s="9"/>
      <c r="AD6592" s="9"/>
      <c r="AF6592" s="10"/>
      <c r="AG6592" s="10"/>
      <c r="AH6592" s="10"/>
      <c r="AI6592" s="10"/>
    </row>
    <row r="6593" spans="28:35" ht="15" hidden="1" customHeight="1">
      <c r="AB6593" s="9"/>
      <c r="AC6593" s="9"/>
      <c r="AD6593" s="9"/>
      <c r="AF6593" s="10"/>
      <c r="AG6593" s="10"/>
      <c r="AH6593" s="10"/>
      <c r="AI6593" s="10"/>
    </row>
    <row r="6594" spans="28:35" ht="15" hidden="1" customHeight="1">
      <c r="AB6594" s="9"/>
      <c r="AC6594" s="9"/>
      <c r="AD6594" s="9"/>
      <c r="AF6594" s="10"/>
      <c r="AG6594" s="10"/>
      <c r="AH6594" s="10"/>
      <c r="AI6594" s="10"/>
    </row>
    <row r="6595" spans="28:35" ht="15" hidden="1" customHeight="1">
      <c r="AB6595" s="9"/>
      <c r="AC6595" s="9"/>
      <c r="AD6595" s="9"/>
      <c r="AF6595" s="10"/>
      <c r="AG6595" s="10"/>
      <c r="AH6595" s="10"/>
      <c r="AI6595" s="10"/>
    </row>
    <row r="6596" spans="28:35" ht="15" hidden="1" customHeight="1">
      <c r="AB6596" s="9"/>
      <c r="AC6596" s="9"/>
      <c r="AD6596" s="9"/>
      <c r="AF6596" s="10"/>
      <c r="AG6596" s="10"/>
      <c r="AH6596" s="10"/>
      <c r="AI6596" s="10"/>
    </row>
    <row r="6597" spans="28:35" ht="15" hidden="1" customHeight="1">
      <c r="AB6597" s="9"/>
      <c r="AC6597" s="9"/>
      <c r="AD6597" s="9"/>
      <c r="AF6597" s="10"/>
      <c r="AG6597" s="10"/>
      <c r="AH6597" s="10"/>
      <c r="AI6597" s="10"/>
    </row>
    <row r="6598" spans="28:35" ht="15" hidden="1" customHeight="1">
      <c r="AB6598" s="9"/>
      <c r="AC6598" s="9"/>
      <c r="AD6598" s="9"/>
      <c r="AF6598" s="10"/>
      <c r="AG6598" s="10"/>
      <c r="AH6598" s="10"/>
      <c r="AI6598" s="10"/>
    </row>
    <row r="6599" spans="28:35" ht="15" hidden="1" customHeight="1">
      <c r="AB6599" s="9"/>
      <c r="AC6599" s="9"/>
      <c r="AD6599" s="9"/>
      <c r="AF6599" s="10"/>
      <c r="AG6599" s="10"/>
      <c r="AH6599" s="10"/>
      <c r="AI6599" s="10"/>
    </row>
    <row r="6600" spans="28:35" ht="15" hidden="1" customHeight="1">
      <c r="AB6600" s="9"/>
      <c r="AC6600" s="9"/>
      <c r="AD6600" s="9"/>
      <c r="AF6600" s="10"/>
      <c r="AG6600" s="10"/>
      <c r="AH6600" s="10"/>
      <c r="AI6600" s="10"/>
    </row>
    <row r="6601" spans="28:35" ht="15" hidden="1" customHeight="1">
      <c r="AB6601" s="9"/>
      <c r="AC6601" s="9"/>
      <c r="AD6601" s="9"/>
      <c r="AF6601" s="10"/>
      <c r="AG6601" s="10"/>
      <c r="AH6601" s="10"/>
      <c r="AI6601" s="10"/>
    </row>
    <row r="6602" spans="28:35" ht="15" hidden="1" customHeight="1">
      <c r="AB6602" s="9"/>
      <c r="AC6602" s="9"/>
      <c r="AD6602" s="9"/>
      <c r="AF6602" s="10"/>
      <c r="AG6602" s="10"/>
      <c r="AH6602" s="10"/>
      <c r="AI6602" s="10"/>
    </row>
    <row r="6603" spans="28:35" ht="15" hidden="1" customHeight="1">
      <c r="AB6603" s="9"/>
      <c r="AC6603" s="9"/>
      <c r="AD6603" s="9"/>
      <c r="AF6603" s="10"/>
      <c r="AG6603" s="10"/>
      <c r="AH6603" s="10"/>
      <c r="AI6603" s="10"/>
    </row>
    <row r="6604" spans="28:35" ht="15" hidden="1" customHeight="1">
      <c r="AB6604" s="9"/>
      <c r="AC6604" s="9"/>
      <c r="AD6604" s="9"/>
      <c r="AF6604" s="10"/>
      <c r="AG6604" s="10"/>
      <c r="AH6604" s="10"/>
      <c r="AI6604" s="10"/>
    </row>
    <row r="6605" spans="28:35" ht="15" hidden="1" customHeight="1">
      <c r="AB6605" s="9"/>
      <c r="AC6605" s="9"/>
      <c r="AD6605" s="9"/>
      <c r="AF6605" s="10"/>
      <c r="AG6605" s="10"/>
      <c r="AH6605" s="10"/>
      <c r="AI6605" s="10"/>
    </row>
    <row r="6606" spans="28:35" ht="15" hidden="1" customHeight="1">
      <c r="AB6606" s="9"/>
      <c r="AC6606" s="9"/>
      <c r="AD6606" s="9"/>
      <c r="AF6606" s="10"/>
      <c r="AG6606" s="10"/>
      <c r="AH6606" s="10"/>
      <c r="AI6606" s="10"/>
    </row>
    <row r="6607" spans="28:35" ht="15" hidden="1" customHeight="1">
      <c r="AB6607" s="9"/>
      <c r="AC6607" s="9"/>
      <c r="AD6607" s="9"/>
      <c r="AF6607" s="10"/>
      <c r="AG6607" s="10"/>
      <c r="AH6607" s="10"/>
      <c r="AI6607" s="10"/>
    </row>
    <row r="6608" spans="28:35" ht="15" hidden="1" customHeight="1">
      <c r="AB6608" s="9"/>
      <c r="AC6608" s="9"/>
      <c r="AD6608" s="9"/>
      <c r="AF6608" s="10"/>
      <c r="AG6608" s="10"/>
      <c r="AH6608" s="10"/>
      <c r="AI6608" s="10"/>
    </row>
    <row r="6609" spans="28:35" ht="15" hidden="1" customHeight="1">
      <c r="AB6609" s="9"/>
      <c r="AC6609" s="9"/>
      <c r="AD6609" s="9"/>
      <c r="AF6609" s="10"/>
      <c r="AG6609" s="10"/>
      <c r="AH6609" s="10"/>
      <c r="AI6609" s="10"/>
    </row>
    <row r="6610" spans="28:35" ht="15" hidden="1" customHeight="1">
      <c r="AB6610" s="9"/>
      <c r="AC6610" s="9"/>
      <c r="AD6610" s="9"/>
      <c r="AF6610" s="10"/>
      <c r="AG6610" s="10"/>
      <c r="AH6610" s="10"/>
      <c r="AI6610" s="10"/>
    </row>
    <row r="6611" spans="28:35" ht="15" hidden="1" customHeight="1">
      <c r="AB6611" s="9"/>
      <c r="AC6611" s="9"/>
      <c r="AD6611" s="9"/>
      <c r="AF6611" s="10"/>
      <c r="AG6611" s="10"/>
      <c r="AH6611" s="10"/>
      <c r="AI6611" s="10"/>
    </row>
    <row r="6612" spans="28:35" ht="15" hidden="1" customHeight="1">
      <c r="AB6612" s="9"/>
      <c r="AC6612" s="9"/>
      <c r="AD6612" s="9"/>
      <c r="AF6612" s="10"/>
      <c r="AG6612" s="10"/>
      <c r="AH6612" s="10"/>
      <c r="AI6612" s="10"/>
    </row>
    <row r="6613" spans="28:35" ht="15" hidden="1" customHeight="1">
      <c r="AB6613" s="9"/>
      <c r="AC6613" s="9"/>
      <c r="AD6613" s="9"/>
      <c r="AF6613" s="10"/>
      <c r="AG6613" s="10"/>
      <c r="AH6613" s="10"/>
      <c r="AI6613" s="10"/>
    </row>
    <row r="6614" spans="28:35" ht="15" hidden="1" customHeight="1">
      <c r="AB6614" s="9"/>
      <c r="AC6614" s="9"/>
      <c r="AD6614" s="9"/>
      <c r="AF6614" s="10"/>
      <c r="AG6614" s="10"/>
      <c r="AH6614" s="10"/>
      <c r="AI6614" s="10"/>
    </row>
    <row r="6615" spans="28:35" ht="15" hidden="1" customHeight="1">
      <c r="AB6615" s="9"/>
      <c r="AC6615" s="9"/>
      <c r="AD6615" s="9"/>
      <c r="AF6615" s="10"/>
      <c r="AG6615" s="10"/>
      <c r="AH6615" s="10"/>
      <c r="AI6615" s="10"/>
    </row>
    <row r="6616" spans="28:35" ht="15" hidden="1" customHeight="1">
      <c r="AB6616" s="9"/>
      <c r="AC6616" s="9"/>
      <c r="AD6616" s="9"/>
      <c r="AF6616" s="10"/>
      <c r="AG6616" s="10"/>
      <c r="AH6616" s="10"/>
      <c r="AI6616" s="10"/>
    </row>
    <row r="6617" spans="28:35" ht="15" hidden="1" customHeight="1">
      <c r="AB6617" s="9"/>
      <c r="AC6617" s="9"/>
      <c r="AD6617" s="9"/>
      <c r="AF6617" s="10"/>
      <c r="AG6617" s="10"/>
      <c r="AH6617" s="10"/>
      <c r="AI6617" s="10"/>
    </row>
    <row r="6618" spans="28:35" ht="15" hidden="1" customHeight="1">
      <c r="AB6618" s="9"/>
      <c r="AC6618" s="9"/>
      <c r="AD6618" s="9"/>
      <c r="AF6618" s="10"/>
      <c r="AG6618" s="10"/>
      <c r="AH6618" s="10"/>
      <c r="AI6618" s="10"/>
    </row>
    <row r="6619" spans="28:35" ht="15" hidden="1" customHeight="1">
      <c r="AB6619" s="9"/>
      <c r="AC6619" s="9"/>
      <c r="AD6619" s="9"/>
      <c r="AF6619" s="10"/>
      <c r="AG6619" s="10"/>
      <c r="AH6619" s="10"/>
      <c r="AI6619" s="10"/>
    </row>
    <row r="6620" spans="28:35" ht="15" hidden="1" customHeight="1">
      <c r="AB6620" s="9"/>
      <c r="AC6620" s="9"/>
      <c r="AD6620" s="9"/>
      <c r="AF6620" s="10"/>
      <c r="AG6620" s="10"/>
      <c r="AH6620" s="10"/>
      <c r="AI6620" s="10"/>
    </row>
    <row r="6621" spans="28:35" ht="15" hidden="1" customHeight="1">
      <c r="AB6621" s="9"/>
      <c r="AC6621" s="9"/>
      <c r="AD6621" s="9"/>
      <c r="AF6621" s="10"/>
      <c r="AG6621" s="10"/>
      <c r="AH6621" s="10"/>
      <c r="AI6621" s="10"/>
    </row>
    <row r="6622" spans="28:35" ht="15" hidden="1" customHeight="1">
      <c r="AB6622" s="9"/>
      <c r="AC6622" s="9"/>
      <c r="AD6622" s="9"/>
      <c r="AF6622" s="10"/>
      <c r="AG6622" s="10"/>
      <c r="AH6622" s="10"/>
      <c r="AI6622" s="10"/>
    </row>
    <row r="6623" spans="28:35" ht="15" hidden="1" customHeight="1">
      <c r="AB6623" s="9"/>
      <c r="AC6623" s="9"/>
      <c r="AD6623" s="9"/>
      <c r="AF6623" s="10"/>
      <c r="AG6623" s="10"/>
      <c r="AH6623" s="10"/>
      <c r="AI6623" s="10"/>
    </row>
    <row r="6624" spans="28:35" ht="15" hidden="1" customHeight="1">
      <c r="AB6624" s="9"/>
      <c r="AC6624" s="9"/>
      <c r="AD6624" s="9"/>
      <c r="AF6624" s="10"/>
      <c r="AG6624" s="10"/>
      <c r="AH6624" s="10"/>
      <c r="AI6624" s="10"/>
    </row>
    <row r="6625" spans="28:35" ht="15" hidden="1" customHeight="1">
      <c r="AB6625" s="9"/>
      <c r="AC6625" s="9"/>
      <c r="AD6625" s="9"/>
      <c r="AF6625" s="10"/>
      <c r="AG6625" s="10"/>
      <c r="AH6625" s="10"/>
      <c r="AI6625" s="10"/>
    </row>
    <row r="6626" spans="28:35" ht="15" hidden="1" customHeight="1">
      <c r="AB6626" s="9"/>
      <c r="AC6626" s="9"/>
      <c r="AD6626" s="9"/>
      <c r="AF6626" s="10"/>
      <c r="AG6626" s="10"/>
      <c r="AH6626" s="10"/>
      <c r="AI6626" s="10"/>
    </row>
    <row r="6627" spans="28:35" ht="15" hidden="1" customHeight="1">
      <c r="AB6627" s="9"/>
      <c r="AC6627" s="9"/>
      <c r="AD6627" s="9"/>
      <c r="AF6627" s="10"/>
      <c r="AG6627" s="10"/>
      <c r="AH6627" s="10"/>
      <c r="AI6627" s="10"/>
    </row>
    <row r="6628" spans="28:35" ht="15" hidden="1" customHeight="1">
      <c r="AB6628" s="9"/>
      <c r="AC6628" s="9"/>
      <c r="AD6628" s="9"/>
      <c r="AF6628" s="10"/>
      <c r="AG6628" s="10"/>
      <c r="AH6628" s="10"/>
      <c r="AI6628" s="10"/>
    </row>
    <row r="6629" spans="28:35" ht="15" hidden="1" customHeight="1">
      <c r="AB6629" s="9"/>
      <c r="AC6629" s="9"/>
      <c r="AD6629" s="9"/>
      <c r="AF6629" s="10"/>
      <c r="AG6629" s="10"/>
      <c r="AH6629" s="10"/>
      <c r="AI6629" s="10"/>
    </row>
    <row r="6630" spans="28:35" ht="15" hidden="1" customHeight="1">
      <c r="AB6630" s="9"/>
      <c r="AC6630" s="9"/>
      <c r="AD6630" s="9"/>
      <c r="AF6630" s="10"/>
      <c r="AG6630" s="10"/>
      <c r="AH6630" s="10"/>
      <c r="AI6630" s="10"/>
    </row>
    <row r="6631" spans="28:35" ht="15" hidden="1" customHeight="1">
      <c r="AB6631" s="9"/>
      <c r="AC6631" s="9"/>
      <c r="AD6631" s="9"/>
      <c r="AF6631" s="10"/>
      <c r="AG6631" s="10"/>
      <c r="AH6631" s="10"/>
      <c r="AI6631" s="10"/>
    </row>
    <row r="6632" spans="28:35" ht="15" hidden="1" customHeight="1">
      <c r="AB6632" s="9"/>
      <c r="AC6632" s="9"/>
      <c r="AD6632" s="9"/>
      <c r="AF6632" s="10"/>
      <c r="AG6632" s="10"/>
      <c r="AH6632" s="10"/>
      <c r="AI6632" s="10"/>
    </row>
    <row r="6633" spans="28:35" ht="15" hidden="1" customHeight="1">
      <c r="AB6633" s="9"/>
      <c r="AC6633" s="9"/>
      <c r="AD6633" s="9"/>
      <c r="AF6633" s="10"/>
      <c r="AG6633" s="10"/>
      <c r="AH6633" s="10"/>
      <c r="AI6633" s="10"/>
    </row>
    <row r="6634" spans="28:35" ht="15" hidden="1" customHeight="1">
      <c r="AB6634" s="9"/>
      <c r="AC6634" s="9"/>
      <c r="AD6634" s="9"/>
      <c r="AF6634" s="10"/>
      <c r="AG6634" s="10"/>
      <c r="AH6634" s="10"/>
      <c r="AI6634" s="10"/>
    </row>
    <row r="6635" spans="28:35" ht="15" hidden="1" customHeight="1">
      <c r="AB6635" s="9"/>
      <c r="AC6635" s="9"/>
      <c r="AD6635" s="9"/>
      <c r="AF6635" s="10"/>
      <c r="AG6635" s="10"/>
      <c r="AH6635" s="10"/>
      <c r="AI6635" s="10"/>
    </row>
    <row r="6636" spans="28:35" ht="15" hidden="1" customHeight="1">
      <c r="AB6636" s="9"/>
      <c r="AC6636" s="9"/>
      <c r="AD6636" s="9"/>
      <c r="AF6636" s="10"/>
      <c r="AG6636" s="10"/>
      <c r="AH6636" s="10"/>
      <c r="AI6636" s="10"/>
    </row>
    <row r="6637" spans="28:35" ht="15" hidden="1" customHeight="1">
      <c r="AB6637" s="9"/>
      <c r="AC6637" s="9"/>
      <c r="AD6637" s="9"/>
      <c r="AF6637" s="10"/>
      <c r="AG6637" s="10"/>
      <c r="AH6637" s="10"/>
      <c r="AI6637" s="10"/>
    </row>
    <row r="6638" spans="28:35" ht="15" hidden="1" customHeight="1">
      <c r="AB6638" s="9"/>
      <c r="AC6638" s="9"/>
      <c r="AD6638" s="9"/>
      <c r="AF6638" s="10"/>
      <c r="AG6638" s="10"/>
      <c r="AH6638" s="10"/>
      <c r="AI6638" s="10"/>
    </row>
    <row r="6639" spans="28:35" ht="15" hidden="1" customHeight="1">
      <c r="AB6639" s="9"/>
      <c r="AC6639" s="9"/>
      <c r="AD6639" s="9"/>
      <c r="AF6639" s="10"/>
      <c r="AG6639" s="10"/>
      <c r="AH6639" s="10"/>
      <c r="AI6639" s="10"/>
    </row>
    <row r="6640" spans="28:35" ht="15" hidden="1" customHeight="1">
      <c r="AB6640" s="9"/>
      <c r="AC6640" s="9"/>
      <c r="AD6640" s="9"/>
      <c r="AF6640" s="10"/>
      <c r="AG6640" s="10"/>
      <c r="AH6640" s="10"/>
      <c r="AI6640" s="10"/>
    </row>
    <row r="6641" spans="28:35" ht="15" hidden="1" customHeight="1">
      <c r="AB6641" s="9"/>
      <c r="AC6641" s="9"/>
      <c r="AD6641" s="9"/>
      <c r="AF6641" s="10"/>
      <c r="AG6641" s="10"/>
      <c r="AH6641" s="10"/>
      <c r="AI6641" s="10"/>
    </row>
    <row r="6642" spans="28:35" ht="15" hidden="1" customHeight="1">
      <c r="AB6642" s="9"/>
      <c r="AC6642" s="9"/>
      <c r="AD6642" s="9"/>
      <c r="AF6642" s="10"/>
      <c r="AG6642" s="10"/>
      <c r="AH6642" s="10"/>
      <c r="AI6642" s="10"/>
    </row>
    <row r="6643" spans="28:35" ht="15" hidden="1" customHeight="1">
      <c r="AB6643" s="9"/>
      <c r="AC6643" s="9"/>
      <c r="AD6643" s="9"/>
      <c r="AF6643" s="10"/>
      <c r="AG6643" s="10"/>
      <c r="AH6643" s="10"/>
      <c r="AI6643" s="10"/>
    </row>
    <row r="6644" spans="28:35" ht="15" hidden="1" customHeight="1">
      <c r="AB6644" s="9"/>
      <c r="AC6644" s="9"/>
      <c r="AD6644" s="9"/>
      <c r="AF6644" s="10"/>
      <c r="AG6644" s="10"/>
      <c r="AH6644" s="10"/>
      <c r="AI6644" s="10"/>
    </row>
    <row r="6645" spans="28:35" ht="15" hidden="1" customHeight="1">
      <c r="AB6645" s="9"/>
      <c r="AC6645" s="9"/>
      <c r="AD6645" s="9"/>
      <c r="AF6645" s="10"/>
      <c r="AG6645" s="10"/>
      <c r="AH6645" s="10"/>
      <c r="AI6645" s="10"/>
    </row>
    <row r="6646" spans="28:35" ht="15" hidden="1" customHeight="1">
      <c r="AB6646" s="9"/>
      <c r="AC6646" s="9"/>
      <c r="AD6646" s="9"/>
      <c r="AF6646" s="10"/>
      <c r="AG6646" s="10"/>
      <c r="AH6646" s="10"/>
      <c r="AI6646" s="10"/>
    </row>
    <row r="6647" spans="28:35" ht="15" hidden="1" customHeight="1">
      <c r="AB6647" s="9"/>
      <c r="AC6647" s="9"/>
      <c r="AD6647" s="9"/>
      <c r="AF6647" s="10"/>
      <c r="AG6647" s="10"/>
      <c r="AH6647" s="10"/>
      <c r="AI6647" s="10"/>
    </row>
    <row r="6648" spans="28:35" ht="15" hidden="1" customHeight="1">
      <c r="AB6648" s="9"/>
      <c r="AC6648" s="9"/>
      <c r="AD6648" s="9"/>
      <c r="AF6648" s="10"/>
      <c r="AG6648" s="10"/>
      <c r="AH6648" s="10"/>
      <c r="AI6648" s="10"/>
    </row>
    <row r="6649" spans="28:35" ht="15" hidden="1" customHeight="1">
      <c r="AB6649" s="9"/>
      <c r="AC6649" s="9"/>
      <c r="AD6649" s="9"/>
      <c r="AF6649" s="10"/>
      <c r="AG6649" s="10"/>
      <c r="AH6649" s="10"/>
      <c r="AI6649" s="10"/>
    </row>
    <row r="6650" spans="28:35" ht="15" hidden="1" customHeight="1">
      <c r="AB6650" s="9"/>
      <c r="AC6650" s="9"/>
      <c r="AD6650" s="9"/>
      <c r="AF6650" s="10"/>
      <c r="AG6650" s="10"/>
      <c r="AH6650" s="10"/>
      <c r="AI6650" s="10"/>
    </row>
    <row r="6651" spans="28:35" ht="15" hidden="1" customHeight="1">
      <c r="AB6651" s="9"/>
      <c r="AC6651" s="9"/>
      <c r="AD6651" s="9"/>
      <c r="AF6651" s="10"/>
      <c r="AG6651" s="10"/>
      <c r="AH6651" s="10"/>
      <c r="AI6651" s="10"/>
    </row>
    <row r="6652" spans="28:35" ht="15" hidden="1" customHeight="1">
      <c r="AB6652" s="9"/>
      <c r="AC6652" s="9"/>
      <c r="AD6652" s="9"/>
      <c r="AF6652" s="10"/>
      <c r="AG6652" s="10"/>
      <c r="AH6652" s="10"/>
      <c r="AI6652" s="10"/>
    </row>
    <row r="6653" spans="28:35" ht="15" hidden="1" customHeight="1">
      <c r="AB6653" s="9"/>
      <c r="AC6653" s="9"/>
      <c r="AD6653" s="9"/>
      <c r="AF6653" s="10"/>
      <c r="AG6653" s="10"/>
      <c r="AH6653" s="10"/>
      <c r="AI6653" s="10"/>
    </row>
    <row r="6654" spans="28:35" ht="15" hidden="1" customHeight="1">
      <c r="AB6654" s="9"/>
      <c r="AC6654" s="9"/>
      <c r="AD6654" s="9"/>
      <c r="AF6654" s="10"/>
      <c r="AG6654" s="10"/>
      <c r="AH6654" s="10"/>
      <c r="AI6654" s="10"/>
    </row>
    <row r="6655" spans="28:35" ht="15" hidden="1" customHeight="1">
      <c r="AB6655" s="9"/>
      <c r="AC6655" s="9"/>
      <c r="AD6655" s="9"/>
      <c r="AF6655" s="10"/>
      <c r="AG6655" s="10"/>
      <c r="AH6655" s="10"/>
      <c r="AI6655" s="10"/>
    </row>
    <row r="6656" spans="28:35" ht="15" hidden="1" customHeight="1">
      <c r="AB6656" s="9"/>
      <c r="AC6656" s="9"/>
      <c r="AD6656" s="9"/>
      <c r="AF6656" s="10"/>
      <c r="AG6656" s="10"/>
      <c r="AH6656" s="10"/>
      <c r="AI6656" s="10"/>
    </row>
    <row r="6657" spans="28:35" ht="15" hidden="1" customHeight="1">
      <c r="AB6657" s="9"/>
      <c r="AC6657" s="9"/>
      <c r="AD6657" s="9"/>
      <c r="AF6657" s="10"/>
      <c r="AG6657" s="10"/>
      <c r="AH6657" s="10"/>
      <c r="AI6657" s="10"/>
    </row>
    <row r="6658" spans="28:35" ht="15" hidden="1" customHeight="1">
      <c r="AB6658" s="9"/>
      <c r="AC6658" s="9"/>
      <c r="AD6658" s="9"/>
      <c r="AF6658" s="10"/>
      <c r="AG6658" s="10"/>
      <c r="AH6658" s="10"/>
      <c r="AI6658" s="10"/>
    </row>
    <row r="6659" spans="28:35" ht="15" hidden="1" customHeight="1">
      <c r="AB6659" s="9"/>
      <c r="AC6659" s="9"/>
      <c r="AD6659" s="9"/>
      <c r="AF6659" s="10"/>
      <c r="AG6659" s="10"/>
      <c r="AH6659" s="10"/>
      <c r="AI6659" s="10"/>
    </row>
    <row r="6660" spans="28:35" ht="15" hidden="1" customHeight="1">
      <c r="AB6660" s="9"/>
      <c r="AC6660" s="9"/>
      <c r="AD6660" s="9"/>
      <c r="AF6660" s="10"/>
      <c r="AG6660" s="10"/>
      <c r="AH6660" s="10"/>
      <c r="AI6660" s="10"/>
    </row>
    <row r="6661" spans="28:35" ht="15" hidden="1" customHeight="1">
      <c r="AB6661" s="9"/>
      <c r="AC6661" s="9"/>
      <c r="AD6661" s="9"/>
      <c r="AF6661" s="10"/>
      <c r="AG6661" s="10"/>
      <c r="AH6661" s="10"/>
      <c r="AI6661" s="10"/>
    </row>
    <row r="6662" spans="28:35" ht="15" hidden="1" customHeight="1">
      <c r="AB6662" s="9"/>
      <c r="AC6662" s="9"/>
      <c r="AD6662" s="9"/>
      <c r="AF6662" s="10"/>
      <c r="AG6662" s="10"/>
      <c r="AH6662" s="10"/>
      <c r="AI6662" s="10"/>
    </row>
    <row r="6663" spans="28:35" ht="15" hidden="1" customHeight="1">
      <c r="AB6663" s="9"/>
      <c r="AC6663" s="9"/>
      <c r="AD6663" s="9"/>
      <c r="AF6663" s="10"/>
      <c r="AG6663" s="10"/>
      <c r="AH6663" s="10"/>
      <c r="AI6663" s="10"/>
    </row>
    <row r="6664" spans="28:35" ht="15" hidden="1" customHeight="1">
      <c r="AB6664" s="9"/>
      <c r="AC6664" s="9"/>
      <c r="AD6664" s="9"/>
      <c r="AF6664" s="10"/>
      <c r="AG6664" s="10"/>
      <c r="AH6664" s="10"/>
      <c r="AI6664" s="10"/>
    </row>
    <row r="6665" spans="28:35" ht="15" hidden="1" customHeight="1">
      <c r="AB6665" s="9"/>
      <c r="AC6665" s="9"/>
      <c r="AD6665" s="9"/>
      <c r="AF6665" s="10"/>
      <c r="AG6665" s="10"/>
      <c r="AH6665" s="10"/>
      <c r="AI6665" s="10"/>
    </row>
    <row r="6666" spans="28:35" ht="15" hidden="1" customHeight="1">
      <c r="AB6666" s="9"/>
      <c r="AC6666" s="9"/>
      <c r="AD6666" s="9"/>
      <c r="AF6666" s="10"/>
      <c r="AG6666" s="10"/>
      <c r="AH6666" s="10"/>
      <c r="AI6666" s="10"/>
    </row>
    <row r="6667" spans="28:35" ht="15" hidden="1" customHeight="1">
      <c r="AB6667" s="9"/>
      <c r="AC6667" s="9"/>
      <c r="AD6667" s="9"/>
      <c r="AF6667" s="10"/>
      <c r="AG6667" s="10"/>
      <c r="AH6667" s="10"/>
      <c r="AI6667" s="10"/>
    </row>
    <row r="6668" spans="28:35" ht="15" hidden="1" customHeight="1">
      <c r="AB6668" s="9"/>
      <c r="AC6668" s="9"/>
      <c r="AD6668" s="9"/>
      <c r="AF6668" s="10"/>
      <c r="AG6668" s="10"/>
      <c r="AH6668" s="10"/>
      <c r="AI6668" s="10"/>
    </row>
    <row r="6669" spans="28:35" ht="15" hidden="1" customHeight="1">
      <c r="AB6669" s="9"/>
      <c r="AC6669" s="9"/>
      <c r="AD6669" s="9"/>
      <c r="AF6669" s="10"/>
      <c r="AG6669" s="10"/>
      <c r="AH6669" s="10"/>
      <c r="AI6669" s="10"/>
    </row>
    <row r="6670" spans="28:35" ht="15" hidden="1" customHeight="1">
      <c r="AB6670" s="9"/>
      <c r="AC6670" s="9"/>
      <c r="AD6670" s="9"/>
      <c r="AF6670" s="10"/>
      <c r="AG6670" s="10"/>
      <c r="AH6670" s="10"/>
      <c r="AI6670" s="10"/>
    </row>
    <row r="6671" spans="28:35" ht="15" hidden="1" customHeight="1">
      <c r="AB6671" s="9"/>
      <c r="AC6671" s="9"/>
      <c r="AD6671" s="9"/>
      <c r="AF6671" s="10"/>
      <c r="AG6671" s="10"/>
      <c r="AH6671" s="10"/>
      <c r="AI6671" s="10"/>
    </row>
    <row r="6672" spans="28:35" ht="15" hidden="1" customHeight="1">
      <c r="AB6672" s="9"/>
      <c r="AC6672" s="9"/>
      <c r="AD6672" s="9"/>
      <c r="AF6672" s="10"/>
      <c r="AG6672" s="10"/>
      <c r="AH6672" s="10"/>
      <c r="AI6672" s="10"/>
    </row>
    <row r="6673" spans="28:35" ht="15" hidden="1" customHeight="1">
      <c r="AB6673" s="9"/>
      <c r="AC6673" s="9"/>
      <c r="AD6673" s="9"/>
      <c r="AF6673" s="10"/>
      <c r="AG6673" s="10"/>
      <c r="AH6673" s="10"/>
      <c r="AI6673" s="10"/>
    </row>
    <row r="6674" spans="28:35" ht="15" hidden="1" customHeight="1">
      <c r="AB6674" s="9"/>
      <c r="AC6674" s="9"/>
      <c r="AD6674" s="9"/>
      <c r="AF6674" s="10"/>
      <c r="AG6674" s="10"/>
      <c r="AH6674" s="10"/>
      <c r="AI6674" s="10"/>
    </row>
    <row r="6675" spans="28:35" ht="15" hidden="1" customHeight="1">
      <c r="AB6675" s="9"/>
      <c r="AC6675" s="9"/>
      <c r="AD6675" s="9"/>
      <c r="AF6675" s="10"/>
      <c r="AG6675" s="10"/>
      <c r="AH6675" s="10"/>
      <c r="AI6675" s="10"/>
    </row>
    <row r="6676" spans="28:35" ht="15" hidden="1" customHeight="1">
      <c r="AB6676" s="9"/>
      <c r="AC6676" s="9"/>
      <c r="AD6676" s="9"/>
      <c r="AF6676" s="10"/>
      <c r="AG6676" s="10"/>
      <c r="AH6676" s="10"/>
      <c r="AI6676" s="10"/>
    </row>
    <row r="6677" spans="28:35" ht="15" hidden="1" customHeight="1">
      <c r="AB6677" s="9"/>
      <c r="AC6677" s="9"/>
      <c r="AD6677" s="9"/>
      <c r="AF6677" s="10"/>
      <c r="AG6677" s="10"/>
      <c r="AH6677" s="10"/>
      <c r="AI6677" s="10"/>
    </row>
    <row r="6678" spans="28:35" ht="15" hidden="1" customHeight="1">
      <c r="AB6678" s="9"/>
      <c r="AC6678" s="9"/>
      <c r="AD6678" s="9"/>
      <c r="AF6678" s="10"/>
      <c r="AG6678" s="10"/>
      <c r="AH6678" s="10"/>
      <c r="AI6678" s="10"/>
    </row>
    <row r="6679" spans="28:35" ht="15" hidden="1" customHeight="1">
      <c r="AB6679" s="9"/>
      <c r="AC6679" s="9"/>
      <c r="AD6679" s="9"/>
      <c r="AF6679" s="10"/>
      <c r="AG6679" s="10"/>
      <c r="AH6679" s="10"/>
      <c r="AI6679" s="10"/>
    </row>
    <row r="6680" spans="28:35" ht="15" hidden="1" customHeight="1">
      <c r="AB6680" s="9"/>
      <c r="AC6680" s="9"/>
      <c r="AD6680" s="9"/>
      <c r="AF6680" s="10"/>
      <c r="AG6680" s="10"/>
      <c r="AH6680" s="10"/>
      <c r="AI6680" s="10"/>
    </row>
    <row r="6681" spans="28:35" ht="15" hidden="1" customHeight="1">
      <c r="AB6681" s="9"/>
      <c r="AC6681" s="9"/>
      <c r="AD6681" s="9"/>
      <c r="AF6681" s="10"/>
      <c r="AG6681" s="10"/>
      <c r="AH6681" s="10"/>
      <c r="AI6681" s="10"/>
    </row>
    <row r="6682" spans="28:35" ht="15" hidden="1" customHeight="1">
      <c r="AB6682" s="9"/>
      <c r="AC6682" s="9"/>
      <c r="AD6682" s="9"/>
      <c r="AF6682" s="10"/>
      <c r="AG6682" s="10"/>
      <c r="AH6682" s="10"/>
      <c r="AI6682" s="10"/>
    </row>
    <row r="6683" spans="28:35" ht="15" hidden="1" customHeight="1">
      <c r="AB6683" s="9"/>
      <c r="AC6683" s="9"/>
      <c r="AD6683" s="9"/>
      <c r="AF6683" s="10"/>
      <c r="AG6683" s="10"/>
      <c r="AH6683" s="10"/>
      <c r="AI6683" s="10"/>
    </row>
    <row r="6684" spans="28:35" ht="15" hidden="1" customHeight="1">
      <c r="AB6684" s="9"/>
      <c r="AC6684" s="9"/>
      <c r="AD6684" s="9"/>
      <c r="AF6684" s="10"/>
      <c r="AG6684" s="10"/>
      <c r="AH6684" s="10"/>
      <c r="AI6684" s="10"/>
    </row>
    <row r="6685" spans="28:35" ht="15" hidden="1" customHeight="1">
      <c r="AB6685" s="9"/>
      <c r="AC6685" s="9"/>
      <c r="AD6685" s="9"/>
      <c r="AF6685" s="10"/>
      <c r="AG6685" s="10"/>
      <c r="AH6685" s="10"/>
      <c r="AI6685" s="10"/>
    </row>
    <row r="6686" spans="28:35" ht="15" hidden="1" customHeight="1">
      <c r="AB6686" s="9"/>
      <c r="AC6686" s="9"/>
      <c r="AD6686" s="9"/>
      <c r="AF6686" s="10"/>
      <c r="AG6686" s="10"/>
      <c r="AH6686" s="10"/>
      <c r="AI6686" s="10"/>
    </row>
    <row r="6687" spans="28:35" ht="15" hidden="1" customHeight="1">
      <c r="AB6687" s="9"/>
      <c r="AC6687" s="9"/>
      <c r="AD6687" s="9"/>
      <c r="AF6687" s="10"/>
      <c r="AG6687" s="10"/>
      <c r="AH6687" s="10"/>
      <c r="AI6687" s="10"/>
    </row>
    <row r="6688" spans="28:35" ht="15" hidden="1" customHeight="1">
      <c r="AB6688" s="9"/>
      <c r="AC6688" s="9"/>
      <c r="AD6688" s="9"/>
      <c r="AF6688" s="10"/>
      <c r="AG6688" s="10"/>
      <c r="AH6688" s="10"/>
      <c r="AI6688" s="10"/>
    </row>
    <row r="6689" spans="28:35" ht="15" hidden="1" customHeight="1">
      <c r="AB6689" s="9"/>
      <c r="AC6689" s="9"/>
      <c r="AD6689" s="9"/>
      <c r="AF6689" s="10"/>
      <c r="AG6689" s="10"/>
      <c r="AH6689" s="10"/>
      <c r="AI6689" s="10"/>
    </row>
    <row r="6690" spans="28:35" ht="15" hidden="1" customHeight="1">
      <c r="AB6690" s="9"/>
      <c r="AC6690" s="9"/>
      <c r="AD6690" s="9"/>
      <c r="AF6690" s="10"/>
      <c r="AG6690" s="10"/>
      <c r="AH6690" s="10"/>
      <c r="AI6690" s="10"/>
    </row>
    <row r="6691" spans="28:35" ht="15" hidden="1" customHeight="1">
      <c r="AB6691" s="9"/>
      <c r="AC6691" s="9"/>
      <c r="AD6691" s="9"/>
      <c r="AF6691" s="10"/>
      <c r="AG6691" s="10"/>
      <c r="AH6691" s="10"/>
      <c r="AI6691" s="10"/>
    </row>
    <row r="6692" spans="28:35" ht="15" hidden="1" customHeight="1">
      <c r="AB6692" s="9"/>
      <c r="AC6692" s="9"/>
      <c r="AD6692" s="9"/>
      <c r="AF6692" s="10"/>
      <c r="AG6692" s="10"/>
      <c r="AH6692" s="10"/>
      <c r="AI6692" s="10"/>
    </row>
    <row r="6693" spans="28:35" ht="15" hidden="1" customHeight="1">
      <c r="AB6693" s="9"/>
      <c r="AC6693" s="9"/>
      <c r="AD6693" s="9"/>
      <c r="AF6693" s="10"/>
      <c r="AG6693" s="10"/>
      <c r="AH6693" s="10"/>
      <c r="AI6693" s="10"/>
    </row>
    <row r="6694" spans="28:35" ht="15" hidden="1" customHeight="1">
      <c r="AB6694" s="9"/>
      <c r="AC6694" s="9"/>
      <c r="AD6694" s="9"/>
      <c r="AF6694" s="10"/>
      <c r="AG6694" s="10"/>
      <c r="AH6694" s="10"/>
      <c r="AI6694" s="10"/>
    </row>
    <row r="6695" spans="28:35" ht="15" hidden="1" customHeight="1">
      <c r="AB6695" s="9"/>
      <c r="AC6695" s="9"/>
      <c r="AD6695" s="9"/>
      <c r="AF6695" s="10"/>
      <c r="AG6695" s="10"/>
      <c r="AH6695" s="10"/>
      <c r="AI6695" s="10"/>
    </row>
    <row r="6696" spans="28:35" ht="15" hidden="1" customHeight="1">
      <c r="AB6696" s="9"/>
      <c r="AC6696" s="9"/>
      <c r="AD6696" s="9"/>
      <c r="AF6696" s="10"/>
      <c r="AG6696" s="10"/>
      <c r="AH6696" s="10"/>
      <c r="AI6696" s="10"/>
    </row>
    <row r="6697" spans="28:35" ht="15" hidden="1" customHeight="1">
      <c r="AB6697" s="9"/>
      <c r="AC6697" s="9"/>
      <c r="AD6697" s="9"/>
      <c r="AF6697" s="10"/>
      <c r="AG6697" s="10"/>
      <c r="AH6697" s="10"/>
      <c r="AI6697" s="10"/>
    </row>
    <row r="6698" spans="28:35" ht="15" hidden="1" customHeight="1">
      <c r="AB6698" s="9"/>
      <c r="AC6698" s="9"/>
      <c r="AD6698" s="9"/>
      <c r="AF6698" s="10"/>
      <c r="AG6698" s="10"/>
      <c r="AH6698" s="10"/>
      <c r="AI6698" s="10"/>
    </row>
    <row r="6699" spans="28:35" ht="15" hidden="1" customHeight="1">
      <c r="AB6699" s="9"/>
      <c r="AC6699" s="9"/>
      <c r="AD6699" s="9"/>
      <c r="AF6699" s="10"/>
      <c r="AG6699" s="10"/>
      <c r="AH6699" s="10"/>
      <c r="AI6699" s="10"/>
    </row>
    <row r="6700" spans="28:35" ht="15" hidden="1" customHeight="1">
      <c r="AB6700" s="9"/>
      <c r="AC6700" s="9"/>
      <c r="AD6700" s="9"/>
      <c r="AF6700" s="10"/>
      <c r="AG6700" s="10"/>
      <c r="AH6700" s="10"/>
      <c r="AI6700" s="10"/>
    </row>
    <row r="6701" spans="28:35" ht="15" hidden="1" customHeight="1">
      <c r="AB6701" s="9"/>
      <c r="AC6701" s="9"/>
      <c r="AD6701" s="9"/>
      <c r="AF6701" s="10"/>
      <c r="AG6701" s="10"/>
      <c r="AH6701" s="10"/>
      <c r="AI6701" s="10"/>
    </row>
    <row r="6702" spans="28:35" ht="15" hidden="1" customHeight="1">
      <c r="AB6702" s="9"/>
      <c r="AC6702" s="9"/>
      <c r="AD6702" s="9"/>
      <c r="AF6702" s="10"/>
      <c r="AG6702" s="10"/>
      <c r="AH6702" s="10"/>
      <c r="AI6702" s="10"/>
    </row>
    <row r="6703" spans="28:35" ht="15" hidden="1" customHeight="1">
      <c r="AB6703" s="9"/>
      <c r="AC6703" s="9"/>
      <c r="AD6703" s="9"/>
      <c r="AF6703" s="10"/>
      <c r="AG6703" s="10"/>
      <c r="AH6703" s="10"/>
      <c r="AI6703" s="10"/>
    </row>
    <row r="6704" spans="28:35" ht="15" hidden="1" customHeight="1">
      <c r="AB6704" s="9"/>
      <c r="AC6704" s="9"/>
      <c r="AD6704" s="9"/>
      <c r="AF6704" s="10"/>
      <c r="AG6704" s="10"/>
      <c r="AH6704" s="10"/>
      <c r="AI6704" s="10"/>
    </row>
    <row r="6705" spans="28:35" ht="15" hidden="1" customHeight="1">
      <c r="AB6705" s="9"/>
      <c r="AC6705" s="9"/>
      <c r="AD6705" s="9"/>
      <c r="AF6705" s="10"/>
      <c r="AG6705" s="10"/>
      <c r="AH6705" s="10"/>
      <c r="AI6705" s="10"/>
    </row>
    <row r="6706" spans="28:35" ht="15" hidden="1" customHeight="1">
      <c r="AB6706" s="9"/>
      <c r="AC6706" s="9"/>
      <c r="AD6706" s="9"/>
      <c r="AF6706" s="10"/>
      <c r="AG6706" s="10"/>
      <c r="AH6706" s="10"/>
      <c r="AI6706" s="10"/>
    </row>
    <row r="6707" spans="28:35" ht="15" hidden="1" customHeight="1">
      <c r="AB6707" s="9"/>
      <c r="AC6707" s="9"/>
      <c r="AD6707" s="9"/>
      <c r="AF6707" s="10"/>
      <c r="AG6707" s="10"/>
      <c r="AH6707" s="10"/>
      <c r="AI6707" s="10"/>
    </row>
    <row r="6708" spans="28:35" ht="15" hidden="1" customHeight="1">
      <c r="AB6708" s="9"/>
      <c r="AC6708" s="9"/>
      <c r="AD6708" s="9"/>
      <c r="AF6708" s="10"/>
      <c r="AG6708" s="10"/>
      <c r="AH6708" s="10"/>
      <c r="AI6708" s="10"/>
    </row>
    <row r="6709" spans="28:35" ht="15" hidden="1" customHeight="1">
      <c r="AB6709" s="9"/>
      <c r="AC6709" s="9"/>
      <c r="AD6709" s="9"/>
      <c r="AF6709" s="10"/>
      <c r="AG6709" s="10"/>
      <c r="AH6709" s="10"/>
      <c r="AI6709" s="10"/>
    </row>
    <row r="6710" spans="28:35" ht="15" hidden="1" customHeight="1">
      <c r="AB6710" s="9"/>
      <c r="AC6710" s="9"/>
      <c r="AD6710" s="9"/>
      <c r="AF6710" s="10"/>
      <c r="AG6710" s="10"/>
      <c r="AH6710" s="10"/>
      <c r="AI6710" s="10"/>
    </row>
    <row r="6711" spans="28:35" ht="15" hidden="1" customHeight="1">
      <c r="AB6711" s="9"/>
      <c r="AC6711" s="9"/>
      <c r="AD6711" s="9"/>
      <c r="AF6711" s="10"/>
      <c r="AG6711" s="10"/>
      <c r="AH6711" s="10"/>
      <c r="AI6711" s="10"/>
    </row>
    <row r="6712" spans="28:35" ht="15" hidden="1" customHeight="1">
      <c r="AB6712" s="9"/>
      <c r="AC6712" s="9"/>
      <c r="AD6712" s="9"/>
      <c r="AF6712" s="10"/>
      <c r="AG6712" s="10"/>
      <c r="AH6712" s="10"/>
      <c r="AI6712" s="10"/>
    </row>
    <row r="6713" spans="28:35" ht="15" hidden="1" customHeight="1">
      <c r="AB6713" s="9"/>
      <c r="AC6713" s="9"/>
      <c r="AD6713" s="9"/>
      <c r="AF6713" s="10"/>
      <c r="AG6713" s="10"/>
      <c r="AH6713" s="10"/>
      <c r="AI6713" s="10"/>
    </row>
    <row r="6714" spans="28:35" ht="15" hidden="1" customHeight="1">
      <c r="AB6714" s="9"/>
      <c r="AC6714" s="9"/>
      <c r="AD6714" s="9"/>
      <c r="AF6714" s="10"/>
      <c r="AG6714" s="10"/>
      <c r="AH6714" s="10"/>
      <c r="AI6714" s="10"/>
    </row>
    <row r="6715" spans="28:35" ht="15" hidden="1" customHeight="1">
      <c r="AB6715" s="9"/>
      <c r="AC6715" s="9"/>
      <c r="AD6715" s="9"/>
      <c r="AF6715" s="10"/>
      <c r="AG6715" s="10"/>
      <c r="AH6715" s="10"/>
      <c r="AI6715" s="10"/>
    </row>
    <row r="6716" spans="28:35" ht="15" hidden="1" customHeight="1">
      <c r="AB6716" s="9"/>
      <c r="AC6716" s="9"/>
      <c r="AD6716" s="9"/>
      <c r="AF6716" s="10"/>
      <c r="AG6716" s="10"/>
      <c r="AH6716" s="10"/>
      <c r="AI6716" s="10"/>
    </row>
    <row r="6717" spans="28:35" ht="15" hidden="1" customHeight="1">
      <c r="AB6717" s="9"/>
      <c r="AC6717" s="9"/>
      <c r="AD6717" s="9"/>
      <c r="AF6717" s="10"/>
      <c r="AG6717" s="10"/>
      <c r="AH6717" s="10"/>
      <c r="AI6717" s="10"/>
    </row>
    <row r="6718" spans="28:35" ht="15" hidden="1" customHeight="1">
      <c r="AB6718" s="9"/>
      <c r="AC6718" s="9"/>
      <c r="AD6718" s="9"/>
      <c r="AF6718" s="10"/>
      <c r="AG6718" s="10"/>
      <c r="AH6718" s="10"/>
      <c r="AI6718" s="10"/>
    </row>
    <row r="6719" spans="28:35" ht="15" hidden="1" customHeight="1">
      <c r="AB6719" s="9"/>
      <c r="AC6719" s="9"/>
      <c r="AD6719" s="9"/>
      <c r="AF6719" s="10"/>
      <c r="AG6719" s="10"/>
      <c r="AH6719" s="10"/>
      <c r="AI6719" s="10"/>
    </row>
    <row r="6720" spans="28:35" ht="15" hidden="1" customHeight="1">
      <c r="AB6720" s="9"/>
      <c r="AC6720" s="9"/>
      <c r="AD6720" s="9"/>
      <c r="AF6720" s="10"/>
      <c r="AG6720" s="10"/>
      <c r="AH6720" s="10"/>
      <c r="AI6720" s="10"/>
    </row>
    <row r="6721" spans="28:35" ht="15" hidden="1" customHeight="1">
      <c r="AB6721" s="9"/>
      <c r="AC6721" s="9"/>
      <c r="AD6721" s="9"/>
      <c r="AF6721" s="10"/>
      <c r="AG6721" s="10"/>
      <c r="AH6721" s="10"/>
      <c r="AI6721" s="10"/>
    </row>
    <row r="6722" spans="28:35" ht="15" hidden="1" customHeight="1">
      <c r="AB6722" s="9"/>
      <c r="AC6722" s="9"/>
      <c r="AD6722" s="9"/>
      <c r="AF6722" s="10"/>
      <c r="AG6722" s="10"/>
      <c r="AH6722" s="10"/>
      <c r="AI6722" s="10"/>
    </row>
    <row r="6723" spans="28:35" ht="15" hidden="1" customHeight="1">
      <c r="AB6723" s="9"/>
      <c r="AC6723" s="9"/>
      <c r="AD6723" s="9"/>
      <c r="AF6723" s="10"/>
      <c r="AG6723" s="10"/>
      <c r="AH6723" s="10"/>
      <c r="AI6723" s="10"/>
    </row>
    <row r="6724" spans="28:35" ht="15" hidden="1" customHeight="1">
      <c r="AB6724" s="9"/>
      <c r="AC6724" s="9"/>
      <c r="AD6724" s="9"/>
      <c r="AF6724" s="10"/>
      <c r="AG6724" s="10"/>
      <c r="AH6724" s="10"/>
      <c r="AI6724" s="10"/>
    </row>
    <row r="6725" spans="28:35" ht="15" hidden="1" customHeight="1">
      <c r="AB6725" s="9"/>
      <c r="AC6725" s="9"/>
      <c r="AD6725" s="9"/>
      <c r="AF6725" s="10"/>
      <c r="AG6725" s="10"/>
      <c r="AH6725" s="10"/>
      <c r="AI6725" s="10"/>
    </row>
    <row r="6726" spans="28:35" ht="15" hidden="1" customHeight="1">
      <c r="AB6726" s="9"/>
      <c r="AC6726" s="9"/>
      <c r="AD6726" s="9"/>
      <c r="AF6726" s="10"/>
      <c r="AG6726" s="10"/>
      <c r="AH6726" s="10"/>
      <c r="AI6726" s="10"/>
    </row>
    <row r="6727" spans="28:35" ht="15" hidden="1" customHeight="1">
      <c r="AB6727" s="9"/>
      <c r="AC6727" s="9"/>
      <c r="AD6727" s="9"/>
      <c r="AF6727" s="10"/>
      <c r="AG6727" s="10"/>
      <c r="AH6727" s="10"/>
      <c r="AI6727" s="10"/>
    </row>
    <row r="6728" spans="28:35" ht="15" hidden="1" customHeight="1">
      <c r="AB6728" s="9"/>
      <c r="AC6728" s="9"/>
      <c r="AD6728" s="9"/>
      <c r="AF6728" s="10"/>
      <c r="AG6728" s="10"/>
      <c r="AH6728" s="10"/>
      <c r="AI6728" s="10"/>
    </row>
    <row r="6729" spans="28:35" ht="15" hidden="1" customHeight="1">
      <c r="AB6729" s="9"/>
      <c r="AC6729" s="9"/>
      <c r="AD6729" s="9"/>
      <c r="AF6729" s="10"/>
      <c r="AG6729" s="10"/>
      <c r="AH6729" s="10"/>
      <c r="AI6729" s="10"/>
    </row>
    <row r="6730" spans="28:35" ht="15" hidden="1" customHeight="1">
      <c r="AB6730" s="9"/>
      <c r="AC6730" s="9"/>
      <c r="AD6730" s="9"/>
      <c r="AF6730" s="10"/>
      <c r="AG6730" s="10"/>
      <c r="AH6730" s="10"/>
      <c r="AI6730" s="10"/>
    </row>
    <row r="6731" spans="28:35" ht="15" hidden="1" customHeight="1">
      <c r="AB6731" s="9"/>
      <c r="AC6731" s="9"/>
      <c r="AD6731" s="9"/>
      <c r="AF6731" s="10"/>
      <c r="AG6731" s="10"/>
      <c r="AH6731" s="10"/>
      <c r="AI6731" s="10"/>
    </row>
    <row r="6732" spans="28:35" ht="15" hidden="1" customHeight="1">
      <c r="AB6732" s="9"/>
      <c r="AC6732" s="9"/>
      <c r="AD6732" s="9"/>
      <c r="AF6732" s="10"/>
      <c r="AG6732" s="10"/>
      <c r="AH6732" s="10"/>
      <c r="AI6732" s="10"/>
    </row>
    <row r="6733" spans="28:35" ht="15" hidden="1" customHeight="1">
      <c r="AB6733" s="9"/>
      <c r="AC6733" s="9"/>
      <c r="AD6733" s="9"/>
      <c r="AF6733" s="10"/>
      <c r="AG6733" s="10"/>
      <c r="AH6733" s="10"/>
      <c r="AI6733" s="10"/>
    </row>
    <row r="6734" spans="28:35" ht="15" hidden="1" customHeight="1">
      <c r="AB6734" s="9"/>
      <c r="AC6734" s="9"/>
      <c r="AD6734" s="9"/>
      <c r="AF6734" s="10"/>
      <c r="AG6734" s="10"/>
      <c r="AH6734" s="10"/>
      <c r="AI6734" s="10"/>
    </row>
    <row r="6735" spans="28:35" ht="15" hidden="1" customHeight="1">
      <c r="AB6735" s="9"/>
      <c r="AC6735" s="9"/>
      <c r="AD6735" s="9"/>
      <c r="AF6735" s="10"/>
      <c r="AG6735" s="10"/>
      <c r="AH6735" s="10"/>
      <c r="AI6735" s="10"/>
    </row>
    <row r="6736" spans="28:35" ht="15" hidden="1" customHeight="1">
      <c r="AB6736" s="9"/>
      <c r="AC6736" s="9"/>
      <c r="AD6736" s="9"/>
      <c r="AF6736" s="10"/>
      <c r="AG6736" s="10"/>
      <c r="AH6736" s="10"/>
      <c r="AI6736" s="10"/>
    </row>
    <row r="6737" spans="28:35" ht="15" hidden="1" customHeight="1">
      <c r="AB6737" s="9"/>
      <c r="AC6737" s="9"/>
      <c r="AD6737" s="9"/>
      <c r="AF6737" s="10"/>
      <c r="AG6737" s="10"/>
      <c r="AH6737" s="10"/>
      <c r="AI6737" s="10"/>
    </row>
    <row r="6738" spans="28:35" ht="15" hidden="1" customHeight="1">
      <c r="AB6738" s="9"/>
      <c r="AC6738" s="9"/>
      <c r="AD6738" s="9"/>
      <c r="AF6738" s="10"/>
      <c r="AG6738" s="10"/>
      <c r="AH6738" s="10"/>
      <c r="AI6738" s="10"/>
    </row>
    <row r="6739" spans="28:35" ht="15" hidden="1" customHeight="1">
      <c r="AB6739" s="9"/>
      <c r="AC6739" s="9"/>
      <c r="AD6739" s="9"/>
      <c r="AF6739" s="10"/>
      <c r="AG6739" s="10"/>
      <c r="AH6739" s="10"/>
      <c r="AI6739" s="10"/>
    </row>
    <row r="6740" spans="28:35" ht="15" hidden="1" customHeight="1">
      <c r="AB6740" s="9"/>
      <c r="AC6740" s="9"/>
      <c r="AD6740" s="9"/>
      <c r="AF6740" s="10"/>
      <c r="AG6740" s="10"/>
      <c r="AH6740" s="10"/>
      <c r="AI6740" s="10"/>
    </row>
    <row r="6741" spans="28:35" ht="15" hidden="1" customHeight="1">
      <c r="AB6741" s="9"/>
      <c r="AC6741" s="9"/>
      <c r="AD6741" s="9"/>
      <c r="AF6741" s="10"/>
      <c r="AG6741" s="10"/>
      <c r="AH6741" s="10"/>
      <c r="AI6741" s="10"/>
    </row>
    <row r="6742" spans="28:35" ht="15" hidden="1" customHeight="1">
      <c r="AB6742" s="9"/>
      <c r="AC6742" s="9"/>
      <c r="AD6742" s="9"/>
      <c r="AF6742" s="10"/>
      <c r="AG6742" s="10"/>
      <c r="AH6742" s="10"/>
      <c r="AI6742" s="10"/>
    </row>
    <row r="6743" spans="28:35" ht="15" hidden="1" customHeight="1">
      <c r="AB6743" s="9"/>
      <c r="AC6743" s="9"/>
      <c r="AD6743" s="9"/>
      <c r="AF6743" s="10"/>
      <c r="AG6743" s="10"/>
      <c r="AH6743" s="10"/>
      <c r="AI6743" s="10"/>
    </row>
    <row r="6744" spans="28:35" ht="15" hidden="1" customHeight="1">
      <c r="AB6744" s="9"/>
      <c r="AC6744" s="9"/>
      <c r="AD6744" s="9"/>
      <c r="AF6744" s="10"/>
      <c r="AG6744" s="10"/>
      <c r="AH6744" s="10"/>
      <c r="AI6744" s="10"/>
    </row>
    <row r="6745" spans="28:35" ht="15" hidden="1" customHeight="1">
      <c r="AB6745" s="9"/>
      <c r="AC6745" s="9"/>
      <c r="AD6745" s="9"/>
      <c r="AF6745" s="10"/>
      <c r="AG6745" s="10"/>
      <c r="AH6745" s="10"/>
      <c r="AI6745" s="10"/>
    </row>
    <row r="6746" spans="28:35" ht="15" hidden="1" customHeight="1">
      <c r="AB6746" s="9"/>
      <c r="AC6746" s="9"/>
      <c r="AD6746" s="9"/>
      <c r="AF6746" s="10"/>
      <c r="AG6746" s="10"/>
      <c r="AH6746" s="10"/>
      <c r="AI6746" s="10"/>
    </row>
    <row r="6747" spans="28:35" ht="15" hidden="1" customHeight="1">
      <c r="AB6747" s="9"/>
      <c r="AC6747" s="9"/>
      <c r="AD6747" s="9"/>
      <c r="AF6747" s="10"/>
      <c r="AG6747" s="10"/>
      <c r="AH6747" s="10"/>
      <c r="AI6747" s="10"/>
    </row>
    <row r="6748" spans="28:35" ht="15" hidden="1" customHeight="1">
      <c r="AB6748" s="9"/>
      <c r="AC6748" s="9"/>
      <c r="AD6748" s="9"/>
      <c r="AF6748" s="10"/>
      <c r="AG6748" s="10"/>
      <c r="AH6748" s="10"/>
      <c r="AI6748" s="10"/>
    </row>
    <row r="6749" spans="28:35" ht="15" hidden="1" customHeight="1">
      <c r="AB6749" s="9"/>
      <c r="AC6749" s="9"/>
      <c r="AD6749" s="9"/>
      <c r="AF6749" s="10"/>
      <c r="AG6749" s="10"/>
      <c r="AH6749" s="10"/>
      <c r="AI6749" s="10"/>
    </row>
    <row r="6750" spans="28:35" ht="15" hidden="1" customHeight="1">
      <c r="AB6750" s="9"/>
      <c r="AC6750" s="9"/>
      <c r="AD6750" s="9"/>
      <c r="AF6750" s="10"/>
      <c r="AG6750" s="10"/>
      <c r="AH6750" s="10"/>
      <c r="AI6750" s="10"/>
    </row>
    <row r="6751" spans="28:35" ht="15" hidden="1" customHeight="1">
      <c r="AB6751" s="9"/>
      <c r="AC6751" s="9"/>
      <c r="AD6751" s="9"/>
      <c r="AF6751" s="10"/>
      <c r="AG6751" s="10"/>
      <c r="AH6751" s="10"/>
      <c r="AI6751" s="10"/>
    </row>
    <row r="6752" spans="28:35" ht="15" hidden="1" customHeight="1">
      <c r="AB6752" s="9"/>
      <c r="AC6752" s="9"/>
      <c r="AD6752" s="9"/>
      <c r="AF6752" s="10"/>
      <c r="AG6752" s="10"/>
      <c r="AH6752" s="10"/>
      <c r="AI6752" s="10"/>
    </row>
    <row r="6753" spans="28:35" ht="15" hidden="1" customHeight="1">
      <c r="AB6753" s="9"/>
      <c r="AC6753" s="9"/>
      <c r="AD6753" s="9"/>
      <c r="AF6753" s="10"/>
      <c r="AG6753" s="10"/>
      <c r="AH6753" s="10"/>
      <c r="AI6753" s="10"/>
    </row>
    <row r="6754" spans="28:35" ht="15" hidden="1" customHeight="1">
      <c r="AB6754" s="9"/>
      <c r="AC6754" s="9"/>
      <c r="AD6754" s="9"/>
      <c r="AF6754" s="10"/>
      <c r="AG6754" s="10"/>
      <c r="AH6754" s="10"/>
      <c r="AI6754" s="10"/>
    </row>
    <row r="6755" spans="28:35" ht="15" hidden="1" customHeight="1">
      <c r="AB6755" s="9"/>
      <c r="AC6755" s="9"/>
      <c r="AD6755" s="9"/>
      <c r="AF6755" s="10"/>
      <c r="AG6755" s="10"/>
      <c r="AH6755" s="10"/>
      <c r="AI6755" s="10"/>
    </row>
    <row r="6756" spans="28:35" ht="15" hidden="1" customHeight="1">
      <c r="AB6756" s="9"/>
      <c r="AC6756" s="9"/>
      <c r="AD6756" s="9"/>
      <c r="AF6756" s="10"/>
      <c r="AG6756" s="10"/>
      <c r="AH6756" s="10"/>
      <c r="AI6756" s="10"/>
    </row>
    <row r="6757" spans="28:35" ht="15" hidden="1" customHeight="1">
      <c r="AB6757" s="9"/>
      <c r="AC6757" s="9"/>
      <c r="AD6757" s="9"/>
      <c r="AF6757" s="10"/>
      <c r="AG6757" s="10"/>
      <c r="AH6757" s="10"/>
      <c r="AI6757" s="10"/>
    </row>
    <row r="6758" spans="28:35" ht="15" hidden="1" customHeight="1">
      <c r="AB6758" s="9"/>
      <c r="AC6758" s="9"/>
      <c r="AD6758" s="9"/>
      <c r="AF6758" s="10"/>
      <c r="AG6758" s="10"/>
      <c r="AH6758" s="10"/>
      <c r="AI6758" s="10"/>
    </row>
    <row r="6759" spans="28:35" ht="15" hidden="1" customHeight="1">
      <c r="AB6759" s="9"/>
      <c r="AC6759" s="9"/>
      <c r="AD6759" s="9"/>
      <c r="AF6759" s="10"/>
      <c r="AG6759" s="10"/>
      <c r="AH6759" s="10"/>
      <c r="AI6759" s="10"/>
    </row>
    <row r="6760" spans="28:35" ht="15" hidden="1" customHeight="1">
      <c r="AB6760" s="9"/>
      <c r="AC6760" s="9"/>
      <c r="AD6760" s="9"/>
      <c r="AF6760" s="10"/>
      <c r="AG6760" s="10"/>
      <c r="AH6760" s="10"/>
      <c r="AI6760" s="10"/>
    </row>
    <row r="6761" spans="28:35" ht="15" hidden="1" customHeight="1">
      <c r="AB6761" s="9"/>
      <c r="AC6761" s="9"/>
      <c r="AD6761" s="9"/>
      <c r="AF6761" s="10"/>
      <c r="AG6761" s="10"/>
      <c r="AH6761" s="10"/>
      <c r="AI6761" s="10"/>
    </row>
    <row r="6762" spans="28:35" ht="15" hidden="1" customHeight="1">
      <c r="AB6762" s="9"/>
      <c r="AC6762" s="9"/>
      <c r="AD6762" s="9"/>
      <c r="AF6762" s="10"/>
      <c r="AG6762" s="10"/>
      <c r="AH6762" s="10"/>
      <c r="AI6762" s="10"/>
    </row>
    <row r="6763" spans="28:35" ht="15" hidden="1" customHeight="1">
      <c r="AB6763" s="9"/>
      <c r="AC6763" s="9"/>
      <c r="AD6763" s="9"/>
      <c r="AF6763" s="10"/>
      <c r="AG6763" s="10"/>
      <c r="AH6763" s="10"/>
      <c r="AI6763" s="10"/>
    </row>
    <row r="6764" spans="28:35" ht="15" hidden="1" customHeight="1">
      <c r="AB6764" s="9"/>
      <c r="AC6764" s="9"/>
      <c r="AD6764" s="9"/>
      <c r="AF6764" s="10"/>
      <c r="AG6764" s="10"/>
      <c r="AH6764" s="10"/>
      <c r="AI6764" s="10"/>
    </row>
    <row r="6765" spans="28:35" ht="15" hidden="1" customHeight="1">
      <c r="AB6765" s="9"/>
      <c r="AC6765" s="9"/>
      <c r="AD6765" s="9"/>
      <c r="AF6765" s="10"/>
      <c r="AG6765" s="10"/>
      <c r="AH6765" s="10"/>
      <c r="AI6765" s="10"/>
    </row>
    <row r="6766" spans="28:35" ht="15" hidden="1" customHeight="1">
      <c r="AB6766" s="9"/>
      <c r="AC6766" s="9"/>
      <c r="AD6766" s="9"/>
      <c r="AF6766" s="10"/>
      <c r="AG6766" s="10"/>
      <c r="AH6766" s="10"/>
      <c r="AI6766" s="10"/>
    </row>
    <row r="6767" spans="28:35" ht="15" hidden="1" customHeight="1">
      <c r="AB6767" s="9"/>
      <c r="AC6767" s="9"/>
      <c r="AD6767" s="9"/>
      <c r="AF6767" s="10"/>
      <c r="AG6767" s="10"/>
      <c r="AH6767" s="10"/>
      <c r="AI6767" s="10"/>
    </row>
    <row r="6768" spans="28:35" ht="15" hidden="1" customHeight="1">
      <c r="AB6768" s="9"/>
      <c r="AC6768" s="9"/>
      <c r="AD6768" s="9"/>
      <c r="AF6768" s="10"/>
      <c r="AG6768" s="10"/>
      <c r="AH6768" s="10"/>
      <c r="AI6768" s="10"/>
    </row>
    <row r="6769" spans="28:35" ht="15" hidden="1" customHeight="1">
      <c r="AB6769" s="9"/>
      <c r="AC6769" s="9"/>
      <c r="AD6769" s="9"/>
      <c r="AF6769" s="10"/>
      <c r="AG6769" s="10"/>
      <c r="AH6769" s="10"/>
      <c r="AI6769" s="10"/>
    </row>
    <row r="6770" spans="28:35" ht="15" hidden="1" customHeight="1">
      <c r="AB6770" s="9"/>
      <c r="AC6770" s="9"/>
      <c r="AD6770" s="9"/>
      <c r="AF6770" s="10"/>
      <c r="AG6770" s="10"/>
      <c r="AH6770" s="10"/>
      <c r="AI6770" s="10"/>
    </row>
    <row r="6771" spans="28:35" ht="15" hidden="1" customHeight="1">
      <c r="AB6771" s="9"/>
      <c r="AC6771" s="9"/>
      <c r="AD6771" s="9"/>
      <c r="AF6771" s="10"/>
      <c r="AG6771" s="10"/>
      <c r="AH6771" s="10"/>
      <c r="AI6771" s="10"/>
    </row>
    <row r="6772" spans="28:35" ht="15" hidden="1" customHeight="1">
      <c r="AB6772" s="9"/>
      <c r="AC6772" s="9"/>
      <c r="AD6772" s="9"/>
      <c r="AF6772" s="10"/>
      <c r="AG6772" s="10"/>
      <c r="AH6772" s="10"/>
      <c r="AI6772" s="10"/>
    </row>
    <row r="6773" spans="28:35" ht="15" hidden="1" customHeight="1">
      <c r="AB6773" s="9"/>
      <c r="AC6773" s="9"/>
      <c r="AD6773" s="9"/>
      <c r="AF6773" s="10"/>
      <c r="AG6773" s="10"/>
      <c r="AH6773" s="10"/>
      <c r="AI6773" s="10"/>
    </row>
    <row r="6774" spans="28:35" ht="15" hidden="1" customHeight="1">
      <c r="AB6774" s="9"/>
      <c r="AC6774" s="9"/>
      <c r="AD6774" s="9"/>
      <c r="AF6774" s="10"/>
      <c r="AG6774" s="10"/>
      <c r="AH6774" s="10"/>
      <c r="AI6774" s="10"/>
    </row>
    <row r="6775" spans="28:35" ht="15" hidden="1" customHeight="1">
      <c r="AB6775" s="9"/>
      <c r="AC6775" s="9"/>
      <c r="AD6775" s="9"/>
      <c r="AF6775" s="10"/>
      <c r="AG6775" s="10"/>
      <c r="AH6775" s="10"/>
      <c r="AI6775" s="10"/>
    </row>
    <row r="6776" spans="28:35" ht="15" hidden="1" customHeight="1">
      <c r="AB6776" s="9"/>
      <c r="AC6776" s="9"/>
      <c r="AD6776" s="9"/>
      <c r="AF6776" s="10"/>
      <c r="AG6776" s="10"/>
      <c r="AH6776" s="10"/>
      <c r="AI6776" s="10"/>
    </row>
    <row r="6777" spans="28:35" ht="15" hidden="1" customHeight="1">
      <c r="AB6777" s="9"/>
      <c r="AC6777" s="9"/>
      <c r="AD6777" s="9"/>
      <c r="AF6777" s="10"/>
      <c r="AG6777" s="10"/>
      <c r="AH6777" s="10"/>
      <c r="AI6777" s="10"/>
    </row>
    <row r="6778" spans="28:35" ht="15" hidden="1" customHeight="1">
      <c r="AB6778" s="9"/>
      <c r="AC6778" s="9"/>
      <c r="AD6778" s="9"/>
      <c r="AF6778" s="10"/>
      <c r="AG6778" s="10"/>
      <c r="AH6778" s="10"/>
      <c r="AI6778" s="10"/>
    </row>
    <row r="6779" spans="28:35" ht="15" hidden="1" customHeight="1">
      <c r="AB6779" s="9"/>
      <c r="AC6779" s="9"/>
      <c r="AD6779" s="9"/>
      <c r="AF6779" s="10"/>
      <c r="AG6779" s="10"/>
      <c r="AH6779" s="10"/>
      <c r="AI6779" s="10"/>
    </row>
    <row r="6780" spans="28:35" ht="15" hidden="1" customHeight="1">
      <c r="AB6780" s="9"/>
      <c r="AC6780" s="9"/>
      <c r="AD6780" s="9"/>
      <c r="AF6780" s="10"/>
      <c r="AG6780" s="10"/>
      <c r="AH6780" s="10"/>
      <c r="AI6780" s="10"/>
    </row>
    <row r="6781" spans="28:35" ht="15" hidden="1" customHeight="1">
      <c r="AB6781" s="9"/>
      <c r="AC6781" s="9"/>
      <c r="AD6781" s="9"/>
      <c r="AF6781" s="10"/>
      <c r="AG6781" s="10"/>
      <c r="AH6781" s="10"/>
      <c r="AI6781" s="10"/>
    </row>
    <row r="6782" spans="28:35" ht="15" hidden="1" customHeight="1">
      <c r="AB6782" s="9"/>
      <c r="AC6782" s="9"/>
      <c r="AD6782" s="9"/>
      <c r="AF6782" s="10"/>
      <c r="AG6782" s="10"/>
      <c r="AH6782" s="10"/>
      <c r="AI6782" s="10"/>
    </row>
    <row r="6783" spans="28:35" ht="15" hidden="1" customHeight="1">
      <c r="AB6783" s="9"/>
      <c r="AC6783" s="9"/>
      <c r="AD6783" s="9"/>
      <c r="AF6783" s="10"/>
      <c r="AG6783" s="10"/>
      <c r="AH6783" s="10"/>
      <c r="AI6783" s="10"/>
    </row>
    <row r="6784" spans="28:35" ht="15" hidden="1" customHeight="1">
      <c r="AB6784" s="9"/>
      <c r="AC6784" s="9"/>
      <c r="AD6784" s="9"/>
      <c r="AF6784" s="10"/>
      <c r="AG6784" s="10"/>
      <c r="AH6784" s="10"/>
      <c r="AI6784" s="10"/>
    </row>
    <row r="6785" spans="28:35" ht="15" hidden="1" customHeight="1">
      <c r="AB6785" s="9"/>
      <c r="AC6785" s="9"/>
      <c r="AD6785" s="9"/>
      <c r="AF6785" s="10"/>
      <c r="AG6785" s="10"/>
      <c r="AH6785" s="10"/>
      <c r="AI6785" s="10"/>
    </row>
    <row r="6786" spans="28:35" ht="15" hidden="1" customHeight="1">
      <c r="AB6786" s="9"/>
      <c r="AC6786" s="9"/>
      <c r="AD6786" s="9"/>
      <c r="AF6786" s="10"/>
      <c r="AG6786" s="10"/>
      <c r="AH6786" s="10"/>
      <c r="AI6786" s="10"/>
    </row>
    <row r="6787" spans="28:35" ht="15" hidden="1" customHeight="1">
      <c r="AB6787" s="9"/>
      <c r="AC6787" s="9"/>
      <c r="AD6787" s="9"/>
      <c r="AF6787" s="10"/>
      <c r="AG6787" s="10"/>
      <c r="AH6787" s="10"/>
      <c r="AI6787" s="10"/>
    </row>
    <row r="6788" spans="28:35" ht="15" hidden="1" customHeight="1">
      <c r="AB6788" s="9"/>
      <c r="AC6788" s="9"/>
      <c r="AD6788" s="9"/>
      <c r="AF6788" s="10"/>
      <c r="AG6788" s="10"/>
      <c r="AH6788" s="10"/>
      <c r="AI6788" s="10"/>
    </row>
    <row r="6789" spans="28:35" ht="15" hidden="1" customHeight="1">
      <c r="AB6789" s="9"/>
      <c r="AC6789" s="9"/>
      <c r="AD6789" s="9"/>
      <c r="AF6789" s="10"/>
      <c r="AG6789" s="10"/>
      <c r="AH6789" s="10"/>
      <c r="AI6789" s="10"/>
    </row>
    <row r="6790" spans="28:35" ht="15" hidden="1" customHeight="1">
      <c r="AB6790" s="9"/>
      <c r="AC6790" s="9"/>
      <c r="AD6790" s="9"/>
      <c r="AF6790" s="10"/>
      <c r="AG6790" s="10"/>
      <c r="AH6790" s="10"/>
      <c r="AI6790" s="10"/>
    </row>
    <row r="6791" spans="28:35" ht="15" hidden="1" customHeight="1">
      <c r="AB6791" s="9"/>
      <c r="AC6791" s="9"/>
      <c r="AD6791" s="9"/>
      <c r="AF6791" s="10"/>
      <c r="AG6791" s="10"/>
      <c r="AH6791" s="10"/>
      <c r="AI6791" s="10"/>
    </row>
    <row r="6792" spans="28:35" ht="15" hidden="1" customHeight="1">
      <c r="AB6792" s="9"/>
      <c r="AC6792" s="9"/>
      <c r="AD6792" s="9"/>
      <c r="AF6792" s="10"/>
      <c r="AG6792" s="10"/>
      <c r="AH6792" s="10"/>
      <c r="AI6792" s="10"/>
    </row>
    <row r="6793" spans="28:35" ht="15" hidden="1" customHeight="1">
      <c r="AB6793" s="9"/>
      <c r="AC6793" s="9"/>
      <c r="AD6793" s="9"/>
      <c r="AF6793" s="10"/>
      <c r="AG6793" s="10"/>
      <c r="AH6793" s="10"/>
      <c r="AI6793" s="10"/>
    </row>
    <row r="6794" spans="28:35" ht="15" hidden="1" customHeight="1">
      <c r="AB6794" s="9"/>
      <c r="AC6794" s="9"/>
      <c r="AD6794" s="9"/>
      <c r="AF6794" s="10"/>
      <c r="AG6794" s="10"/>
      <c r="AH6794" s="10"/>
      <c r="AI6794" s="10"/>
    </row>
    <row r="6795" spans="28:35" ht="15" hidden="1" customHeight="1">
      <c r="AB6795" s="9"/>
      <c r="AC6795" s="9"/>
      <c r="AD6795" s="9"/>
      <c r="AF6795" s="10"/>
      <c r="AG6795" s="10"/>
      <c r="AH6795" s="10"/>
      <c r="AI6795" s="10"/>
    </row>
    <row r="6796" spans="28:35" ht="15" hidden="1" customHeight="1">
      <c r="AB6796" s="9"/>
      <c r="AC6796" s="9"/>
      <c r="AD6796" s="9"/>
      <c r="AF6796" s="10"/>
      <c r="AG6796" s="10"/>
      <c r="AH6796" s="10"/>
      <c r="AI6796" s="10"/>
    </row>
    <row r="6797" spans="28:35" ht="15" hidden="1" customHeight="1">
      <c r="AB6797" s="9"/>
      <c r="AC6797" s="9"/>
      <c r="AD6797" s="9"/>
      <c r="AF6797" s="10"/>
      <c r="AG6797" s="10"/>
      <c r="AH6797" s="10"/>
      <c r="AI6797" s="10"/>
    </row>
    <row r="6798" spans="28:35" ht="15" hidden="1" customHeight="1">
      <c r="AB6798" s="9"/>
      <c r="AC6798" s="9"/>
      <c r="AD6798" s="9"/>
      <c r="AF6798" s="10"/>
      <c r="AG6798" s="10"/>
      <c r="AH6798" s="10"/>
      <c r="AI6798" s="10"/>
    </row>
    <row r="6799" spans="28:35" ht="15" hidden="1" customHeight="1">
      <c r="AB6799" s="9"/>
      <c r="AC6799" s="9"/>
      <c r="AD6799" s="9"/>
      <c r="AF6799" s="10"/>
      <c r="AG6799" s="10"/>
      <c r="AH6799" s="10"/>
      <c r="AI6799" s="10"/>
    </row>
    <row r="6800" spans="28:35" ht="15" hidden="1" customHeight="1">
      <c r="AB6800" s="9"/>
      <c r="AC6800" s="9"/>
      <c r="AD6800" s="9"/>
      <c r="AF6800" s="10"/>
      <c r="AG6800" s="10"/>
      <c r="AH6800" s="10"/>
      <c r="AI6800" s="10"/>
    </row>
    <row r="6801" spans="28:35" ht="15" hidden="1" customHeight="1">
      <c r="AB6801" s="9"/>
      <c r="AC6801" s="9"/>
      <c r="AD6801" s="9"/>
      <c r="AF6801" s="10"/>
      <c r="AG6801" s="10"/>
      <c r="AH6801" s="10"/>
      <c r="AI6801" s="10"/>
    </row>
    <row r="6802" spans="28:35" ht="15" hidden="1" customHeight="1">
      <c r="AB6802" s="9"/>
      <c r="AC6802" s="9"/>
      <c r="AD6802" s="9"/>
      <c r="AF6802" s="10"/>
      <c r="AG6802" s="10"/>
      <c r="AH6802" s="10"/>
      <c r="AI6802" s="10"/>
    </row>
    <row r="6803" spans="28:35" ht="15" hidden="1" customHeight="1">
      <c r="AB6803" s="9"/>
      <c r="AC6803" s="9"/>
      <c r="AD6803" s="9"/>
      <c r="AF6803" s="10"/>
      <c r="AG6803" s="10"/>
      <c r="AH6803" s="10"/>
      <c r="AI6803" s="10"/>
    </row>
    <row r="6804" spans="28:35" ht="15" hidden="1" customHeight="1">
      <c r="AB6804" s="9"/>
      <c r="AC6804" s="9"/>
      <c r="AD6804" s="9"/>
      <c r="AF6804" s="10"/>
      <c r="AG6804" s="10"/>
      <c r="AH6804" s="10"/>
      <c r="AI6804" s="10"/>
    </row>
    <row r="6805" spans="28:35" ht="15" hidden="1" customHeight="1">
      <c r="AB6805" s="9"/>
      <c r="AC6805" s="9"/>
      <c r="AD6805" s="9"/>
      <c r="AF6805" s="10"/>
      <c r="AG6805" s="10"/>
      <c r="AH6805" s="10"/>
      <c r="AI6805" s="10"/>
    </row>
    <row r="6806" spans="28:35" ht="15" hidden="1" customHeight="1">
      <c r="AB6806" s="9"/>
      <c r="AC6806" s="9"/>
      <c r="AD6806" s="9"/>
      <c r="AF6806" s="10"/>
      <c r="AG6806" s="10"/>
      <c r="AH6806" s="10"/>
      <c r="AI6806" s="10"/>
    </row>
    <row r="6807" spans="28:35" ht="15" hidden="1" customHeight="1">
      <c r="AB6807" s="9"/>
      <c r="AC6807" s="9"/>
      <c r="AD6807" s="9"/>
      <c r="AF6807" s="10"/>
      <c r="AG6807" s="10"/>
      <c r="AH6807" s="10"/>
      <c r="AI6807" s="10"/>
    </row>
    <row r="6808" spans="28:35" ht="15" hidden="1" customHeight="1">
      <c r="AB6808" s="9"/>
      <c r="AC6808" s="9"/>
      <c r="AD6808" s="9"/>
      <c r="AF6808" s="10"/>
      <c r="AG6808" s="10"/>
      <c r="AH6808" s="10"/>
      <c r="AI6808" s="10"/>
    </row>
    <row r="6809" spans="28:35" ht="15" hidden="1" customHeight="1">
      <c r="AB6809" s="9"/>
      <c r="AC6809" s="9"/>
      <c r="AD6809" s="9"/>
      <c r="AF6809" s="10"/>
      <c r="AG6809" s="10"/>
      <c r="AH6809" s="10"/>
      <c r="AI6809" s="10"/>
    </row>
    <row r="6810" spans="28:35" ht="15" hidden="1" customHeight="1">
      <c r="AB6810" s="9"/>
      <c r="AC6810" s="9"/>
      <c r="AD6810" s="9"/>
      <c r="AF6810" s="10"/>
      <c r="AG6810" s="10"/>
      <c r="AH6810" s="10"/>
      <c r="AI6810" s="10"/>
    </row>
    <row r="6811" spans="28:35" ht="15" hidden="1" customHeight="1">
      <c r="AB6811" s="9"/>
      <c r="AC6811" s="9"/>
      <c r="AD6811" s="9"/>
      <c r="AF6811" s="10"/>
      <c r="AG6811" s="10"/>
      <c r="AH6811" s="10"/>
      <c r="AI6811" s="10"/>
    </row>
    <row r="6812" spans="28:35" ht="15" hidden="1" customHeight="1">
      <c r="AB6812" s="9"/>
      <c r="AC6812" s="9"/>
      <c r="AD6812" s="9"/>
      <c r="AF6812" s="10"/>
      <c r="AG6812" s="10"/>
      <c r="AH6812" s="10"/>
      <c r="AI6812" s="10"/>
    </row>
    <row r="6813" spans="28:35" ht="15" hidden="1" customHeight="1">
      <c r="AB6813" s="9"/>
      <c r="AC6813" s="9"/>
      <c r="AD6813" s="9"/>
      <c r="AF6813" s="10"/>
      <c r="AG6813" s="10"/>
      <c r="AH6813" s="10"/>
      <c r="AI6813" s="10"/>
    </row>
    <row r="6814" spans="28:35" ht="15" hidden="1" customHeight="1">
      <c r="AB6814" s="9"/>
      <c r="AC6814" s="9"/>
      <c r="AD6814" s="9"/>
      <c r="AF6814" s="10"/>
      <c r="AG6814" s="10"/>
      <c r="AH6814" s="10"/>
      <c r="AI6814" s="10"/>
    </row>
    <row r="6815" spans="28:35" ht="15" hidden="1" customHeight="1">
      <c r="AB6815" s="9"/>
      <c r="AC6815" s="9"/>
      <c r="AD6815" s="9"/>
      <c r="AF6815" s="10"/>
      <c r="AG6815" s="10"/>
      <c r="AH6815" s="10"/>
      <c r="AI6815" s="10"/>
    </row>
    <row r="6816" spans="28:35" ht="15" hidden="1" customHeight="1">
      <c r="AB6816" s="9"/>
      <c r="AC6816" s="9"/>
      <c r="AD6816" s="9"/>
      <c r="AF6816" s="10"/>
      <c r="AG6816" s="10"/>
      <c r="AH6816" s="10"/>
      <c r="AI6816" s="10"/>
    </row>
    <row r="6817" spans="28:35" ht="15" hidden="1" customHeight="1">
      <c r="AB6817" s="9"/>
      <c r="AC6817" s="9"/>
      <c r="AD6817" s="9"/>
      <c r="AF6817" s="10"/>
      <c r="AG6817" s="10"/>
      <c r="AH6817" s="10"/>
      <c r="AI6817" s="10"/>
    </row>
    <row r="6818" spans="28:35" ht="15" hidden="1" customHeight="1">
      <c r="AB6818" s="9"/>
      <c r="AC6818" s="9"/>
      <c r="AD6818" s="9"/>
      <c r="AF6818" s="10"/>
      <c r="AG6818" s="10"/>
      <c r="AH6818" s="10"/>
      <c r="AI6818" s="10"/>
    </row>
    <row r="6819" spans="28:35" ht="15" hidden="1" customHeight="1">
      <c r="AB6819" s="9"/>
      <c r="AC6819" s="9"/>
      <c r="AD6819" s="9"/>
      <c r="AF6819" s="10"/>
      <c r="AG6819" s="10"/>
      <c r="AH6819" s="10"/>
      <c r="AI6819" s="10"/>
    </row>
    <row r="6820" spans="28:35" ht="15" hidden="1" customHeight="1">
      <c r="AB6820" s="9"/>
      <c r="AC6820" s="9"/>
      <c r="AD6820" s="9"/>
      <c r="AF6820" s="10"/>
      <c r="AG6820" s="10"/>
      <c r="AH6820" s="10"/>
      <c r="AI6820" s="10"/>
    </row>
    <row r="6821" spans="28:35" ht="15" hidden="1" customHeight="1">
      <c r="AB6821" s="9"/>
      <c r="AC6821" s="9"/>
      <c r="AD6821" s="9"/>
      <c r="AF6821" s="10"/>
      <c r="AG6821" s="10"/>
      <c r="AH6821" s="10"/>
      <c r="AI6821" s="10"/>
    </row>
    <row r="6822" spans="28:35" ht="15" hidden="1" customHeight="1">
      <c r="AB6822" s="9"/>
      <c r="AC6822" s="9"/>
      <c r="AD6822" s="9"/>
      <c r="AF6822" s="10"/>
      <c r="AG6822" s="10"/>
      <c r="AH6822" s="10"/>
      <c r="AI6822" s="10"/>
    </row>
    <row r="6823" spans="28:35" ht="15" hidden="1" customHeight="1">
      <c r="AB6823" s="9"/>
      <c r="AC6823" s="9"/>
      <c r="AD6823" s="9"/>
      <c r="AF6823" s="10"/>
      <c r="AG6823" s="10"/>
      <c r="AH6823" s="10"/>
      <c r="AI6823" s="10"/>
    </row>
    <row r="6824" spans="28:35" ht="15" hidden="1" customHeight="1">
      <c r="AB6824" s="9"/>
      <c r="AC6824" s="9"/>
      <c r="AD6824" s="9"/>
      <c r="AF6824" s="10"/>
      <c r="AG6824" s="10"/>
      <c r="AH6824" s="10"/>
      <c r="AI6824" s="10"/>
    </row>
    <row r="6825" spans="28:35" ht="15" hidden="1" customHeight="1">
      <c r="AB6825" s="9"/>
      <c r="AC6825" s="9"/>
      <c r="AD6825" s="9"/>
      <c r="AF6825" s="10"/>
      <c r="AG6825" s="10"/>
      <c r="AH6825" s="10"/>
      <c r="AI6825" s="10"/>
    </row>
    <row r="6826" spans="28:35" ht="15" hidden="1" customHeight="1">
      <c r="AB6826" s="9"/>
      <c r="AC6826" s="9"/>
      <c r="AD6826" s="9"/>
      <c r="AF6826" s="10"/>
      <c r="AG6826" s="10"/>
      <c r="AH6826" s="10"/>
      <c r="AI6826" s="10"/>
    </row>
    <row r="6827" spans="28:35" ht="15" hidden="1" customHeight="1">
      <c r="AB6827" s="9"/>
      <c r="AC6827" s="9"/>
      <c r="AD6827" s="9"/>
      <c r="AF6827" s="10"/>
      <c r="AG6827" s="10"/>
      <c r="AH6827" s="10"/>
      <c r="AI6827" s="10"/>
    </row>
    <row r="6828" spans="28:35" ht="15" hidden="1" customHeight="1">
      <c r="AB6828" s="9"/>
      <c r="AC6828" s="9"/>
      <c r="AD6828" s="9"/>
      <c r="AF6828" s="10"/>
      <c r="AG6828" s="10"/>
      <c r="AH6828" s="10"/>
      <c r="AI6828" s="10"/>
    </row>
    <row r="6829" spans="28:35" ht="15" hidden="1" customHeight="1">
      <c r="AB6829" s="9"/>
      <c r="AC6829" s="9"/>
      <c r="AD6829" s="9"/>
      <c r="AF6829" s="10"/>
      <c r="AG6829" s="10"/>
      <c r="AH6829" s="10"/>
      <c r="AI6829" s="10"/>
    </row>
    <row r="6830" spans="28:35" ht="15" hidden="1" customHeight="1">
      <c r="AB6830" s="9"/>
      <c r="AC6830" s="9"/>
      <c r="AD6830" s="9"/>
      <c r="AF6830" s="10"/>
      <c r="AG6830" s="10"/>
      <c r="AH6830" s="10"/>
      <c r="AI6830" s="10"/>
    </row>
    <row r="6831" spans="28:35" ht="15" hidden="1" customHeight="1">
      <c r="AB6831" s="9"/>
      <c r="AC6831" s="9"/>
      <c r="AD6831" s="9"/>
      <c r="AF6831" s="10"/>
      <c r="AG6831" s="10"/>
      <c r="AH6831" s="10"/>
      <c r="AI6831" s="10"/>
    </row>
    <row r="6832" spans="28:35" ht="15" hidden="1" customHeight="1">
      <c r="AB6832" s="9"/>
      <c r="AC6832" s="9"/>
      <c r="AD6832" s="9"/>
      <c r="AF6832" s="10"/>
      <c r="AG6832" s="10"/>
      <c r="AH6832" s="10"/>
      <c r="AI6832" s="10"/>
    </row>
    <row r="6833" spans="28:35" ht="15" hidden="1" customHeight="1">
      <c r="AB6833" s="9"/>
      <c r="AC6833" s="9"/>
      <c r="AD6833" s="9"/>
      <c r="AF6833" s="10"/>
      <c r="AG6833" s="10"/>
      <c r="AH6833" s="10"/>
      <c r="AI6833" s="10"/>
    </row>
    <row r="6834" spans="28:35" ht="15" hidden="1" customHeight="1">
      <c r="AB6834" s="9"/>
      <c r="AC6834" s="9"/>
      <c r="AD6834" s="9"/>
      <c r="AF6834" s="10"/>
      <c r="AG6834" s="10"/>
      <c r="AH6834" s="10"/>
      <c r="AI6834" s="10"/>
    </row>
    <row r="6835" spans="28:35" ht="15" hidden="1" customHeight="1">
      <c r="AB6835" s="9"/>
      <c r="AC6835" s="9"/>
      <c r="AD6835" s="9"/>
      <c r="AF6835" s="10"/>
      <c r="AG6835" s="10"/>
      <c r="AH6835" s="10"/>
      <c r="AI6835" s="10"/>
    </row>
    <row r="6836" spans="28:35" ht="15" hidden="1" customHeight="1">
      <c r="AB6836" s="9"/>
      <c r="AC6836" s="9"/>
      <c r="AD6836" s="9"/>
      <c r="AF6836" s="10"/>
      <c r="AG6836" s="10"/>
      <c r="AH6836" s="10"/>
      <c r="AI6836" s="10"/>
    </row>
    <row r="6837" spans="28:35" ht="15" hidden="1" customHeight="1">
      <c r="AB6837" s="9"/>
      <c r="AC6837" s="9"/>
      <c r="AD6837" s="9"/>
      <c r="AF6837" s="10"/>
      <c r="AG6837" s="10"/>
      <c r="AH6837" s="10"/>
      <c r="AI6837" s="10"/>
    </row>
    <row r="6838" spans="28:35" ht="15" hidden="1" customHeight="1">
      <c r="AB6838" s="9"/>
      <c r="AC6838" s="9"/>
      <c r="AD6838" s="9"/>
      <c r="AF6838" s="10"/>
      <c r="AG6838" s="10"/>
      <c r="AH6838" s="10"/>
      <c r="AI6838" s="10"/>
    </row>
    <row r="6839" spans="28:35" ht="15" hidden="1" customHeight="1">
      <c r="AB6839" s="9"/>
      <c r="AC6839" s="9"/>
      <c r="AD6839" s="9"/>
      <c r="AF6839" s="10"/>
      <c r="AG6839" s="10"/>
      <c r="AH6839" s="10"/>
      <c r="AI6839" s="10"/>
    </row>
    <row r="6840" spans="28:35" ht="15" hidden="1" customHeight="1">
      <c r="AB6840" s="9"/>
      <c r="AC6840" s="9"/>
      <c r="AD6840" s="9"/>
      <c r="AF6840" s="10"/>
      <c r="AG6840" s="10"/>
      <c r="AH6840" s="10"/>
      <c r="AI6840" s="10"/>
    </row>
    <row r="6841" spans="28:35" ht="15" hidden="1" customHeight="1">
      <c r="AB6841" s="9"/>
      <c r="AC6841" s="9"/>
      <c r="AD6841" s="9"/>
      <c r="AF6841" s="10"/>
      <c r="AG6841" s="10"/>
      <c r="AH6841" s="10"/>
      <c r="AI6841" s="10"/>
    </row>
    <row r="6842" spans="28:35" ht="15" hidden="1" customHeight="1">
      <c r="AB6842" s="9"/>
      <c r="AC6842" s="9"/>
      <c r="AD6842" s="9"/>
      <c r="AF6842" s="10"/>
      <c r="AG6842" s="10"/>
      <c r="AH6842" s="10"/>
      <c r="AI6842" s="10"/>
    </row>
    <row r="6843" spans="28:35" ht="15" hidden="1" customHeight="1">
      <c r="AB6843" s="9"/>
      <c r="AC6843" s="9"/>
      <c r="AD6843" s="9"/>
      <c r="AF6843" s="10"/>
      <c r="AG6843" s="10"/>
      <c r="AH6843" s="10"/>
      <c r="AI6843" s="10"/>
    </row>
    <row r="6844" spans="28:35" ht="15" hidden="1" customHeight="1">
      <c r="AB6844" s="9"/>
      <c r="AC6844" s="9"/>
      <c r="AD6844" s="9"/>
      <c r="AF6844" s="10"/>
      <c r="AG6844" s="10"/>
      <c r="AH6844" s="10"/>
      <c r="AI6844" s="10"/>
    </row>
    <row r="6845" spans="28:35" ht="15" hidden="1" customHeight="1">
      <c r="AB6845" s="9"/>
      <c r="AC6845" s="9"/>
      <c r="AD6845" s="9"/>
      <c r="AF6845" s="10"/>
      <c r="AG6845" s="10"/>
      <c r="AH6845" s="10"/>
      <c r="AI6845" s="10"/>
    </row>
    <row r="6846" spans="28:35" ht="15" hidden="1" customHeight="1">
      <c r="AB6846" s="9"/>
      <c r="AC6846" s="9"/>
      <c r="AD6846" s="9"/>
      <c r="AF6846" s="10"/>
      <c r="AG6846" s="10"/>
      <c r="AH6846" s="10"/>
      <c r="AI6846" s="10"/>
    </row>
    <row r="6847" spans="28:35" ht="15" hidden="1" customHeight="1">
      <c r="AB6847" s="9"/>
      <c r="AC6847" s="9"/>
      <c r="AD6847" s="9"/>
      <c r="AF6847" s="10"/>
      <c r="AG6847" s="10"/>
      <c r="AH6847" s="10"/>
      <c r="AI6847" s="10"/>
    </row>
    <row r="6848" spans="28:35" ht="15" hidden="1" customHeight="1">
      <c r="AB6848" s="9"/>
      <c r="AC6848" s="9"/>
      <c r="AD6848" s="9"/>
      <c r="AF6848" s="10"/>
      <c r="AG6848" s="10"/>
      <c r="AH6848" s="10"/>
      <c r="AI6848" s="10"/>
    </row>
    <row r="6849" spans="28:35" ht="15" hidden="1" customHeight="1">
      <c r="AB6849" s="9"/>
      <c r="AC6849" s="9"/>
      <c r="AD6849" s="9"/>
      <c r="AF6849" s="10"/>
      <c r="AG6849" s="10"/>
      <c r="AH6849" s="10"/>
      <c r="AI6849" s="10"/>
    </row>
    <row r="6850" spans="28:35" ht="15" hidden="1" customHeight="1">
      <c r="AB6850" s="9"/>
      <c r="AC6850" s="9"/>
      <c r="AD6850" s="9"/>
      <c r="AF6850" s="10"/>
      <c r="AG6850" s="10"/>
      <c r="AH6850" s="10"/>
      <c r="AI6850" s="10"/>
    </row>
    <row r="6851" spans="28:35" ht="15" hidden="1" customHeight="1">
      <c r="AB6851" s="9"/>
      <c r="AC6851" s="9"/>
      <c r="AD6851" s="9"/>
      <c r="AF6851" s="10"/>
      <c r="AG6851" s="10"/>
      <c r="AH6851" s="10"/>
      <c r="AI6851" s="10"/>
    </row>
    <row r="6852" spans="28:35" ht="15" hidden="1" customHeight="1">
      <c r="AB6852" s="9"/>
      <c r="AC6852" s="9"/>
      <c r="AD6852" s="9"/>
      <c r="AF6852" s="10"/>
      <c r="AG6852" s="10"/>
      <c r="AH6852" s="10"/>
      <c r="AI6852" s="10"/>
    </row>
    <row r="6853" spans="28:35" ht="15" hidden="1" customHeight="1">
      <c r="AB6853" s="9"/>
      <c r="AC6853" s="9"/>
      <c r="AD6853" s="9"/>
      <c r="AF6853" s="10"/>
      <c r="AG6853" s="10"/>
      <c r="AH6853" s="10"/>
      <c r="AI6853" s="10"/>
    </row>
    <row r="6854" spans="28:35" ht="15" hidden="1" customHeight="1">
      <c r="AB6854" s="9"/>
      <c r="AC6854" s="9"/>
      <c r="AD6854" s="9"/>
      <c r="AF6854" s="10"/>
      <c r="AG6854" s="10"/>
      <c r="AH6854" s="10"/>
      <c r="AI6854" s="10"/>
    </row>
    <row r="6855" spans="28:35" ht="15" hidden="1" customHeight="1">
      <c r="AB6855" s="9"/>
      <c r="AC6855" s="9"/>
      <c r="AD6855" s="9"/>
      <c r="AF6855" s="10"/>
      <c r="AG6855" s="10"/>
      <c r="AH6855" s="10"/>
      <c r="AI6855" s="10"/>
    </row>
    <row r="6856" spans="28:35" ht="15" hidden="1" customHeight="1">
      <c r="AB6856" s="9"/>
      <c r="AC6856" s="9"/>
      <c r="AD6856" s="9"/>
      <c r="AF6856" s="10"/>
      <c r="AG6856" s="10"/>
      <c r="AH6856" s="10"/>
      <c r="AI6856" s="10"/>
    </row>
    <row r="6857" spans="28:35" ht="15" hidden="1" customHeight="1">
      <c r="AB6857" s="9"/>
      <c r="AC6857" s="9"/>
      <c r="AD6857" s="9"/>
      <c r="AF6857" s="10"/>
      <c r="AG6857" s="10"/>
      <c r="AH6857" s="10"/>
      <c r="AI6857" s="10"/>
    </row>
    <row r="6858" spans="28:35" ht="15" hidden="1" customHeight="1">
      <c r="AB6858" s="9"/>
      <c r="AC6858" s="9"/>
      <c r="AD6858" s="9"/>
      <c r="AF6858" s="10"/>
      <c r="AG6858" s="10"/>
      <c r="AH6858" s="10"/>
      <c r="AI6858" s="10"/>
    </row>
    <row r="6859" spans="28:35" ht="15" hidden="1" customHeight="1">
      <c r="AB6859" s="9"/>
      <c r="AC6859" s="9"/>
      <c r="AD6859" s="9"/>
      <c r="AF6859" s="10"/>
      <c r="AG6859" s="10"/>
      <c r="AH6859" s="10"/>
      <c r="AI6859" s="10"/>
    </row>
    <row r="6860" spans="28:35" ht="15" hidden="1" customHeight="1">
      <c r="AB6860" s="9"/>
      <c r="AC6860" s="9"/>
      <c r="AD6860" s="9"/>
      <c r="AF6860" s="10"/>
      <c r="AG6860" s="10"/>
      <c r="AH6860" s="10"/>
      <c r="AI6860" s="10"/>
    </row>
    <row r="6861" spans="28:35" ht="15" hidden="1" customHeight="1">
      <c r="AB6861" s="9"/>
      <c r="AC6861" s="9"/>
      <c r="AD6861" s="9"/>
      <c r="AF6861" s="10"/>
      <c r="AG6861" s="10"/>
      <c r="AH6861" s="10"/>
      <c r="AI6861" s="10"/>
    </row>
    <row r="6862" spans="28:35" ht="15" hidden="1" customHeight="1">
      <c r="AB6862" s="9"/>
      <c r="AC6862" s="9"/>
      <c r="AD6862" s="9"/>
      <c r="AF6862" s="10"/>
      <c r="AG6862" s="10"/>
      <c r="AH6862" s="10"/>
      <c r="AI6862" s="10"/>
    </row>
    <row r="6863" spans="28:35" ht="15" hidden="1" customHeight="1">
      <c r="AB6863" s="9"/>
      <c r="AC6863" s="9"/>
      <c r="AD6863" s="9"/>
      <c r="AF6863" s="10"/>
      <c r="AG6863" s="10"/>
      <c r="AH6863" s="10"/>
      <c r="AI6863" s="10"/>
    </row>
    <row r="6864" spans="28:35" ht="15" hidden="1" customHeight="1">
      <c r="AB6864" s="9"/>
      <c r="AC6864" s="9"/>
      <c r="AD6864" s="9"/>
      <c r="AF6864" s="10"/>
      <c r="AG6864" s="10"/>
      <c r="AH6864" s="10"/>
      <c r="AI6864" s="10"/>
    </row>
    <row r="6865" spans="28:35" ht="15" hidden="1" customHeight="1">
      <c r="AB6865" s="9"/>
      <c r="AC6865" s="9"/>
      <c r="AD6865" s="9"/>
      <c r="AF6865" s="10"/>
      <c r="AG6865" s="10"/>
      <c r="AH6865" s="10"/>
      <c r="AI6865" s="10"/>
    </row>
    <row r="6866" spans="28:35" ht="15" hidden="1" customHeight="1">
      <c r="AB6866" s="9"/>
      <c r="AC6866" s="9"/>
      <c r="AD6866" s="9"/>
      <c r="AF6866" s="10"/>
      <c r="AG6866" s="10"/>
      <c r="AH6866" s="10"/>
      <c r="AI6866" s="10"/>
    </row>
    <row r="6867" spans="28:35" ht="15" hidden="1" customHeight="1">
      <c r="AB6867" s="9"/>
      <c r="AC6867" s="9"/>
      <c r="AD6867" s="9"/>
      <c r="AF6867" s="10"/>
      <c r="AG6867" s="10"/>
      <c r="AH6867" s="10"/>
      <c r="AI6867" s="10"/>
    </row>
    <row r="6868" spans="28:35" ht="15" hidden="1" customHeight="1">
      <c r="AB6868" s="9"/>
      <c r="AC6868" s="9"/>
      <c r="AD6868" s="9"/>
      <c r="AF6868" s="10"/>
      <c r="AG6868" s="10"/>
      <c r="AH6868" s="10"/>
      <c r="AI6868" s="10"/>
    </row>
    <row r="6869" spans="28:35" ht="15" hidden="1" customHeight="1">
      <c r="AB6869" s="9"/>
      <c r="AC6869" s="9"/>
      <c r="AD6869" s="9"/>
      <c r="AF6869" s="10"/>
      <c r="AG6869" s="10"/>
      <c r="AH6869" s="10"/>
      <c r="AI6869" s="10"/>
    </row>
    <row r="6870" spans="28:35" ht="15" hidden="1" customHeight="1">
      <c r="AB6870" s="9"/>
      <c r="AC6870" s="9"/>
      <c r="AD6870" s="9"/>
      <c r="AF6870" s="10"/>
      <c r="AG6870" s="10"/>
      <c r="AH6870" s="10"/>
      <c r="AI6870" s="10"/>
    </row>
    <row r="6871" spans="28:35" ht="15" hidden="1" customHeight="1">
      <c r="AB6871" s="9"/>
      <c r="AC6871" s="9"/>
      <c r="AD6871" s="9"/>
      <c r="AF6871" s="10"/>
      <c r="AG6871" s="10"/>
      <c r="AH6871" s="10"/>
      <c r="AI6871" s="10"/>
    </row>
    <row r="6872" spans="28:35" ht="15" hidden="1" customHeight="1">
      <c r="AB6872" s="9"/>
      <c r="AC6872" s="9"/>
      <c r="AD6872" s="9"/>
      <c r="AF6872" s="10"/>
      <c r="AG6872" s="10"/>
      <c r="AH6872" s="10"/>
      <c r="AI6872" s="10"/>
    </row>
    <row r="6873" spans="28:35" ht="15" hidden="1" customHeight="1">
      <c r="AB6873" s="9"/>
      <c r="AC6873" s="9"/>
      <c r="AD6873" s="9"/>
      <c r="AF6873" s="10"/>
      <c r="AG6873" s="10"/>
      <c r="AH6873" s="10"/>
      <c r="AI6873" s="10"/>
    </row>
    <row r="6874" spans="28:35" ht="15" hidden="1" customHeight="1">
      <c r="AB6874" s="9"/>
      <c r="AC6874" s="9"/>
      <c r="AD6874" s="9"/>
      <c r="AF6874" s="10"/>
      <c r="AG6874" s="10"/>
      <c r="AH6874" s="10"/>
      <c r="AI6874" s="10"/>
    </row>
    <row r="6875" spans="28:35" ht="15" hidden="1" customHeight="1">
      <c r="AB6875" s="9"/>
      <c r="AC6875" s="9"/>
      <c r="AD6875" s="9"/>
      <c r="AF6875" s="10"/>
      <c r="AG6875" s="10"/>
      <c r="AH6875" s="10"/>
      <c r="AI6875" s="10"/>
    </row>
    <row r="6876" spans="28:35" ht="15" hidden="1" customHeight="1">
      <c r="AB6876" s="9"/>
      <c r="AC6876" s="9"/>
      <c r="AD6876" s="9"/>
      <c r="AF6876" s="10"/>
      <c r="AG6876" s="10"/>
      <c r="AH6876" s="10"/>
      <c r="AI6876" s="10"/>
    </row>
    <row r="6877" spans="28:35" ht="15" hidden="1" customHeight="1">
      <c r="AB6877" s="9"/>
      <c r="AC6877" s="9"/>
      <c r="AD6877" s="9"/>
      <c r="AF6877" s="10"/>
      <c r="AG6877" s="10"/>
      <c r="AH6877" s="10"/>
      <c r="AI6877" s="10"/>
    </row>
    <row r="6878" spans="28:35" ht="15" hidden="1" customHeight="1">
      <c r="AB6878" s="9"/>
      <c r="AC6878" s="9"/>
      <c r="AD6878" s="9"/>
      <c r="AF6878" s="10"/>
      <c r="AG6878" s="10"/>
      <c r="AH6878" s="10"/>
      <c r="AI6878" s="10"/>
    </row>
    <row r="6879" spans="28:35" ht="15" hidden="1" customHeight="1">
      <c r="AB6879" s="9"/>
      <c r="AC6879" s="9"/>
      <c r="AD6879" s="9"/>
      <c r="AF6879" s="10"/>
      <c r="AG6879" s="10"/>
      <c r="AH6879" s="10"/>
      <c r="AI6879" s="10"/>
    </row>
    <row r="6880" spans="28:35" ht="15" hidden="1" customHeight="1">
      <c r="AB6880" s="9"/>
      <c r="AC6880" s="9"/>
      <c r="AD6880" s="9"/>
      <c r="AF6880" s="10"/>
      <c r="AG6880" s="10"/>
      <c r="AH6880" s="10"/>
      <c r="AI6880" s="10"/>
    </row>
    <row r="6881" spans="28:35" ht="15" hidden="1" customHeight="1">
      <c r="AB6881" s="9"/>
      <c r="AC6881" s="9"/>
      <c r="AD6881" s="9"/>
      <c r="AF6881" s="10"/>
      <c r="AG6881" s="10"/>
      <c r="AH6881" s="10"/>
      <c r="AI6881" s="10"/>
    </row>
    <row r="6882" spans="28:35" ht="15" hidden="1" customHeight="1">
      <c r="AB6882" s="9"/>
      <c r="AC6882" s="9"/>
      <c r="AD6882" s="9"/>
      <c r="AF6882" s="10"/>
      <c r="AG6882" s="10"/>
      <c r="AH6882" s="10"/>
      <c r="AI6882" s="10"/>
    </row>
    <row r="6883" spans="28:35" ht="15" hidden="1" customHeight="1">
      <c r="AB6883" s="9"/>
      <c r="AC6883" s="9"/>
      <c r="AD6883" s="9"/>
      <c r="AF6883" s="10"/>
      <c r="AG6883" s="10"/>
      <c r="AH6883" s="10"/>
      <c r="AI6883" s="10"/>
    </row>
    <row r="6884" spans="28:35" ht="15" hidden="1" customHeight="1">
      <c r="AB6884" s="9"/>
      <c r="AC6884" s="9"/>
      <c r="AD6884" s="9"/>
      <c r="AF6884" s="10"/>
      <c r="AG6884" s="10"/>
      <c r="AH6884" s="10"/>
      <c r="AI6884" s="10"/>
    </row>
    <row r="6885" spans="28:35" ht="15" hidden="1" customHeight="1">
      <c r="AB6885" s="9"/>
      <c r="AC6885" s="9"/>
      <c r="AD6885" s="9"/>
      <c r="AF6885" s="10"/>
      <c r="AG6885" s="10"/>
      <c r="AH6885" s="10"/>
      <c r="AI6885" s="10"/>
    </row>
    <row r="6886" spans="28:35" ht="15" hidden="1" customHeight="1">
      <c r="AB6886" s="9"/>
      <c r="AC6886" s="9"/>
      <c r="AD6886" s="9"/>
      <c r="AF6886" s="10"/>
      <c r="AG6886" s="10"/>
      <c r="AH6886" s="10"/>
      <c r="AI6886" s="10"/>
    </row>
    <row r="6887" spans="28:35" ht="15" hidden="1" customHeight="1">
      <c r="AB6887" s="9"/>
      <c r="AC6887" s="9"/>
      <c r="AD6887" s="9"/>
      <c r="AF6887" s="10"/>
      <c r="AG6887" s="10"/>
      <c r="AH6887" s="10"/>
      <c r="AI6887" s="10"/>
    </row>
    <row r="6888" spans="28:35" ht="15" hidden="1" customHeight="1">
      <c r="AB6888" s="9"/>
      <c r="AC6888" s="9"/>
      <c r="AD6888" s="9"/>
      <c r="AF6888" s="10"/>
      <c r="AG6888" s="10"/>
      <c r="AH6888" s="10"/>
      <c r="AI6888" s="10"/>
    </row>
    <row r="6889" spans="28:35" ht="15" hidden="1" customHeight="1">
      <c r="AB6889" s="9"/>
      <c r="AC6889" s="9"/>
      <c r="AD6889" s="9"/>
      <c r="AF6889" s="10"/>
      <c r="AG6889" s="10"/>
      <c r="AH6889" s="10"/>
      <c r="AI6889" s="10"/>
    </row>
    <row r="6890" spans="28:35" ht="15" hidden="1" customHeight="1">
      <c r="AB6890" s="9"/>
      <c r="AC6890" s="9"/>
      <c r="AD6890" s="9"/>
      <c r="AF6890" s="10"/>
      <c r="AG6890" s="10"/>
      <c r="AH6890" s="10"/>
      <c r="AI6890" s="10"/>
    </row>
    <row r="6891" spans="28:35" ht="15" hidden="1" customHeight="1">
      <c r="AB6891" s="9"/>
      <c r="AC6891" s="9"/>
      <c r="AD6891" s="9"/>
      <c r="AF6891" s="10"/>
      <c r="AG6891" s="10"/>
      <c r="AH6891" s="10"/>
      <c r="AI6891" s="10"/>
    </row>
    <row r="6892" spans="28:35" ht="15" hidden="1" customHeight="1">
      <c r="AB6892" s="9"/>
      <c r="AC6892" s="9"/>
      <c r="AD6892" s="9"/>
      <c r="AF6892" s="10"/>
      <c r="AG6892" s="10"/>
      <c r="AH6892" s="10"/>
      <c r="AI6892" s="10"/>
    </row>
    <row r="6893" spans="28:35" ht="15" hidden="1" customHeight="1">
      <c r="AB6893" s="9"/>
      <c r="AC6893" s="9"/>
      <c r="AD6893" s="9"/>
      <c r="AF6893" s="10"/>
      <c r="AG6893" s="10"/>
      <c r="AH6893" s="10"/>
      <c r="AI6893" s="10"/>
    </row>
    <row r="6894" spans="28:35" ht="15" hidden="1" customHeight="1">
      <c r="AB6894" s="9"/>
      <c r="AC6894" s="9"/>
      <c r="AD6894" s="9"/>
      <c r="AF6894" s="10"/>
      <c r="AG6894" s="10"/>
      <c r="AH6894" s="10"/>
      <c r="AI6894" s="10"/>
    </row>
    <row r="6895" spans="28:35" ht="15" hidden="1" customHeight="1">
      <c r="AB6895" s="9"/>
      <c r="AC6895" s="9"/>
      <c r="AD6895" s="9"/>
      <c r="AF6895" s="10"/>
      <c r="AG6895" s="10"/>
      <c r="AH6895" s="10"/>
      <c r="AI6895" s="10"/>
    </row>
    <row r="6896" spans="28:35" ht="15" hidden="1" customHeight="1">
      <c r="AB6896" s="9"/>
      <c r="AC6896" s="9"/>
      <c r="AD6896" s="9"/>
      <c r="AF6896" s="10"/>
      <c r="AG6896" s="10"/>
      <c r="AH6896" s="10"/>
      <c r="AI6896" s="10"/>
    </row>
    <row r="6897" spans="28:35" ht="15" hidden="1" customHeight="1">
      <c r="AB6897" s="9"/>
      <c r="AC6897" s="9"/>
      <c r="AD6897" s="9"/>
      <c r="AF6897" s="10"/>
      <c r="AG6897" s="10"/>
      <c r="AH6897" s="10"/>
      <c r="AI6897" s="10"/>
    </row>
    <row r="6898" spans="28:35" ht="15" hidden="1" customHeight="1">
      <c r="AB6898" s="9"/>
      <c r="AC6898" s="9"/>
      <c r="AD6898" s="9"/>
      <c r="AF6898" s="10"/>
      <c r="AG6898" s="10"/>
      <c r="AH6898" s="10"/>
      <c r="AI6898" s="10"/>
    </row>
    <row r="6899" spans="28:35" ht="15" hidden="1" customHeight="1">
      <c r="AB6899" s="9"/>
      <c r="AC6899" s="9"/>
      <c r="AD6899" s="9"/>
      <c r="AF6899" s="10"/>
      <c r="AG6899" s="10"/>
      <c r="AH6899" s="10"/>
      <c r="AI6899" s="10"/>
    </row>
    <row r="6900" spans="28:35" ht="15" hidden="1" customHeight="1">
      <c r="AB6900" s="9"/>
      <c r="AC6900" s="9"/>
      <c r="AD6900" s="9"/>
      <c r="AF6900" s="10"/>
      <c r="AG6900" s="10"/>
      <c r="AH6900" s="10"/>
      <c r="AI6900" s="10"/>
    </row>
    <row r="6901" spans="28:35" ht="15" hidden="1" customHeight="1">
      <c r="AB6901" s="9"/>
      <c r="AC6901" s="9"/>
      <c r="AD6901" s="9"/>
      <c r="AF6901" s="10"/>
      <c r="AG6901" s="10"/>
      <c r="AH6901" s="10"/>
      <c r="AI6901" s="10"/>
    </row>
    <row r="6902" spans="28:35" ht="15" hidden="1" customHeight="1">
      <c r="AB6902" s="9"/>
      <c r="AC6902" s="9"/>
      <c r="AD6902" s="9"/>
      <c r="AF6902" s="10"/>
      <c r="AG6902" s="10"/>
      <c r="AH6902" s="10"/>
      <c r="AI6902" s="10"/>
    </row>
    <row r="6903" spans="28:35" ht="15" hidden="1" customHeight="1">
      <c r="AB6903" s="9"/>
      <c r="AC6903" s="9"/>
      <c r="AD6903" s="9"/>
      <c r="AF6903" s="10"/>
      <c r="AG6903" s="10"/>
      <c r="AH6903" s="10"/>
      <c r="AI6903" s="10"/>
    </row>
    <row r="6904" spans="28:35" ht="15" hidden="1" customHeight="1">
      <c r="AB6904" s="9"/>
      <c r="AC6904" s="9"/>
      <c r="AD6904" s="9"/>
      <c r="AF6904" s="10"/>
      <c r="AG6904" s="10"/>
      <c r="AH6904" s="10"/>
      <c r="AI6904" s="10"/>
    </row>
    <row r="6905" spans="28:35" ht="15" hidden="1" customHeight="1">
      <c r="AB6905" s="9"/>
      <c r="AC6905" s="9"/>
      <c r="AD6905" s="9"/>
      <c r="AF6905" s="10"/>
      <c r="AG6905" s="10"/>
      <c r="AH6905" s="10"/>
      <c r="AI6905" s="10"/>
    </row>
    <row r="6906" spans="28:35" ht="15" hidden="1" customHeight="1">
      <c r="AB6906" s="9"/>
      <c r="AC6906" s="9"/>
      <c r="AD6906" s="9"/>
      <c r="AF6906" s="10"/>
      <c r="AG6906" s="10"/>
      <c r="AH6906" s="10"/>
      <c r="AI6906" s="10"/>
    </row>
    <row r="6907" spans="28:35" ht="15" hidden="1" customHeight="1">
      <c r="AB6907" s="9"/>
      <c r="AC6907" s="9"/>
      <c r="AD6907" s="9"/>
      <c r="AF6907" s="10"/>
      <c r="AG6907" s="10"/>
      <c r="AH6907" s="10"/>
      <c r="AI6907" s="10"/>
    </row>
    <row r="6908" spans="28:35" ht="15" hidden="1" customHeight="1">
      <c r="AB6908" s="9"/>
      <c r="AC6908" s="9"/>
      <c r="AD6908" s="9"/>
      <c r="AF6908" s="10"/>
      <c r="AG6908" s="10"/>
      <c r="AH6908" s="10"/>
      <c r="AI6908" s="10"/>
    </row>
    <row r="6909" spans="28:35" ht="15" hidden="1" customHeight="1">
      <c r="AB6909" s="9"/>
      <c r="AC6909" s="9"/>
      <c r="AD6909" s="9"/>
      <c r="AF6909" s="10"/>
      <c r="AG6909" s="10"/>
      <c r="AH6909" s="10"/>
      <c r="AI6909" s="10"/>
    </row>
    <row r="6910" spans="28:35" ht="15" hidden="1" customHeight="1">
      <c r="AB6910" s="9"/>
      <c r="AC6910" s="9"/>
      <c r="AD6910" s="9"/>
      <c r="AF6910" s="10"/>
      <c r="AG6910" s="10"/>
      <c r="AH6910" s="10"/>
      <c r="AI6910" s="10"/>
    </row>
    <row r="6911" spans="28:35" ht="15" hidden="1" customHeight="1">
      <c r="AB6911" s="9"/>
      <c r="AC6911" s="9"/>
      <c r="AD6911" s="9"/>
      <c r="AF6911" s="10"/>
      <c r="AG6911" s="10"/>
      <c r="AH6911" s="10"/>
      <c r="AI6911" s="10"/>
    </row>
    <row r="6912" spans="28:35" ht="15" hidden="1" customHeight="1">
      <c r="AB6912" s="9"/>
      <c r="AC6912" s="9"/>
      <c r="AD6912" s="9"/>
      <c r="AF6912" s="10"/>
      <c r="AG6912" s="10"/>
      <c r="AH6912" s="10"/>
      <c r="AI6912" s="10"/>
    </row>
    <row r="6913" spans="28:35" ht="15" hidden="1" customHeight="1">
      <c r="AB6913" s="9"/>
      <c r="AC6913" s="9"/>
      <c r="AD6913" s="9"/>
      <c r="AF6913" s="10"/>
      <c r="AG6913" s="10"/>
      <c r="AH6913" s="10"/>
      <c r="AI6913" s="10"/>
    </row>
    <row r="6914" spans="28:35" ht="15" hidden="1" customHeight="1">
      <c r="AB6914" s="9"/>
      <c r="AC6914" s="9"/>
      <c r="AD6914" s="9"/>
      <c r="AF6914" s="10"/>
      <c r="AG6914" s="10"/>
      <c r="AH6914" s="10"/>
      <c r="AI6914" s="10"/>
    </row>
    <row r="6915" spans="28:35" ht="15" hidden="1" customHeight="1">
      <c r="AB6915" s="9"/>
      <c r="AC6915" s="9"/>
      <c r="AD6915" s="9"/>
      <c r="AF6915" s="10"/>
      <c r="AG6915" s="10"/>
      <c r="AH6915" s="10"/>
      <c r="AI6915" s="10"/>
    </row>
    <row r="6916" spans="28:35" ht="15" hidden="1" customHeight="1">
      <c r="AB6916" s="9"/>
      <c r="AC6916" s="9"/>
      <c r="AD6916" s="9"/>
      <c r="AF6916" s="10"/>
      <c r="AG6916" s="10"/>
      <c r="AH6916" s="10"/>
      <c r="AI6916" s="10"/>
    </row>
    <row r="6917" spans="28:35" ht="15" hidden="1" customHeight="1">
      <c r="AB6917" s="9"/>
      <c r="AC6917" s="9"/>
      <c r="AD6917" s="9"/>
      <c r="AF6917" s="10"/>
      <c r="AG6917" s="10"/>
      <c r="AH6917" s="10"/>
      <c r="AI6917" s="10"/>
    </row>
    <row r="6918" spans="28:35" ht="15" hidden="1" customHeight="1">
      <c r="AB6918" s="9"/>
      <c r="AC6918" s="9"/>
      <c r="AD6918" s="9"/>
      <c r="AF6918" s="10"/>
      <c r="AG6918" s="10"/>
      <c r="AH6918" s="10"/>
      <c r="AI6918" s="10"/>
    </row>
    <row r="6919" spans="28:35" ht="15" hidden="1" customHeight="1">
      <c r="AB6919" s="9"/>
      <c r="AC6919" s="9"/>
      <c r="AD6919" s="9"/>
      <c r="AF6919" s="10"/>
      <c r="AG6919" s="10"/>
      <c r="AH6919" s="10"/>
      <c r="AI6919" s="10"/>
    </row>
    <row r="6920" spans="28:35" ht="15" hidden="1" customHeight="1">
      <c r="AB6920" s="9"/>
      <c r="AC6920" s="9"/>
      <c r="AD6920" s="9"/>
      <c r="AF6920" s="10"/>
      <c r="AG6920" s="10"/>
      <c r="AH6920" s="10"/>
      <c r="AI6920" s="10"/>
    </row>
    <row r="6921" spans="28:35" ht="15" hidden="1" customHeight="1">
      <c r="AB6921" s="9"/>
      <c r="AC6921" s="9"/>
      <c r="AD6921" s="9"/>
      <c r="AF6921" s="10"/>
      <c r="AG6921" s="10"/>
      <c r="AH6921" s="10"/>
      <c r="AI6921" s="10"/>
    </row>
    <row r="6922" spans="28:35" ht="15" hidden="1" customHeight="1">
      <c r="AB6922" s="9"/>
      <c r="AC6922" s="9"/>
      <c r="AD6922" s="9"/>
      <c r="AF6922" s="10"/>
      <c r="AG6922" s="10"/>
      <c r="AH6922" s="10"/>
      <c r="AI6922" s="10"/>
    </row>
    <row r="6923" spans="28:35" ht="15" hidden="1" customHeight="1">
      <c r="AB6923" s="9"/>
      <c r="AC6923" s="9"/>
      <c r="AD6923" s="9"/>
      <c r="AF6923" s="10"/>
      <c r="AG6923" s="10"/>
      <c r="AH6923" s="10"/>
      <c r="AI6923" s="10"/>
    </row>
    <row r="6924" spans="28:35" ht="15" hidden="1" customHeight="1">
      <c r="AB6924" s="9"/>
      <c r="AC6924" s="9"/>
      <c r="AD6924" s="9"/>
      <c r="AF6924" s="10"/>
      <c r="AG6924" s="10"/>
      <c r="AH6924" s="10"/>
      <c r="AI6924" s="10"/>
    </row>
    <row r="6925" spans="28:35" ht="15" hidden="1" customHeight="1">
      <c r="AB6925" s="9"/>
      <c r="AC6925" s="9"/>
      <c r="AD6925" s="9"/>
      <c r="AF6925" s="10"/>
      <c r="AG6925" s="10"/>
      <c r="AH6925" s="10"/>
      <c r="AI6925" s="10"/>
    </row>
    <row r="6926" spans="28:35" ht="15" hidden="1" customHeight="1">
      <c r="AB6926" s="9"/>
      <c r="AC6926" s="9"/>
      <c r="AD6926" s="9"/>
      <c r="AF6926" s="10"/>
      <c r="AG6926" s="10"/>
      <c r="AH6926" s="10"/>
      <c r="AI6926" s="10"/>
    </row>
    <row r="6927" spans="28:35" ht="15" hidden="1" customHeight="1">
      <c r="AB6927" s="9"/>
      <c r="AC6927" s="9"/>
      <c r="AD6927" s="9"/>
      <c r="AF6927" s="10"/>
      <c r="AG6927" s="10"/>
      <c r="AH6927" s="10"/>
      <c r="AI6927" s="10"/>
    </row>
    <row r="6928" spans="28:35" ht="15" hidden="1" customHeight="1">
      <c r="AB6928" s="9"/>
      <c r="AC6928" s="9"/>
      <c r="AD6928" s="9"/>
      <c r="AF6928" s="10"/>
      <c r="AG6928" s="10"/>
      <c r="AH6928" s="10"/>
      <c r="AI6928" s="10"/>
    </row>
    <row r="6929" spans="28:35" ht="15" hidden="1" customHeight="1">
      <c r="AB6929" s="9"/>
      <c r="AC6929" s="9"/>
      <c r="AD6929" s="9"/>
      <c r="AF6929" s="10"/>
      <c r="AG6929" s="10"/>
      <c r="AH6929" s="10"/>
      <c r="AI6929" s="10"/>
    </row>
    <row r="6930" spans="28:35" ht="15" hidden="1" customHeight="1">
      <c r="AB6930" s="9"/>
      <c r="AC6930" s="9"/>
      <c r="AD6930" s="9"/>
      <c r="AF6930" s="10"/>
      <c r="AG6930" s="10"/>
      <c r="AH6930" s="10"/>
      <c r="AI6930" s="10"/>
    </row>
    <row r="6931" spans="28:35" ht="15" hidden="1" customHeight="1">
      <c r="AB6931" s="9"/>
      <c r="AC6931" s="9"/>
      <c r="AD6931" s="9"/>
      <c r="AF6931" s="10"/>
      <c r="AG6931" s="10"/>
      <c r="AH6931" s="10"/>
      <c r="AI6931" s="10"/>
    </row>
    <row r="6932" spans="28:35" ht="15" hidden="1" customHeight="1">
      <c r="AB6932" s="9"/>
      <c r="AC6932" s="9"/>
      <c r="AD6932" s="9"/>
      <c r="AF6932" s="10"/>
      <c r="AG6932" s="10"/>
      <c r="AH6932" s="10"/>
      <c r="AI6932" s="10"/>
    </row>
    <row r="6933" spans="28:35" ht="15" hidden="1" customHeight="1">
      <c r="AB6933" s="9"/>
      <c r="AC6933" s="9"/>
      <c r="AD6933" s="9"/>
      <c r="AF6933" s="10"/>
      <c r="AG6933" s="10"/>
      <c r="AH6933" s="10"/>
      <c r="AI6933" s="10"/>
    </row>
    <row r="6934" spans="28:35" ht="15" hidden="1" customHeight="1">
      <c r="AB6934" s="9"/>
      <c r="AC6934" s="9"/>
      <c r="AD6934" s="9"/>
      <c r="AF6934" s="10"/>
      <c r="AG6934" s="10"/>
      <c r="AH6934" s="10"/>
      <c r="AI6934" s="10"/>
    </row>
    <row r="6935" spans="28:35" ht="15" hidden="1" customHeight="1">
      <c r="AB6935" s="9"/>
      <c r="AC6935" s="9"/>
      <c r="AD6935" s="9"/>
      <c r="AF6935" s="10"/>
      <c r="AG6935" s="10"/>
      <c r="AH6935" s="10"/>
      <c r="AI6935" s="10"/>
    </row>
    <row r="6936" spans="28:35" ht="15" hidden="1" customHeight="1">
      <c r="AB6936" s="9"/>
      <c r="AC6936" s="9"/>
      <c r="AD6936" s="9"/>
      <c r="AF6936" s="10"/>
      <c r="AG6936" s="10"/>
      <c r="AH6936" s="10"/>
      <c r="AI6936" s="10"/>
    </row>
    <row r="6937" spans="28:35" ht="15" hidden="1" customHeight="1">
      <c r="AB6937" s="9"/>
      <c r="AC6937" s="9"/>
      <c r="AD6937" s="9"/>
      <c r="AF6937" s="10"/>
      <c r="AG6937" s="10"/>
      <c r="AH6937" s="10"/>
      <c r="AI6937" s="10"/>
    </row>
    <row r="6938" spans="28:35" ht="15" hidden="1" customHeight="1">
      <c r="AB6938" s="9"/>
      <c r="AC6938" s="9"/>
      <c r="AD6938" s="9"/>
      <c r="AF6938" s="10"/>
      <c r="AG6938" s="10"/>
      <c r="AH6938" s="10"/>
      <c r="AI6938" s="10"/>
    </row>
    <row r="6939" spans="28:35" ht="15" hidden="1" customHeight="1">
      <c r="AB6939" s="9"/>
      <c r="AC6939" s="9"/>
      <c r="AD6939" s="9"/>
      <c r="AF6939" s="10"/>
      <c r="AG6939" s="10"/>
      <c r="AH6939" s="10"/>
      <c r="AI6939" s="10"/>
    </row>
    <row r="6940" spans="28:35" ht="15" hidden="1" customHeight="1">
      <c r="AB6940" s="9"/>
      <c r="AC6940" s="9"/>
      <c r="AD6940" s="9"/>
      <c r="AF6940" s="10"/>
      <c r="AG6940" s="10"/>
      <c r="AH6940" s="10"/>
      <c r="AI6940" s="10"/>
    </row>
    <row r="6941" spans="28:35" ht="15" hidden="1" customHeight="1">
      <c r="AB6941" s="9"/>
      <c r="AC6941" s="9"/>
      <c r="AD6941" s="9"/>
      <c r="AF6941" s="10"/>
      <c r="AG6941" s="10"/>
      <c r="AH6941" s="10"/>
      <c r="AI6941" s="10"/>
    </row>
    <row r="6942" spans="28:35" ht="15" hidden="1" customHeight="1">
      <c r="AB6942" s="9"/>
      <c r="AC6942" s="9"/>
      <c r="AD6942" s="9"/>
      <c r="AF6942" s="10"/>
      <c r="AG6942" s="10"/>
      <c r="AH6942" s="10"/>
      <c r="AI6942" s="10"/>
    </row>
    <row r="6943" spans="28:35" ht="15" hidden="1" customHeight="1">
      <c r="AB6943" s="9"/>
      <c r="AC6943" s="9"/>
      <c r="AD6943" s="9"/>
      <c r="AF6943" s="10"/>
      <c r="AG6943" s="10"/>
      <c r="AH6943" s="10"/>
      <c r="AI6943" s="10"/>
    </row>
    <row r="6944" spans="28:35" ht="15" hidden="1" customHeight="1">
      <c r="AB6944" s="9"/>
      <c r="AC6944" s="9"/>
      <c r="AD6944" s="9"/>
      <c r="AF6944" s="10"/>
      <c r="AG6944" s="10"/>
      <c r="AH6944" s="10"/>
      <c r="AI6944" s="10"/>
    </row>
    <row r="6945" spans="28:35" ht="15" hidden="1" customHeight="1">
      <c r="AB6945" s="9"/>
      <c r="AC6945" s="9"/>
      <c r="AD6945" s="9"/>
      <c r="AF6945" s="10"/>
      <c r="AG6945" s="10"/>
      <c r="AH6945" s="10"/>
      <c r="AI6945" s="10"/>
    </row>
    <row r="6946" spans="28:35" ht="15" hidden="1" customHeight="1">
      <c r="AB6946" s="9"/>
      <c r="AC6946" s="9"/>
      <c r="AD6946" s="9"/>
      <c r="AF6946" s="10"/>
      <c r="AG6946" s="10"/>
      <c r="AH6946" s="10"/>
      <c r="AI6946" s="10"/>
    </row>
    <row r="6947" spans="28:35" ht="15" hidden="1" customHeight="1">
      <c r="AB6947" s="9"/>
      <c r="AC6947" s="9"/>
      <c r="AD6947" s="9"/>
      <c r="AF6947" s="10"/>
      <c r="AG6947" s="10"/>
      <c r="AH6947" s="10"/>
      <c r="AI6947" s="10"/>
    </row>
    <row r="6948" spans="28:35" ht="15" hidden="1" customHeight="1">
      <c r="AB6948" s="9"/>
      <c r="AC6948" s="9"/>
      <c r="AD6948" s="9"/>
      <c r="AF6948" s="10"/>
      <c r="AG6948" s="10"/>
      <c r="AH6948" s="10"/>
      <c r="AI6948" s="10"/>
    </row>
    <row r="6949" spans="28:35" ht="15" hidden="1" customHeight="1">
      <c r="AB6949" s="9"/>
      <c r="AC6949" s="9"/>
      <c r="AD6949" s="9"/>
      <c r="AF6949" s="10"/>
      <c r="AG6949" s="10"/>
      <c r="AH6949" s="10"/>
      <c r="AI6949" s="10"/>
    </row>
    <row r="6950" spans="28:35" ht="15" hidden="1" customHeight="1">
      <c r="AB6950" s="9"/>
      <c r="AC6950" s="9"/>
      <c r="AD6950" s="9"/>
      <c r="AF6950" s="10"/>
      <c r="AG6950" s="10"/>
      <c r="AH6950" s="10"/>
      <c r="AI6950" s="10"/>
    </row>
    <row r="6951" spans="28:35" ht="15" hidden="1" customHeight="1">
      <c r="AB6951" s="9"/>
      <c r="AC6951" s="9"/>
      <c r="AD6951" s="9"/>
      <c r="AF6951" s="10"/>
      <c r="AG6951" s="10"/>
      <c r="AH6951" s="10"/>
      <c r="AI6951" s="10"/>
    </row>
    <row r="6952" spans="28:35" ht="15" hidden="1" customHeight="1">
      <c r="AB6952" s="9"/>
      <c r="AC6952" s="9"/>
      <c r="AD6952" s="9"/>
      <c r="AF6952" s="10"/>
      <c r="AG6952" s="10"/>
      <c r="AH6952" s="10"/>
      <c r="AI6952" s="10"/>
    </row>
    <row r="6953" spans="28:35" ht="15" hidden="1" customHeight="1">
      <c r="AB6953" s="9"/>
      <c r="AC6953" s="9"/>
      <c r="AD6953" s="9"/>
      <c r="AF6953" s="10"/>
      <c r="AG6953" s="10"/>
      <c r="AH6953" s="10"/>
      <c r="AI6953" s="10"/>
    </row>
    <row r="6954" spans="28:35" ht="15" hidden="1" customHeight="1">
      <c r="AB6954" s="9"/>
      <c r="AC6954" s="9"/>
      <c r="AD6954" s="9"/>
      <c r="AF6954" s="10"/>
      <c r="AG6954" s="10"/>
      <c r="AH6954" s="10"/>
      <c r="AI6954" s="10"/>
    </row>
    <row r="6955" spans="28:35" ht="15" hidden="1" customHeight="1">
      <c r="AB6955" s="9"/>
      <c r="AC6955" s="9"/>
      <c r="AD6955" s="9"/>
      <c r="AF6955" s="10"/>
      <c r="AG6955" s="10"/>
      <c r="AH6955" s="10"/>
      <c r="AI6955" s="10"/>
    </row>
    <row r="6956" spans="28:35" ht="15" hidden="1" customHeight="1">
      <c r="AB6956" s="9"/>
      <c r="AC6956" s="9"/>
      <c r="AD6956" s="9"/>
      <c r="AF6956" s="10"/>
      <c r="AG6956" s="10"/>
      <c r="AH6956" s="10"/>
      <c r="AI6956" s="10"/>
    </row>
    <row r="6957" spans="28:35" ht="15" hidden="1" customHeight="1">
      <c r="AB6957" s="9"/>
      <c r="AC6957" s="9"/>
      <c r="AD6957" s="9"/>
      <c r="AF6957" s="10"/>
      <c r="AG6957" s="10"/>
      <c r="AH6957" s="10"/>
      <c r="AI6957" s="10"/>
    </row>
    <row r="6958" spans="28:35" ht="15" hidden="1" customHeight="1">
      <c r="AB6958" s="9"/>
      <c r="AC6958" s="9"/>
      <c r="AD6958" s="9"/>
      <c r="AF6958" s="10"/>
      <c r="AG6958" s="10"/>
      <c r="AH6958" s="10"/>
      <c r="AI6958" s="10"/>
    </row>
    <row r="6959" spans="28:35" ht="15" hidden="1" customHeight="1">
      <c r="AB6959" s="9"/>
      <c r="AC6959" s="9"/>
      <c r="AD6959" s="9"/>
      <c r="AF6959" s="10"/>
      <c r="AG6959" s="10"/>
      <c r="AH6959" s="10"/>
      <c r="AI6959" s="10"/>
    </row>
    <row r="6960" spans="28:35" ht="15" hidden="1" customHeight="1">
      <c r="AB6960" s="9"/>
      <c r="AC6960" s="9"/>
      <c r="AD6960" s="9"/>
      <c r="AF6960" s="10"/>
      <c r="AG6960" s="10"/>
      <c r="AH6960" s="10"/>
      <c r="AI6960" s="10"/>
    </row>
    <row r="6961" spans="28:35" ht="15" hidden="1" customHeight="1">
      <c r="AB6961" s="9"/>
      <c r="AC6961" s="9"/>
      <c r="AD6961" s="9"/>
      <c r="AF6961" s="10"/>
      <c r="AG6961" s="10"/>
      <c r="AH6961" s="10"/>
      <c r="AI6961" s="10"/>
    </row>
    <row r="6962" spans="28:35" ht="15" hidden="1" customHeight="1">
      <c r="AB6962" s="9"/>
      <c r="AC6962" s="9"/>
      <c r="AD6962" s="9"/>
      <c r="AF6962" s="10"/>
      <c r="AG6962" s="10"/>
      <c r="AH6962" s="10"/>
      <c r="AI6962" s="10"/>
    </row>
    <row r="6963" spans="28:35" ht="15" hidden="1" customHeight="1">
      <c r="AB6963" s="9"/>
      <c r="AC6963" s="9"/>
      <c r="AD6963" s="9"/>
      <c r="AF6963" s="10"/>
      <c r="AG6963" s="10"/>
      <c r="AH6963" s="10"/>
      <c r="AI6963" s="10"/>
    </row>
    <row r="6964" spans="28:35" ht="15" hidden="1" customHeight="1">
      <c r="AB6964" s="9"/>
      <c r="AC6964" s="9"/>
      <c r="AD6964" s="9"/>
      <c r="AF6964" s="10"/>
      <c r="AG6964" s="10"/>
      <c r="AH6964" s="10"/>
      <c r="AI6964" s="10"/>
    </row>
    <row r="6965" spans="28:35" ht="15" hidden="1" customHeight="1">
      <c r="AB6965" s="9"/>
      <c r="AC6965" s="9"/>
      <c r="AD6965" s="9"/>
      <c r="AF6965" s="10"/>
      <c r="AG6965" s="10"/>
      <c r="AH6965" s="10"/>
      <c r="AI6965" s="10"/>
    </row>
    <row r="6966" spans="28:35" ht="15" hidden="1" customHeight="1">
      <c r="AB6966" s="9"/>
      <c r="AC6966" s="9"/>
      <c r="AD6966" s="9"/>
      <c r="AF6966" s="10"/>
      <c r="AG6966" s="10"/>
      <c r="AH6966" s="10"/>
      <c r="AI6966" s="10"/>
    </row>
    <row r="6967" spans="28:35" ht="15" hidden="1" customHeight="1">
      <c r="AB6967" s="9"/>
      <c r="AC6967" s="9"/>
      <c r="AD6967" s="9"/>
      <c r="AF6967" s="10"/>
      <c r="AG6967" s="10"/>
      <c r="AH6967" s="10"/>
      <c r="AI6967" s="10"/>
    </row>
    <row r="6968" spans="28:35" ht="15" hidden="1" customHeight="1">
      <c r="AB6968" s="9"/>
      <c r="AC6968" s="9"/>
      <c r="AD6968" s="9"/>
      <c r="AF6968" s="10"/>
      <c r="AG6968" s="10"/>
      <c r="AH6968" s="10"/>
      <c r="AI6968" s="10"/>
    </row>
    <row r="6969" spans="28:35" ht="15" hidden="1" customHeight="1">
      <c r="AB6969" s="9"/>
      <c r="AC6969" s="9"/>
      <c r="AD6969" s="9"/>
      <c r="AF6969" s="10"/>
      <c r="AG6969" s="10"/>
      <c r="AH6969" s="10"/>
      <c r="AI6969" s="10"/>
    </row>
    <row r="6970" spans="28:35" ht="15" hidden="1" customHeight="1">
      <c r="AB6970" s="9"/>
      <c r="AC6970" s="9"/>
      <c r="AD6970" s="9"/>
      <c r="AF6970" s="10"/>
      <c r="AG6970" s="10"/>
      <c r="AH6970" s="10"/>
      <c r="AI6970" s="10"/>
    </row>
    <row r="6971" spans="28:35" ht="15" hidden="1" customHeight="1">
      <c r="AB6971" s="9"/>
      <c r="AC6971" s="9"/>
      <c r="AD6971" s="9"/>
      <c r="AF6971" s="10"/>
      <c r="AG6971" s="10"/>
      <c r="AH6971" s="10"/>
      <c r="AI6971" s="10"/>
    </row>
    <row r="6972" spans="28:35" ht="15" hidden="1" customHeight="1">
      <c r="AB6972" s="9"/>
      <c r="AC6972" s="9"/>
      <c r="AD6972" s="9"/>
      <c r="AF6972" s="10"/>
      <c r="AG6972" s="10"/>
      <c r="AH6972" s="10"/>
      <c r="AI6972" s="10"/>
    </row>
    <row r="6973" spans="28:35" ht="15" hidden="1" customHeight="1">
      <c r="AB6973" s="9"/>
      <c r="AC6973" s="9"/>
      <c r="AD6973" s="9"/>
      <c r="AF6973" s="10"/>
      <c r="AG6973" s="10"/>
      <c r="AH6973" s="10"/>
      <c r="AI6973" s="10"/>
    </row>
    <row r="6974" spans="28:35" ht="15" hidden="1" customHeight="1">
      <c r="AB6974" s="9"/>
      <c r="AC6974" s="9"/>
      <c r="AD6974" s="9"/>
      <c r="AF6974" s="10"/>
      <c r="AG6974" s="10"/>
      <c r="AH6974" s="10"/>
      <c r="AI6974" s="10"/>
    </row>
    <row r="6975" spans="28:35" ht="15" hidden="1" customHeight="1">
      <c r="AB6975" s="9"/>
      <c r="AC6975" s="9"/>
      <c r="AD6975" s="9"/>
      <c r="AF6975" s="10"/>
      <c r="AG6975" s="10"/>
      <c r="AH6975" s="10"/>
      <c r="AI6975" s="10"/>
    </row>
    <row r="6976" spans="28:35" ht="15" hidden="1" customHeight="1">
      <c r="AB6976" s="9"/>
      <c r="AC6976" s="9"/>
      <c r="AD6976" s="9"/>
      <c r="AF6976" s="10"/>
      <c r="AG6976" s="10"/>
      <c r="AH6976" s="10"/>
      <c r="AI6976" s="10"/>
    </row>
    <row r="6977" spans="28:35" ht="15" hidden="1" customHeight="1">
      <c r="AB6977" s="9"/>
      <c r="AC6977" s="9"/>
      <c r="AD6977" s="9"/>
      <c r="AF6977" s="10"/>
      <c r="AG6977" s="10"/>
      <c r="AH6977" s="10"/>
      <c r="AI6977" s="10"/>
    </row>
    <row r="6978" spans="28:35" ht="15" hidden="1" customHeight="1">
      <c r="AB6978" s="9"/>
      <c r="AC6978" s="9"/>
      <c r="AD6978" s="9"/>
      <c r="AF6978" s="10"/>
      <c r="AG6978" s="10"/>
      <c r="AH6978" s="10"/>
      <c r="AI6978" s="10"/>
    </row>
    <row r="6979" spans="28:35" ht="15" hidden="1" customHeight="1">
      <c r="AB6979" s="9"/>
      <c r="AC6979" s="9"/>
      <c r="AD6979" s="9"/>
      <c r="AF6979" s="10"/>
      <c r="AG6979" s="10"/>
      <c r="AH6979" s="10"/>
      <c r="AI6979" s="10"/>
    </row>
    <row r="6980" spans="28:35" ht="15" hidden="1" customHeight="1">
      <c r="AB6980" s="9"/>
      <c r="AC6980" s="9"/>
      <c r="AD6980" s="9"/>
      <c r="AF6980" s="10"/>
      <c r="AG6980" s="10"/>
      <c r="AH6980" s="10"/>
      <c r="AI6980" s="10"/>
    </row>
    <row r="6981" spans="28:35" ht="15" hidden="1" customHeight="1">
      <c r="AB6981" s="9"/>
      <c r="AC6981" s="9"/>
      <c r="AD6981" s="9"/>
      <c r="AF6981" s="10"/>
      <c r="AG6981" s="10"/>
      <c r="AH6981" s="10"/>
      <c r="AI6981" s="10"/>
    </row>
    <row r="6982" spans="28:35" ht="15" hidden="1" customHeight="1">
      <c r="AB6982" s="9"/>
      <c r="AC6982" s="9"/>
      <c r="AD6982" s="9"/>
      <c r="AF6982" s="10"/>
      <c r="AG6982" s="10"/>
      <c r="AH6982" s="10"/>
      <c r="AI6982" s="10"/>
    </row>
    <row r="6983" spans="28:35" ht="15" hidden="1" customHeight="1">
      <c r="AB6983" s="9"/>
      <c r="AC6983" s="9"/>
      <c r="AD6983" s="9"/>
      <c r="AF6983" s="10"/>
      <c r="AG6983" s="10"/>
      <c r="AH6983" s="10"/>
      <c r="AI6983" s="10"/>
    </row>
    <row r="6984" spans="28:35" ht="15" hidden="1" customHeight="1">
      <c r="AB6984" s="9"/>
      <c r="AC6984" s="9"/>
      <c r="AD6984" s="9"/>
      <c r="AF6984" s="10"/>
      <c r="AG6984" s="10"/>
      <c r="AH6984" s="10"/>
      <c r="AI6984" s="10"/>
    </row>
    <row r="6985" spans="28:35" ht="15" hidden="1" customHeight="1">
      <c r="AB6985" s="9"/>
      <c r="AC6985" s="9"/>
      <c r="AD6985" s="9"/>
      <c r="AF6985" s="10"/>
      <c r="AG6985" s="10"/>
      <c r="AH6985" s="10"/>
      <c r="AI6985" s="10"/>
    </row>
    <row r="6986" spans="28:35" ht="15" hidden="1" customHeight="1">
      <c r="AB6986" s="9"/>
      <c r="AC6986" s="9"/>
      <c r="AD6986" s="9"/>
      <c r="AF6986" s="10"/>
      <c r="AG6986" s="10"/>
      <c r="AH6986" s="10"/>
      <c r="AI6986" s="10"/>
    </row>
    <row r="6987" spans="28:35" ht="15" hidden="1" customHeight="1">
      <c r="AB6987" s="9"/>
      <c r="AC6987" s="9"/>
      <c r="AD6987" s="9"/>
      <c r="AF6987" s="10"/>
      <c r="AG6987" s="10"/>
      <c r="AH6987" s="10"/>
      <c r="AI6987" s="10"/>
    </row>
    <row r="6988" spans="28:35" ht="15" hidden="1" customHeight="1">
      <c r="AB6988" s="9"/>
      <c r="AC6988" s="9"/>
      <c r="AD6988" s="9"/>
      <c r="AF6988" s="10"/>
      <c r="AG6988" s="10"/>
      <c r="AH6988" s="10"/>
      <c r="AI6988" s="10"/>
    </row>
    <row r="6989" spans="28:35" ht="15" hidden="1" customHeight="1">
      <c r="AB6989" s="9"/>
      <c r="AC6989" s="9"/>
      <c r="AD6989" s="9"/>
      <c r="AF6989" s="10"/>
      <c r="AG6989" s="10"/>
      <c r="AH6989" s="10"/>
      <c r="AI6989" s="10"/>
    </row>
    <row r="6990" spans="28:35" ht="15" hidden="1" customHeight="1">
      <c r="AB6990" s="9"/>
      <c r="AC6990" s="9"/>
      <c r="AD6990" s="9"/>
      <c r="AF6990" s="10"/>
      <c r="AG6990" s="10"/>
      <c r="AH6990" s="10"/>
      <c r="AI6990" s="10"/>
    </row>
    <row r="6991" spans="28:35" ht="15" hidden="1" customHeight="1">
      <c r="AB6991" s="9"/>
      <c r="AC6991" s="9"/>
      <c r="AD6991" s="9"/>
      <c r="AF6991" s="10"/>
      <c r="AG6991" s="10"/>
      <c r="AH6991" s="10"/>
      <c r="AI6991" s="10"/>
    </row>
    <row r="6992" spans="28:35" ht="15" hidden="1" customHeight="1">
      <c r="AB6992" s="9"/>
      <c r="AC6992" s="9"/>
      <c r="AD6992" s="9"/>
      <c r="AF6992" s="10"/>
      <c r="AG6992" s="10"/>
      <c r="AH6992" s="10"/>
      <c r="AI6992" s="10"/>
    </row>
    <row r="6993" spans="28:35" ht="15" hidden="1" customHeight="1">
      <c r="AB6993" s="9"/>
      <c r="AC6993" s="9"/>
      <c r="AD6993" s="9"/>
      <c r="AF6993" s="10"/>
      <c r="AG6993" s="10"/>
      <c r="AH6993" s="10"/>
      <c r="AI6993" s="10"/>
    </row>
    <row r="6994" spans="28:35" ht="15" hidden="1" customHeight="1">
      <c r="AB6994" s="9"/>
      <c r="AC6994" s="9"/>
      <c r="AD6994" s="9"/>
      <c r="AF6994" s="10"/>
      <c r="AG6994" s="10"/>
      <c r="AH6994" s="10"/>
      <c r="AI6994" s="10"/>
    </row>
    <row r="6995" spans="28:35" ht="15" hidden="1" customHeight="1">
      <c r="AB6995" s="9"/>
      <c r="AC6995" s="9"/>
      <c r="AD6995" s="9"/>
      <c r="AF6995" s="10"/>
      <c r="AG6995" s="10"/>
      <c r="AH6995" s="10"/>
      <c r="AI6995" s="10"/>
    </row>
    <row r="6996" spans="28:35" ht="15" hidden="1" customHeight="1">
      <c r="AB6996" s="9"/>
      <c r="AC6996" s="9"/>
      <c r="AD6996" s="9"/>
      <c r="AF6996" s="10"/>
      <c r="AG6996" s="10"/>
      <c r="AH6996" s="10"/>
      <c r="AI6996" s="10"/>
    </row>
    <row r="6997" spans="28:35" ht="15" hidden="1" customHeight="1">
      <c r="AB6997" s="9"/>
      <c r="AC6997" s="9"/>
      <c r="AD6997" s="9"/>
      <c r="AF6997" s="10"/>
      <c r="AG6997" s="10"/>
      <c r="AH6997" s="10"/>
      <c r="AI6997" s="10"/>
    </row>
    <row r="6998" spans="28:35" ht="15" hidden="1" customHeight="1">
      <c r="AB6998" s="9"/>
      <c r="AC6998" s="9"/>
      <c r="AD6998" s="9"/>
      <c r="AF6998" s="10"/>
      <c r="AG6998" s="10"/>
      <c r="AH6998" s="10"/>
      <c r="AI6998" s="10"/>
    </row>
    <row r="6999" spans="28:35" ht="15" hidden="1" customHeight="1">
      <c r="AB6999" s="9"/>
      <c r="AC6999" s="9"/>
      <c r="AD6999" s="9"/>
      <c r="AF6999" s="10"/>
      <c r="AG6999" s="10"/>
      <c r="AH6999" s="10"/>
      <c r="AI6999" s="10"/>
    </row>
    <row r="7000" spans="28:35" ht="15" hidden="1" customHeight="1">
      <c r="AB7000" s="9"/>
      <c r="AC7000" s="9"/>
      <c r="AD7000" s="9"/>
      <c r="AF7000" s="10"/>
      <c r="AG7000" s="10"/>
      <c r="AH7000" s="10"/>
      <c r="AI7000" s="10"/>
    </row>
    <row r="7001" spans="28:35" ht="15" hidden="1" customHeight="1">
      <c r="AB7001" s="9"/>
      <c r="AC7001" s="9"/>
      <c r="AD7001" s="9"/>
      <c r="AF7001" s="10"/>
      <c r="AG7001" s="10"/>
      <c r="AH7001" s="10"/>
      <c r="AI7001" s="10"/>
    </row>
    <row r="7002" spans="28:35" ht="15" hidden="1" customHeight="1">
      <c r="AB7002" s="9"/>
      <c r="AC7002" s="9"/>
      <c r="AD7002" s="9"/>
      <c r="AF7002" s="10"/>
      <c r="AG7002" s="10"/>
      <c r="AH7002" s="10"/>
      <c r="AI7002" s="10"/>
    </row>
    <row r="7003" spans="28:35" ht="15" hidden="1" customHeight="1">
      <c r="AB7003" s="9"/>
      <c r="AC7003" s="9"/>
      <c r="AD7003" s="9"/>
      <c r="AF7003" s="10"/>
      <c r="AG7003" s="10"/>
      <c r="AH7003" s="10"/>
      <c r="AI7003" s="10"/>
    </row>
    <row r="7004" spans="28:35" ht="15" hidden="1" customHeight="1">
      <c r="AB7004" s="9"/>
      <c r="AC7004" s="9"/>
      <c r="AD7004" s="9"/>
      <c r="AF7004" s="10"/>
      <c r="AG7004" s="10"/>
      <c r="AH7004" s="10"/>
      <c r="AI7004" s="10"/>
    </row>
    <row r="7005" spans="28:35" ht="15" hidden="1" customHeight="1">
      <c r="AB7005" s="9"/>
      <c r="AC7005" s="9"/>
      <c r="AD7005" s="9"/>
      <c r="AF7005" s="10"/>
      <c r="AG7005" s="10"/>
      <c r="AH7005" s="10"/>
      <c r="AI7005" s="10"/>
    </row>
    <row r="7006" spans="28:35" ht="15" hidden="1" customHeight="1">
      <c r="AB7006" s="9"/>
      <c r="AC7006" s="9"/>
      <c r="AD7006" s="9"/>
      <c r="AF7006" s="10"/>
      <c r="AG7006" s="10"/>
      <c r="AH7006" s="10"/>
      <c r="AI7006" s="10"/>
    </row>
    <row r="7007" spans="28:35" ht="15" hidden="1" customHeight="1">
      <c r="AB7007" s="9"/>
      <c r="AC7007" s="9"/>
      <c r="AD7007" s="9"/>
      <c r="AF7007" s="10"/>
      <c r="AG7007" s="10"/>
      <c r="AH7007" s="10"/>
      <c r="AI7007" s="10"/>
    </row>
    <row r="7008" spans="28:35" ht="15" hidden="1" customHeight="1">
      <c r="AB7008" s="9"/>
      <c r="AC7008" s="9"/>
      <c r="AD7008" s="9"/>
      <c r="AF7008" s="10"/>
      <c r="AG7008" s="10"/>
      <c r="AH7008" s="10"/>
      <c r="AI7008" s="10"/>
    </row>
    <row r="7009" spans="28:35" ht="15" hidden="1" customHeight="1">
      <c r="AB7009" s="9"/>
      <c r="AC7009" s="9"/>
      <c r="AD7009" s="9"/>
      <c r="AF7009" s="10"/>
      <c r="AG7009" s="10"/>
      <c r="AH7009" s="10"/>
      <c r="AI7009" s="10"/>
    </row>
    <row r="7010" spans="28:35" ht="15" hidden="1" customHeight="1">
      <c r="AB7010" s="9"/>
      <c r="AC7010" s="9"/>
      <c r="AD7010" s="9"/>
      <c r="AF7010" s="10"/>
      <c r="AG7010" s="10"/>
      <c r="AH7010" s="10"/>
      <c r="AI7010" s="10"/>
    </row>
    <row r="7011" spans="28:35" ht="15" hidden="1" customHeight="1">
      <c r="AB7011" s="9"/>
      <c r="AC7011" s="9"/>
      <c r="AD7011" s="9"/>
      <c r="AF7011" s="10"/>
      <c r="AG7011" s="10"/>
      <c r="AH7011" s="10"/>
      <c r="AI7011" s="10"/>
    </row>
    <row r="7012" spans="28:35" ht="15" hidden="1" customHeight="1">
      <c r="AB7012" s="9"/>
      <c r="AC7012" s="9"/>
      <c r="AD7012" s="9"/>
      <c r="AF7012" s="10"/>
      <c r="AG7012" s="10"/>
      <c r="AH7012" s="10"/>
      <c r="AI7012" s="10"/>
    </row>
    <row r="7013" spans="28:35" ht="15" hidden="1" customHeight="1">
      <c r="AB7013" s="9"/>
      <c r="AC7013" s="9"/>
      <c r="AD7013" s="9"/>
      <c r="AF7013" s="10"/>
      <c r="AG7013" s="10"/>
      <c r="AH7013" s="10"/>
      <c r="AI7013" s="10"/>
    </row>
    <row r="7014" spans="28:35" ht="15" hidden="1" customHeight="1">
      <c r="AB7014" s="9"/>
      <c r="AC7014" s="9"/>
      <c r="AD7014" s="9"/>
      <c r="AF7014" s="10"/>
      <c r="AG7014" s="10"/>
      <c r="AH7014" s="10"/>
      <c r="AI7014" s="10"/>
    </row>
    <row r="7015" spans="28:35" ht="15" hidden="1" customHeight="1">
      <c r="AB7015" s="9"/>
      <c r="AC7015" s="9"/>
      <c r="AD7015" s="9"/>
      <c r="AF7015" s="10"/>
      <c r="AG7015" s="10"/>
      <c r="AH7015" s="10"/>
      <c r="AI7015" s="10"/>
    </row>
    <row r="7016" spans="28:35" ht="15" hidden="1" customHeight="1">
      <c r="AB7016" s="9"/>
      <c r="AC7016" s="9"/>
      <c r="AD7016" s="9"/>
      <c r="AF7016" s="10"/>
      <c r="AG7016" s="10"/>
      <c r="AH7016" s="10"/>
      <c r="AI7016" s="10"/>
    </row>
    <row r="7017" spans="28:35" ht="15" hidden="1" customHeight="1">
      <c r="AB7017" s="9"/>
      <c r="AC7017" s="9"/>
      <c r="AD7017" s="9"/>
      <c r="AF7017" s="10"/>
      <c r="AG7017" s="10"/>
      <c r="AH7017" s="10"/>
      <c r="AI7017" s="10"/>
    </row>
    <row r="7018" spans="28:35" ht="15" hidden="1" customHeight="1">
      <c r="AB7018" s="9"/>
      <c r="AC7018" s="9"/>
      <c r="AD7018" s="9"/>
      <c r="AF7018" s="10"/>
      <c r="AG7018" s="10"/>
      <c r="AH7018" s="10"/>
      <c r="AI7018" s="10"/>
    </row>
    <row r="7019" spans="28:35" ht="15" hidden="1" customHeight="1">
      <c r="AB7019" s="9"/>
      <c r="AC7019" s="9"/>
      <c r="AD7019" s="9"/>
      <c r="AF7019" s="10"/>
      <c r="AG7019" s="10"/>
      <c r="AH7019" s="10"/>
      <c r="AI7019" s="10"/>
    </row>
    <row r="7020" spans="28:35" ht="15" hidden="1" customHeight="1">
      <c r="AB7020" s="9"/>
      <c r="AC7020" s="9"/>
      <c r="AD7020" s="9"/>
      <c r="AF7020" s="10"/>
      <c r="AG7020" s="10"/>
      <c r="AH7020" s="10"/>
      <c r="AI7020" s="10"/>
    </row>
    <row r="7021" spans="28:35" ht="15" hidden="1" customHeight="1">
      <c r="AB7021" s="9"/>
      <c r="AC7021" s="9"/>
      <c r="AD7021" s="9"/>
      <c r="AF7021" s="10"/>
      <c r="AG7021" s="10"/>
      <c r="AH7021" s="10"/>
      <c r="AI7021" s="10"/>
    </row>
    <row r="7022" spans="28:35" ht="15" hidden="1" customHeight="1">
      <c r="AB7022" s="9"/>
      <c r="AC7022" s="9"/>
      <c r="AD7022" s="9"/>
      <c r="AF7022" s="10"/>
      <c r="AG7022" s="10"/>
      <c r="AH7022" s="10"/>
      <c r="AI7022" s="10"/>
    </row>
    <row r="7023" spans="28:35" ht="15" hidden="1" customHeight="1">
      <c r="AB7023" s="9"/>
      <c r="AC7023" s="9"/>
      <c r="AD7023" s="9"/>
      <c r="AF7023" s="10"/>
      <c r="AG7023" s="10"/>
      <c r="AH7023" s="10"/>
      <c r="AI7023" s="10"/>
    </row>
    <row r="7024" spans="28:35" ht="15" hidden="1" customHeight="1">
      <c r="AB7024" s="9"/>
      <c r="AC7024" s="9"/>
      <c r="AD7024" s="9"/>
      <c r="AF7024" s="10"/>
      <c r="AG7024" s="10"/>
      <c r="AH7024" s="10"/>
      <c r="AI7024" s="10"/>
    </row>
    <row r="7025" spans="28:35" ht="15" hidden="1" customHeight="1">
      <c r="AB7025" s="9"/>
      <c r="AC7025" s="9"/>
      <c r="AD7025" s="9"/>
      <c r="AF7025" s="10"/>
      <c r="AG7025" s="10"/>
      <c r="AH7025" s="10"/>
      <c r="AI7025" s="10"/>
    </row>
    <row r="7026" spans="28:35" ht="15" hidden="1" customHeight="1">
      <c r="AB7026" s="9"/>
      <c r="AC7026" s="9"/>
      <c r="AD7026" s="9"/>
      <c r="AF7026" s="10"/>
      <c r="AG7026" s="10"/>
      <c r="AH7026" s="10"/>
      <c r="AI7026" s="10"/>
    </row>
    <row r="7027" spans="28:35" ht="15" hidden="1" customHeight="1">
      <c r="AB7027" s="9"/>
      <c r="AC7027" s="9"/>
      <c r="AD7027" s="9"/>
      <c r="AF7027" s="10"/>
      <c r="AG7027" s="10"/>
      <c r="AH7027" s="10"/>
      <c r="AI7027" s="10"/>
    </row>
    <row r="7028" spans="28:35" ht="15" hidden="1" customHeight="1">
      <c r="AB7028" s="9"/>
      <c r="AC7028" s="9"/>
      <c r="AD7028" s="9"/>
      <c r="AF7028" s="10"/>
      <c r="AG7028" s="10"/>
      <c r="AH7028" s="10"/>
      <c r="AI7028" s="10"/>
    </row>
    <row r="7029" spans="28:35" ht="15" hidden="1" customHeight="1">
      <c r="AB7029" s="9"/>
      <c r="AC7029" s="9"/>
      <c r="AD7029" s="9"/>
      <c r="AF7029" s="10"/>
      <c r="AG7029" s="10"/>
      <c r="AH7029" s="10"/>
      <c r="AI7029" s="10"/>
    </row>
    <row r="7030" spans="28:35" ht="15" hidden="1" customHeight="1">
      <c r="AB7030" s="9"/>
      <c r="AC7030" s="9"/>
      <c r="AD7030" s="9"/>
      <c r="AF7030" s="10"/>
      <c r="AG7030" s="10"/>
      <c r="AH7030" s="10"/>
      <c r="AI7030" s="10"/>
    </row>
    <row r="7031" spans="28:35" ht="15" hidden="1" customHeight="1">
      <c r="AB7031" s="9"/>
      <c r="AC7031" s="9"/>
      <c r="AD7031" s="9"/>
      <c r="AF7031" s="10"/>
      <c r="AG7031" s="10"/>
      <c r="AH7031" s="10"/>
      <c r="AI7031" s="10"/>
    </row>
    <row r="7032" spans="28:35" ht="15" hidden="1" customHeight="1">
      <c r="AB7032" s="9"/>
      <c r="AC7032" s="9"/>
      <c r="AD7032" s="9"/>
      <c r="AF7032" s="10"/>
      <c r="AG7032" s="10"/>
      <c r="AH7032" s="10"/>
      <c r="AI7032" s="10"/>
    </row>
    <row r="7033" spans="28:35" ht="15" hidden="1" customHeight="1">
      <c r="AB7033" s="9"/>
      <c r="AC7033" s="9"/>
      <c r="AD7033" s="9"/>
      <c r="AF7033" s="10"/>
      <c r="AG7033" s="10"/>
      <c r="AH7033" s="10"/>
      <c r="AI7033" s="10"/>
    </row>
    <row r="7034" spans="28:35" ht="15" hidden="1" customHeight="1">
      <c r="AB7034" s="9"/>
      <c r="AC7034" s="9"/>
      <c r="AD7034" s="9"/>
      <c r="AF7034" s="10"/>
      <c r="AG7034" s="10"/>
      <c r="AH7034" s="10"/>
      <c r="AI7034" s="10"/>
    </row>
    <row r="7035" spans="28:35" ht="15" hidden="1" customHeight="1">
      <c r="AB7035" s="9"/>
      <c r="AC7035" s="9"/>
      <c r="AD7035" s="9"/>
      <c r="AF7035" s="10"/>
      <c r="AG7035" s="10"/>
      <c r="AH7035" s="10"/>
      <c r="AI7035" s="10"/>
    </row>
    <row r="7036" spans="28:35" ht="15" hidden="1" customHeight="1">
      <c r="AB7036" s="9"/>
      <c r="AC7036" s="9"/>
      <c r="AD7036" s="9"/>
      <c r="AF7036" s="10"/>
      <c r="AG7036" s="10"/>
      <c r="AH7036" s="10"/>
      <c r="AI7036" s="10"/>
    </row>
    <row r="7037" spans="28:35" ht="15" hidden="1" customHeight="1">
      <c r="AB7037" s="9"/>
      <c r="AC7037" s="9"/>
      <c r="AD7037" s="9"/>
      <c r="AF7037" s="10"/>
      <c r="AG7037" s="10"/>
      <c r="AH7037" s="10"/>
      <c r="AI7037" s="10"/>
    </row>
    <row r="7038" spans="28:35" ht="15" hidden="1" customHeight="1">
      <c r="AB7038" s="9"/>
      <c r="AC7038" s="9"/>
      <c r="AD7038" s="9"/>
      <c r="AF7038" s="10"/>
      <c r="AG7038" s="10"/>
      <c r="AH7038" s="10"/>
      <c r="AI7038" s="10"/>
    </row>
    <row r="7039" spans="28:35" ht="15" hidden="1" customHeight="1">
      <c r="AB7039" s="9"/>
      <c r="AC7039" s="9"/>
      <c r="AD7039" s="9"/>
      <c r="AF7039" s="10"/>
      <c r="AG7039" s="10"/>
      <c r="AH7039" s="10"/>
      <c r="AI7039" s="10"/>
    </row>
    <row r="7040" spans="28:35" ht="15" hidden="1" customHeight="1">
      <c r="AB7040" s="9"/>
      <c r="AC7040" s="9"/>
      <c r="AD7040" s="9"/>
      <c r="AF7040" s="10"/>
      <c r="AG7040" s="10"/>
      <c r="AH7040" s="10"/>
      <c r="AI7040" s="10"/>
    </row>
    <row r="7041" spans="28:35" ht="15" hidden="1" customHeight="1">
      <c r="AB7041" s="9"/>
      <c r="AC7041" s="9"/>
      <c r="AD7041" s="9"/>
      <c r="AF7041" s="10"/>
      <c r="AG7041" s="10"/>
      <c r="AH7041" s="10"/>
      <c r="AI7041" s="10"/>
    </row>
    <row r="7042" spans="28:35" ht="15" hidden="1" customHeight="1">
      <c r="AB7042" s="9"/>
      <c r="AC7042" s="9"/>
      <c r="AD7042" s="9"/>
      <c r="AF7042" s="10"/>
      <c r="AG7042" s="10"/>
      <c r="AH7042" s="10"/>
      <c r="AI7042" s="10"/>
    </row>
    <row r="7043" spans="28:35" ht="15" hidden="1" customHeight="1">
      <c r="AB7043" s="9"/>
      <c r="AC7043" s="9"/>
      <c r="AD7043" s="9"/>
      <c r="AF7043" s="10"/>
      <c r="AG7043" s="10"/>
      <c r="AH7043" s="10"/>
      <c r="AI7043" s="10"/>
    </row>
    <row r="7044" spans="28:35" ht="15" hidden="1" customHeight="1">
      <c r="AB7044" s="9"/>
      <c r="AC7044" s="9"/>
      <c r="AD7044" s="9"/>
      <c r="AF7044" s="10"/>
      <c r="AG7044" s="10"/>
      <c r="AH7044" s="10"/>
      <c r="AI7044" s="10"/>
    </row>
    <row r="7045" spans="28:35" ht="15" hidden="1" customHeight="1">
      <c r="AB7045" s="9"/>
      <c r="AC7045" s="9"/>
      <c r="AD7045" s="9"/>
      <c r="AF7045" s="10"/>
      <c r="AG7045" s="10"/>
      <c r="AH7045" s="10"/>
      <c r="AI7045" s="10"/>
    </row>
    <row r="7046" spans="28:35" ht="15" hidden="1" customHeight="1">
      <c r="AB7046" s="9"/>
      <c r="AC7046" s="9"/>
      <c r="AD7046" s="9"/>
      <c r="AF7046" s="10"/>
      <c r="AG7046" s="10"/>
      <c r="AH7046" s="10"/>
      <c r="AI7046" s="10"/>
    </row>
    <row r="7047" spans="28:35" ht="15" hidden="1" customHeight="1">
      <c r="AB7047" s="9"/>
      <c r="AC7047" s="9"/>
      <c r="AD7047" s="9"/>
      <c r="AF7047" s="10"/>
      <c r="AG7047" s="10"/>
      <c r="AH7047" s="10"/>
      <c r="AI7047" s="10"/>
    </row>
    <row r="7048" spans="28:35" ht="15" hidden="1" customHeight="1">
      <c r="AB7048" s="9"/>
      <c r="AC7048" s="9"/>
      <c r="AD7048" s="9"/>
      <c r="AF7048" s="10"/>
      <c r="AG7048" s="10"/>
      <c r="AH7048" s="10"/>
      <c r="AI7048" s="10"/>
    </row>
    <row r="7049" spans="28:35" ht="15" hidden="1" customHeight="1">
      <c r="AB7049" s="9"/>
      <c r="AC7049" s="9"/>
      <c r="AD7049" s="9"/>
      <c r="AF7049" s="10"/>
      <c r="AG7049" s="10"/>
      <c r="AH7049" s="10"/>
      <c r="AI7049" s="10"/>
    </row>
    <row r="7050" spans="28:35" ht="15" hidden="1" customHeight="1">
      <c r="AB7050" s="9"/>
      <c r="AC7050" s="9"/>
      <c r="AD7050" s="9"/>
      <c r="AF7050" s="10"/>
      <c r="AG7050" s="10"/>
      <c r="AH7050" s="10"/>
      <c r="AI7050" s="10"/>
    </row>
    <row r="7051" spans="28:35" ht="15" hidden="1" customHeight="1">
      <c r="AB7051" s="9"/>
      <c r="AC7051" s="9"/>
      <c r="AD7051" s="9"/>
      <c r="AF7051" s="10"/>
      <c r="AG7051" s="10"/>
      <c r="AH7051" s="10"/>
      <c r="AI7051" s="10"/>
    </row>
    <row r="7052" spans="28:35" ht="15" hidden="1" customHeight="1">
      <c r="AB7052" s="9"/>
      <c r="AC7052" s="9"/>
      <c r="AD7052" s="9"/>
      <c r="AF7052" s="10"/>
      <c r="AG7052" s="10"/>
      <c r="AH7052" s="10"/>
      <c r="AI7052" s="10"/>
    </row>
    <row r="7053" spans="28:35" ht="15" hidden="1" customHeight="1">
      <c r="AB7053" s="9"/>
      <c r="AC7053" s="9"/>
      <c r="AD7053" s="9"/>
      <c r="AF7053" s="10"/>
      <c r="AG7053" s="10"/>
      <c r="AH7053" s="10"/>
      <c r="AI7053" s="10"/>
    </row>
    <row r="7054" spans="28:35" ht="15" hidden="1" customHeight="1">
      <c r="AB7054" s="9"/>
      <c r="AC7054" s="9"/>
      <c r="AD7054" s="9"/>
      <c r="AF7054" s="10"/>
      <c r="AG7054" s="10"/>
      <c r="AH7054" s="10"/>
      <c r="AI7054" s="10"/>
    </row>
    <row r="7055" spans="28:35" ht="15" hidden="1" customHeight="1">
      <c r="AB7055" s="9"/>
      <c r="AC7055" s="9"/>
      <c r="AD7055" s="9"/>
      <c r="AF7055" s="10"/>
      <c r="AG7055" s="10"/>
      <c r="AH7055" s="10"/>
      <c r="AI7055" s="10"/>
    </row>
    <row r="7056" spans="28:35" ht="15" hidden="1" customHeight="1">
      <c r="AB7056" s="9"/>
      <c r="AC7056" s="9"/>
      <c r="AD7056" s="9"/>
      <c r="AF7056" s="10"/>
      <c r="AG7056" s="10"/>
      <c r="AH7056" s="10"/>
      <c r="AI7056" s="10"/>
    </row>
    <row r="7057" spans="28:35" ht="15" hidden="1" customHeight="1">
      <c r="AB7057" s="9"/>
      <c r="AC7057" s="9"/>
      <c r="AD7057" s="9"/>
      <c r="AF7057" s="10"/>
      <c r="AG7057" s="10"/>
      <c r="AH7057" s="10"/>
      <c r="AI7057" s="10"/>
    </row>
    <row r="7058" spans="28:35" ht="15" hidden="1" customHeight="1">
      <c r="AB7058" s="9"/>
      <c r="AC7058" s="9"/>
      <c r="AD7058" s="9"/>
      <c r="AF7058" s="10"/>
      <c r="AG7058" s="10"/>
      <c r="AH7058" s="10"/>
      <c r="AI7058" s="10"/>
    </row>
    <row r="7059" spans="28:35" ht="15" hidden="1" customHeight="1">
      <c r="AB7059" s="9"/>
      <c r="AC7059" s="9"/>
      <c r="AD7059" s="9"/>
      <c r="AF7059" s="10"/>
      <c r="AG7059" s="10"/>
      <c r="AH7059" s="10"/>
      <c r="AI7059" s="10"/>
    </row>
    <row r="7060" spans="28:35" ht="15" hidden="1" customHeight="1">
      <c r="AB7060" s="9"/>
      <c r="AC7060" s="9"/>
      <c r="AD7060" s="9"/>
      <c r="AF7060" s="10"/>
      <c r="AG7060" s="10"/>
      <c r="AH7060" s="10"/>
      <c r="AI7060" s="10"/>
    </row>
    <row r="7061" spans="28:35" ht="15" hidden="1" customHeight="1">
      <c r="AB7061" s="9"/>
      <c r="AC7061" s="9"/>
      <c r="AD7061" s="9"/>
      <c r="AF7061" s="10"/>
      <c r="AG7061" s="10"/>
      <c r="AH7061" s="10"/>
      <c r="AI7061" s="10"/>
    </row>
    <row r="7062" spans="28:35" ht="15" hidden="1" customHeight="1">
      <c r="AB7062" s="9"/>
      <c r="AC7062" s="9"/>
      <c r="AD7062" s="9"/>
      <c r="AF7062" s="10"/>
      <c r="AG7062" s="10"/>
      <c r="AH7062" s="10"/>
      <c r="AI7062" s="10"/>
    </row>
    <row r="7063" spans="28:35" ht="15" hidden="1" customHeight="1">
      <c r="AB7063" s="9"/>
      <c r="AC7063" s="9"/>
      <c r="AD7063" s="9"/>
      <c r="AF7063" s="10"/>
      <c r="AG7063" s="10"/>
      <c r="AH7063" s="10"/>
      <c r="AI7063" s="10"/>
    </row>
    <row r="7064" spans="28:35" ht="15" hidden="1" customHeight="1">
      <c r="AB7064" s="9"/>
      <c r="AC7064" s="9"/>
      <c r="AD7064" s="9"/>
      <c r="AF7064" s="10"/>
      <c r="AG7064" s="10"/>
      <c r="AH7064" s="10"/>
      <c r="AI7064" s="10"/>
    </row>
    <row r="7065" spans="28:35" ht="15" hidden="1" customHeight="1">
      <c r="AB7065" s="9"/>
      <c r="AC7065" s="9"/>
      <c r="AD7065" s="9"/>
      <c r="AF7065" s="10"/>
      <c r="AG7065" s="10"/>
      <c r="AH7065" s="10"/>
      <c r="AI7065" s="10"/>
    </row>
    <row r="7066" spans="28:35" ht="15" hidden="1" customHeight="1">
      <c r="AB7066" s="9"/>
      <c r="AC7066" s="9"/>
      <c r="AD7066" s="9"/>
      <c r="AF7066" s="10"/>
      <c r="AG7066" s="10"/>
      <c r="AH7066" s="10"/>
      <c r="AI7066" s="10"/>
    </row>
    <row r="7067" spans="28:35" ht="15" hidden="1" customHeight="1">
      <c r="AB7067" s="9"/>
      <c r="AC7067" s="9"/>
      <c r="AD7067" s="9"/>
      <c r="AF7067" s="10"/>
      <c r="AG7067" s="10"/>
      <c r="AH7067" s="10"/>
      <c r="AI7067" s="10"/>
    </row>
    <row r="7068" spans="28:35" ht="15" hidden="1" customHeight="1">
      <c r="AB7068" s="9"/>
      <c r="AC7068" s="9"/>
      <c r="AD7068" s="9"/>
      <c r="AF7068" s="10"/>
      <c r="AG7068" s="10"/>
      <c r="AH7068" s="10"/>
      <c r="AI7068" s="10"/>
    </row>
    <row r="7069" spans="28:35" ht="15" hidden="1" customHeight="1">
      <c r="AB7069" s="9"/>
      <c r="AC7069" s="9"/>
      <c r="AD7069" s="9"/>
      <c r="AF7069" s="10"/>
      <c r="AG7069" s="10"/>
      <c r="AH7069" s="10"/>
      <c r="AI7069" s="10"/>
    </row>
    <row r="7070" spans="28:35" ht="15" hidden="1" customHeight="1">
      <c r="AB7070" s="9"/>
      <c r="AC7070" s="9"/>
      <c r="AD7070" s="9"/>
      <c r="AF7070" s="10"/>
      <c r="AG7070" s="10"/>
      <c r="AH7070" s="10"/>
      <c r="AI7070" s="10"/>
    </row>
    <row r="7071" spans="28:35" ht="15" hidden="1" customHeight="1">
      <c r="AB7071" s="9"/>
      <c r="AC7071" s="9"/>
      <c r="AD7071" s="9"/>
      <c r="AF7071" s="10"/>
      <c r="AG7071" s="10"/>
      <c r="AH7071" s="10"/>
      <c r="AI7071" s="10"/>
    </row>
    <row r="7072" spans="28:35" ht="15" hidden="1" customHeight="1">
      <c r="AB7072" s="9"/>
      <c r="AC7072" s="9"/>
      <c r="AD7072" s="9"/>
      <c r="AF7072" s="10"/>
      <c r="AG7072" s="10"/>
      <c r="AH7072" s="10"/>
      <c r="AI7072" s="10"/>
    </row>
    <row r="7073" spans="28:35" ht="15" hidden="1" customHeight="1">
      <c r="AB7073" s="9"/>
      <c r="AC7073" s="9"/>
      <c r="AD7073" s="9"/>
      <c r="AF7073" s="10"/>
      <c r="AG7073" s="10"/>
      <c r="AH7073" s="10"/>
      <c r="AI7073" s="10"/>
    </row>
    <row r="7074" spans="28:35" ht="15" hidden="1" customHeight="1">
      <c r="AB7074" s="9"/>
      <c r="AC7074" s="9"/>
      <c r="AD7074" s="9"/>
      <c r="AF7074" s="10"/>
      <c r="AG7074" s="10"/>
      <c r="AH7074" s="10"/>
      <c r="AI7074" s="10"/>
    </row>
    <row r="7075" spans="28:35" ht="15" hidden="1" customHeight="1">
      <c r="AB7075" s="9"/>
      <c r="AC7075" s="9"/>
      <c r="AD7075" s="9"/>
      <c r="AF7075" s="10"/>
      <c r="AG7075" s="10"/>
      <c r="AH7075" s="10"/>
      <c r="AI7075" s="10"/>
    </row>
    <row r="7076" spans="28:35" ht="15" hidden="1" customHeight="1">
      <c r="AB7076" s="9"/>
      <c r="AC7076" s="9"/>
      <c r="AD7076" s="9"/>
      <c r="AF7076" s="10"/>
      <c r="AG7076" s="10"/>
      <c r="AH7076" s="10"/>
      <c r="AI7076" s="10"/>
    </row>
    <row r="7077" spans="28:35" ht="15" hidden="1" customHeight="1">
      <c r="AB7077" s="9"/>
      <c r="AC7077" s="9"/>
      <c r="AD7077" s="9"/>
      <c r="AF7077" s="10"/>
      <c r="AG7077" s="10"/>
      <c r="AH7077" s="10"/>
      <c r="AI7077" s="10"/>
    </row>
    <row r="7078" spans="28:35" ht="15" hidden="1" customHeight="1">
      <c r="AB7078" s="9"/>
      <c r="AC7078" s="9"/>
      <c r="AD7078" s="9"/>
      <c r="AF7078" s="10"/>
      <c r="AG7078" s="10"/>
      <c r="AH7078" s="10"/>
      <c r="AI7078" s="10"/>
    </row>
    <row r="7079" spans="28:35" ht="15" hidden="1" customHeight="1">
      <c r="AB7079" s="9"/>
      <c r="AC7079" s="9"/>
      <c r="AD7079" s="9"/>
      <c r="AF7079" s="10"/>
      <c r="AG7079" s="10"/>
      <c r="AH7079" s="10"/>
      <c r="AI7079" s="10"/>
    </row>
    <row r="7080" spans="28:35" ht="15" hidden="1" customHeight="1">
      <c r="AB7080" s="9"/>
      <c r="AC7080" s="9"/>
      <c r="AD7080" s="9"/>
      <c r="AF7080" s="10"/>
      <c r="AG7080" s="10"/>
      <c r="AH7080" s="10"/>
      <c r="AI7080" s="10"/>
    </row>
    <row r="7081" spans="28:35" ht="15" hidden="1" customHeight="1">
      <c r="AB7081" s="9"/>
      <c r="AC7081" s="9"/>
      <c r="AD7081" s="9"/>
      <c r="AF7081" s="10"/>
      <c r="AG7081" s="10"/>
      <c r="AH7081" s="10"/>
      <c r="AI7081" s="10"/>
    </row>
    <row r="7082" spans="28:35" ht="15" hidden="1" customHeight="1">
      <c r="AB7082" s="9"/>
      <c r="AC7082" s="9"/>
      <c r="AD7082" s="9"/>
      <c r="AF7082" s="10"/>
      <c r="AG7082" s="10"/>
      <c r="AH7082" s="10"/>
      <c r="AI7082" s="10"/>
    </row>
    <row r="7083" spans="28:35" ht="15" hidden="1" customHeight="1">
      <c r="AB7083" s="9"/>
      <c r="AC7083" s="9"/>
      <c r="AD7083" s="9"/>
      <c r="AF7083" s="10"/>
      <c r="AG7083" s="10"/>
      <c r="AH7083" s="10"/>
      <c r="AI7083" s="10"/>
    </row>
    <row r="7084" spans="28:35" ht="15" hidden="1" customHeight="1">
      <c r="AB7084" s="9"/>
      <c r="AC7084" s="9"/>
      <c r="AD7084" s="9"/>
      <c r="AF7084" s="10"/>
      <c r="AG7084" s="10"/>
      <c r="AH7084" s="10"/>
      <c r="AI7084" s="10"/>
    </row>
    <row r="7085" spans="28:35" ht="15" hidden="1" customHeight="1">
      <c r="AB7085" s="9"/>
      <c r="AC7085" s="9"/>
      <c r="AD7085" s="9"/>
      <c r="AF7085" s="10"/>
      <c r="AG7085" s="10"/>
      <c r="AH7085" s="10"/>
      <c r="AI7085" s="10"/>
    </row>
    <row r="7086" spans="28:35" ht="15" hidden="1" customHeight="1">
      <c r="AB7086" s="9"/>
      <c r="AC7086" s="9"/>
      <c r="AD7086" s="9"/>
      <c r="AF7086" s="10"/>
      <c r="AG7086" s="10"/>
      <c r="AH7086" s="10"/>
      <c r="AI7086" s="10"/>
    </row>
    <row r="7087" spans="28:35" ht="15" hidden="1" customHeight="1">
      <c r="AB7087" s="9"/>
      <c r="AC7087" s="9"/>
      <c r="AD7087" s="9"/>
      <c r="AF7087" s="10"/>
      <c r="AG7087" s="10"/>
      <c r="AH7087" s="10"/>
      <c r="AI7087" s="10"/>
    </row>
    <row r="7088" spans="28:35" ht="15" hidden="1" customHeight="1">
      <c r="AB7088" s="9"/>
      <c r="AC7088" s="9"/>
      <c r="AD7088" s="9"/>
      <c r="AF7088" s="10"/>
      <c r="AG7088" s="10"/>
      <c r="AH7088" s="10"/>
      <c r="AI7088" s="10"/>
    </row>
    <row r="7089" spans="28:35" ht="15" hidden="1" customHeight="1">
      <c r="AB7089" s="9"/>
      <c r="AC7089" s="9"/>
      <c r="AD7089" s="9"/>
      <c r="AF7089" s="10"/>
      <c r="AG7089" s="10"/>
      <c r="AH7089" s="10"/>
      <c r="AI7089" s="10"/>
    </row>
    <row r="7090" spans="28:35" ht="15" hidden="1" customHeight="1">
      <c r="AB7090" s="9"/>
      <c r="AC7090" s="9"/>
      <c r="AD7090" s="9"/>
      <c r="AF7090" s="10"/>
      <c r="AG7090" s="10"/>
      <c r="AH7090" s="10"/>
      <c r="AI7090" s="10"/>
    </row>
    <row r="7091" spans="28:35" ht="15" hidden="1" customHeight="1">
      <c r="AB7091" s="9"/>
      <c r="AC7091" s="9"/>
      <c r="AD7091" s="9"/>
      <c r="AF7091" s="10"/>
      <c r="AG7091" s="10"/>
      <c r="AH7091" s="10"/>
      <c r="AI7091" s="10"/>
    </row>
    <row r="7092" spans="28:35" ht="15" hidden="1" customHeight="1">
      <c r="AB7092" s="9"/>
      <c r="AC7092" s="9"/>
      <c r="AD7092" s="9"/>
      <c r="AF7092" s="10"/>
      <c r="AG7092" s="10"/>
      <c r="AH7092" s="10"/>
      <c r="AI7092" s="10"/>
    </row>
    <row r="7093" spans="28:35" ht="15" hidden="1" customHeight="1">
      <c r="AB7093" s="9"/>
      <c r="AC7093" s="9"/>
      <c r="AD7093" s="9"/>
      <c r="AF7093" s="10"/>
      <c r="AG7093" s="10"/>
      <c r="AH7093" s="10"/>
      <c r="AI7093" s="10"/>
    </row>
    <row r="7094" spans="28:35" ht="15" hidden="1" customHeight="1">
      <c r="AB7094" s="9"/>
      <c r="AC7094" s="9"/>
      <c r="AD7094" s="9"/>
      <c r="AF7094" s="10"/>
      <c r="AG7094" s="10"/>
      <c r="AH7094" s="10"/>
      <c r="AI7094" s="10"/>
    </row>
    <row r="7095" spans="28:35" ht="15" hidden="1" customHeight="1">
      <c r="AB7095" s="9"/>
      <c r="AC7095" s="9"/>
      <c r="AD7095" s="9"/>
      <c r="AF7095" s="10"/>
      <c r="AG7095" s="10"/>
      <c r="AH7095" s="10"/>
      <c r="AI7095" s="10"/>
    </row>
    <row r="7096" spans="28:35" ht="15" hidden="1" customHeight="1">
      <c r="AB7096" s="9"/>
      <c r="AC7096" s="9"/>
      <c r="AD7096" s="9"/>
      <c r="AF7096" s="10"/>
      <c r="AG7096" s="10"/>
      <c r="AH7096" s="10"/>
      <c r="AI7096" s="10"/>
    </row>
    <row r="7097" spans="28:35" ht="15" hidden="1" customHeight="1">
      <c r="AB7097" s="9"/>
      <c r="AC7097" s="9"/>
      <c r="AD7097" s="9"/>
      <c r="AF7097" s="10"/>
      <c r="AG7097" s="10"/>
      <c r="AH7097" s="10"/>
      <c r="AI7097" s="10"/>
    </row>
    <row r="7098" spans="28:35" ht="15" hidden="1" customHeight="1">
      <c r="AB7098" s="9"/>
      <c r="AC7098" s="9"/>
      <c r="AD7098" s="9"/>
      <c r="AF7098" s="10"/>
      <c r="AG7098" s="10"/>
      <c r="AH7098" s="10"/>
      <c r="AI7098" s="10"/>
    </row>
    <row r="7099" spans="28:35" ht="15" hidden="1" customHeight="1">
      <c r="AB7099" s="9"/>
      <c r="AC7099" s="9"/>
      <c r="AD7099" s="9"/>
      <c r="AF7099" s="10"/>
      <c r="AG7099" s="10"/>
      <c r="AH7099" s="10"/>
      <c r="AI7099" s="10"/>
    </row>
    <row r="7100" spans="28:35" ht="15" hidden="1" customHeight="1">
      <c r="AB7100" s="9"/>
      <c r="AC7100" s="9"/>
      <c r="AD7100" s="9"/>
      <c r="AF7100" s="10"/>
      <c r="AG7100" s="10"/>
      <c r="AH7100" s="10"/>
      <c r="AI7100" s="10"/>
    </row>
    <row r="7101" spans="28:35" ht="15" hidden="1" customHeight="1">
      <c r="AB7101" s="9"/>
      <c r="AC7101" s="9"/>
      <c r="AD7101" s="9"/>
      <c r="AF7101" s="10"/>
      <c r="AG7101" s="10"/>
      <c r="AH7101" s="10"/>
      <c r="AI7101" s="10"/>
    </row>
    <row r="7102" spans="28:35" ht="15" hidden="1" customHeight="1">
      <c r="AB7102" s="9"/>
      <c r="AC7102" s="9"/>
      <c r="AD7102" s="9"/>
      <c r="AF7102" s="10"/>
      <c r="AG7102" s="10"/>
      <c r="AH7102" s="10"/>
      <c r="AI7102" s="10"/>
    </row>
    <row r="7103" spans="28:35" ht="15" hidden="1" customHeight="1">
      <c r="AB7103" s="9"/>
      <c r="AC7103" s="9"/>
      <c r="AD7103" s="9"/>
      <c r="AF7103" s="10"/>
      <c r="AG7103" s="10"/>
      <c r="AH7103" s="10"/>
      <c r="AI7103" s="10"/>
    </row>
    <row r="7104" spans="28:35" ht="15" hidden="1" customHeight="1">
      <c r="AB7104" s="9"/>
      <c r="AC7104" s="9"/>
      <c r="AD7104" s="9"/>
      <c r="AF7104" s="10"/>
      <c r="AG7104" s="10"/>
      <c r="AH7104" s="10"/>
      <c r="AI7104" s="10"/>
    </row>
    <row r="7105" spans="28:35" ht="15" hidden="1" customHeight="1">
      <c r="AB7105" s="9"/>
      <c r="AC7105" s="9"/>
      <c r="AD7105" s="9"/>
      <c r="AF7105" s="10"/>
      <c r="AG7105" s="10"/>
      <c r="AH7105" s="10"/>
      <c r="AI7105" s="10"/>
    </row>
    <row r="7106" spans="28:35" ht="15" hidden="1" customHeight="1">
      <c r="AB7106" s="9"/>
      <c r="AC7106" s="9"/>
      <c r="AD7106" s="9"/>
      <c r="AF7106" s="10"/>
      <c r="AG7106" s="10"/>
      <c r="AH7106" s="10"/>
      <c r="AI7106" s="10"/>
    </row>
    <row r="7107" spans="28:35" ht="15" hidden="1" customHeight="1">
      <c r="AB7107" s="9"/>
      <c r="AC7107" s="9"/>
      <c r="AD7107" s="9"/>
      <c r="AF7107" s="10"/>
      <c r="AG7107" s="10"/>
      <c r="AH7107" s="10"/>
      <c r="AI7107" s="10"/>
    </row>
    <row r="7108" spans="28:35" ht="15" hidden="1" customHeight="1">
      <c r="AB7108" s="9"/>
      <c r="AC7108" s="9"/>
      <c r="AD7108" s="9"/>
      <c r="AF7108" s="10"/>
      <c r="AG7108" s="10"/>
      <c r="AH7108" s="10"/>
      <c r="AI7108" s="10"/>
    </row>
    <row r="7109" spans="28:35" ht="15" hidden="1" customHeight="1">
      <c r="AB7109" s="9"/>
      <c r="AC7109" s="9"/>
      <c r="AD7109" s="9"/>
      <c r="AF7109" s="10"/>
      <c r="AG7109" s="10"/>
      <c r="AH7109" s="10"/>
      <c r="AI7109" s="10"/>
    </row>
    <row r="7110" spans="28:35" ht="15" hidden="1" customHeight="1">
      <c r="AB7110" s="9"/>
      <c r="AC7110" s="9"/>
      <c r="AD7110" s="9"/>
      <c r="AF7110" s="10"/>
      <c r="AG7110" s="10"/>
      <c r="AH7110" s="10"/>
      <c r="AI7110" s="10"/>
    </row>
    <row r="7111" spans="28:35" ht="15" hidden="1" customHeight="1">
      <c r="AB7111" s="9"/>
      <c r="AC7111" s="9"/>
      <c r="AD7111" s="9"/>
      <c r="AF7111" s="10"/>
      <c r="AG7111" s="10"/>
      <c r="AH7111" s="10"/>
      <c r="AI7111" s="10"/>
    </row>
    <row r="7112" spans="28:35" ht="15" hidden="1" customHeight="1">
      <c r="AB7112" s="9"/>
      <c r="AC7112" s="9"/>
      <c r="AD7112" s="9"/>
      <c r="AF7112" s="10"/>
      <c r="AG7112" s="10"/>
      <c r="AH7112" s="10"/>
      <c r="AI7112" s="10"/>
    </row>
    <row r="7113" spans="28:35" ht="15" hidden="1" customHeight="1">
      <c r="AB7113" s="9"/>
      <c r="AC7113" s="9"/>
      <c r="AD7113" s="9"/>
      <c r="AF7113" s="10"/>
      <c r="AG7113" s="10"/>
      <c r="AH7113" s="10"/>
      <c r="AI7113" s="10"/>
    </row>
    <row r="7114" spans="28:35" ht="15" hidden="1" customHeight="1">
      <c r="AB7114" s="9"/>
      <c r="AC7114" s="9"/>
      <c r="AD7114" s="9"/>
      <c r="AF7114" s="10"/>
      <c r="AG7114" s="10"/>
      <c r="AH7114" s="10"/>
      <c r="AI7114" s="10"/>
    </row>
    <row r="7115" spans="28:35" ht="15" hidden="1" customHeight="1">
      <c r="AB7115" s="9"/>
      <c r="AC7115" s="9"/>
      <c r="AD7115" s="9"/>
      <c r="AF7115" s="10"/>
      <c r="AG7115" s="10"/>
      <c r="AH7115" s="10"/>
      <c r="AI7115" s="10"/>
    </row>
    <row r="7116" spans="28:35" ht="15" hidden="1" customHeight="1">
      <c r="AB7116" s="9"/>
      <c r="AC7116" s="9"/>
      <c r="AD7116" s="9"/>
      <c r="AF7116" s="10"/>
      <c r="AG7116" s="10"/>
      <c r="AH7116" s="10"/>
      <c r="AI7116" s="10"/>
    </row>
    <row r="7117" spans="28:35" ht="15" hidden="1" customHeight="1">
      <c r="AB7117" s="9"/>
      <c r="AC7117" s="9"/>
      <c r="AD7117" s="9"/>
      <c r="AF7117" s="10"/>
      <c r="AG7117" s="10"/>
      <c r="AH7117" s="10"/>
      <c r="AI7117" s="10"/>
    </row>
    <row r="7118" spans="28:35" ht="15" hidden="1" customHeight="1">
      <c r="AB7118" s="9"/>
      <c r="AC7118" s="9"/>
      <c r="AD7118" s="9"/>
      <c r="AF7118" s="10"/>
      <c r="AG7118" s="10"/>
      <c r="AH7118" s="10"/>
      <c r="AI7118" s="10"/>
    </row>
    <row r="7119" spans="28:35" ht="15" hidden="1" customHeight="1">
      <c r="AB7119" s="9"/>
      <c r="AC7119" s="9"/>
      <c r="AD7119" s="9"/>
      <c r="AF7119" s="10"/>
      <c r="AG7119" s="10"/>
      <c r="AH7119" s="10"/>
      <c r="AI7119" s="10"/>
    </row>
    <row r="7120" spans="28:35" ht="15" hidden="1" customHeight="1">
      <c r="AB7120" s="9"/>
      <c r="AC7120" s="9"/>
      <c r="AD7120" s="9"/>
      <c r="AF7120" s="10"/>
      <c r="AG7120" s="10"/>
      <c r="AH7120" s="10"/>
      <c r="AI7120" s="10"/>
    </row>
    <row r="7121" spans="28:35" ht="15" hidden="1" customHeight="1">
      <c r="AB7121" s="9"/>
      <c r="AC7121" s="9"/>
      <c r="AD7121" s="9"/>
      <c r="AF7121" s="10"/>
      <c r="AG7121" s="10"/>
      <c r="AH7121" s="10"/>
      <c r="AI7121" s="10"/>
    </row>
    <row r="7122" spans="28:35" ht="15" hidden="1" customHeight="1">
      <c r="AB7122" s="9"/>
      <c r="AC7122" s="9"/>
      <c r="AD7122" s="9"/>
      <c r="AF7122" s="10"/>
      <c r="AG7122" s="10"/>
      <c r="AH7122" s="10"/>
      <c r="AI7122" s="10"/>
    </row>
    <row r="7123" spans="28:35" ht="15" hidden="1" customHeight="1">
      <c r="AB7123" s="9"/>
      <c r="AC7123" s="9"/>
      <c r="AD7123" s="9"/>
      <c r="AF7123" s="10"/>
      <c r="AG7123" s="10"/>
      <c r="AH7123" s="10"/>
      <c r="AI7123" s="10"/>
    </row>
    <row r="7124" spans="28:35" ht="15" hidden="1" customHeight="1">
      <c r="AB7124" s="9"/>
      <c r="AC7124" s="9"/>
      <c r="AD7124" s="9"/>
      <c r="AF7124" s="10"/>
      <c r="AG7124" s="10"/>
      <c r="AH7124" s="10"/>
      <c r="AI7124" s="10"/>
    </row>
    <row r="7125" spans="28:35" ht="15" hidden="1" customHeight="1">
      <c r="AB7125" s="9"/>
      <c r="AC7125" s="9"/>
      <c r="AD7125" s="9"/>
      <c r="AF7125" s="10"/>
      <c r="AG7125" s="10"/>
      <c r="AH7125" s="10"/>
      <c r="AI7125" s="10"/>
    </row>
    <row r="7126" spans="28:35" ht="15" hidden="1" customHeight="1">
      <c r="AB7126" s="9"/>
      <c r="AC7126" s="9"/>
      <c r="AD7126" s="9"/>
      <c r="AF7126" s="10"/>
      <c r="AG7126" s="10"/>
      <c r="AH7126" s="10"/>
      <c r="AI7126" s="10"/>
    </row>
    <row r="7127" spans="28:35" ht="15" hidden="1" customHeight="1">
      <c r="AB7127" s="9"/>
      <c r="AC7127" s="9"/>
      <c r="AD7127" s="9"/>
      <c r="AF7127" s="10"/>
      <c r="AG7127" s="10"/>
      <c r="AH7127" s="10"/>
      <c r="AI7127" s="10"/>
    </row>
    <row r="7128" spans="28:35" ht="15" hidden="1" customHeight="1">
      <c r="AB7128" s="9"/>
      <c r="AC7128" s="9"/>
      <c r="AD7128" s="9"/>
      <c r="AF7128" s="10"/>
      <c r="AG7128" s="10"/>
      <c r="AH7128" s="10"/>
      <c r="AI7128" s="10"/>
    </row>
    <row r="7129" spans="28:35" ht="15" hidden="1" customHeight="1">
      <c r="AB7129" s="9"/>
      <c r="AC7129" s="9"/>
      <c r="AD7129" s="9"/>
      <c r="AF7129" s="10"/>
      <c r="AG7129" s="10"/>
      <c r="AH7129" s="10"/>
      <c r="AI7129" s="10"/>
    </row>
    <row r="7130" spans="28:35" ht="15" hidden="1" customHeight="1">
      <c r="AB7130" s="9"/>
      <c r="AC7130" s="9"/>
      <c r="AD7130" s="9"/>
      <c r="AF7130" s="10"/>
      <c r="AG7130" s="10"/>
      <c r="AH7130" s="10"/>
      <c r="AI7130" s="10"/>
    </row>
    <row r="7131" spans="28:35" ht="15" hidden="1" customHeight="1">
      <c r="AB7131" s="9"/>
      <c r="AC7131" s="9"/>
      <c r="AD7131" s="9"/>
      <c r="AF7131" s="10"/>
      <c r="AG7131" s="10"/>
      <c r="AH7131" s="10"/>
      <c r="AI7131" s="10"/>
    </row>
    <row r="7132" spans="28:35" ht="15" hidden="1" customHeight="1">
      <c r="AB7132" s="9"/>
      <c r="AC7132" s="9"/>
      <c r="AD7132" s="9"/>
      <c r="AF7132" s="10"/>
      <c r="AG7132" s="10"/>
      <c r="AH7132" s="10"/>
      <c r="AI7132" s="10"/>
    </row>
    <row r="7133" spans="28:35" ht="15" hidden="1" customHeight="1">
      <c r="AB7133" s="9"/>
      <c r="AC7133" s="9"/>
      <c r="AD7133" s="9"/>
      <c r="AF7133" s="10"/>
      <c r="AG7133" s="10"/>
      <c r="AH7133" s="10"/>
      <c r="AI7133" s="10"/>
    </row>
    <row r="7134" spans="28:35" ht="15" hidden="1" customHeight="1">
      <c r="AB7134" s="9"/>
      <c r="AC7134" s="9"/>
      <c r="AD7134" s="9"/>
      <c r="AF7134" s="10"/>
      <c r="AG7134" s="10"/>
      <c r="AH7134" s="10"/>
      <c r="AI7134" s="10"/>
    </row>
    <row r="7135" spans="28:35" ht="15" hidden="1" customHeight="1">
      <c r="AB7135" s="9"/>
      <c r="AC7135" s="9"/>
      <c r="AD7135" s="9"/>
      <c r="AF7135" s="10"/>
      <c r="AG7135" s="10"/>
      <c r="AH7135" s="10"/>
      <c r="AI7135" s="10"/>
    </row>
    <row r="7136" spans="28:35" ht="15" hidden="1" customHeight="1">
      <c r="AB7136" s="9"/>
      <c r="AC7136" s="9"/>
      <c r="AD7136" s="9"/>
      <c r="AF7136" s="10"/>
      <c r="AG7136" s="10"/>
      <c r="AH7136" s="10"/>
      <c r="AI7136" s="10"/>
    </row>
    <row r="7137" spans="28:35" ht="15" hidden="1" customHeight="1">
      <c r="AB7137" s="9"/>
      <c r="AC7137" s="9"/>
      <c r="AD7137" s="9"/>
      <c r="AF7137" s="10"/>
      <c r="AG7137" s="10"/>
      <c r="AH7137" s="10"/>
      <c r="AI7137" s="10"/>
    </row>
    <row r="7138" spans="28:35" ht="15" hidden="1" customHeight="1">
      <c r="AB7138" s="9"/>
      <c r="AC7138" s="9"/>
      <c r="AD7138" s="9"/>
      <c r="AF7138" s="10"/>
      <c r="AG7138" s="10"/>
      <c r="AH7138" s="10"/>
      <c r="AI7138" s="10"/>
    </row>
    <row r="7139" spans="28:35" ht="15" hidden="1" customHeight="1">
      <c r="AB7139" s="9"/>
      <c r="AC7139" s="9"/>
      <c r="AD7139" s="9"/>
      <c r="AF7139" s="10"/>
      <c r="AG7139" s="10"/>
      <c r="AH7139" s="10"/>
      <c r="AI7139" s="10"/>
    </row>
    <row r="7140" spans="28:35" ht="15" hidden="1" customHeight="1">
      <c r="AB7140" s="9"/>
      <c r="AC7140" s="9"/>
      <c r="AD7140" s="9"/>
      <c r="AF7140" s="10"/>
      <c r="AG7140" s="10"/>
      <c r="AH7140" s="10"/>
      <c r="AI7140" s="10"/>
    </row>
    <row r="7141" spans="28:35" ht="15" hidden="1" customHeight="1">
      <c r="AB7141" s="9"/>
      <c r="AC7141" s="9"/>
      <c r="AD7141" s="9"/>
      <c r="AF7141" s="10"/>
      <c r="AG7141" s="10"/>
      <c r="AH7141" s="10"/>
      <c r="AI7141" s="10"/>
    </row>
    <row r="7142" spans="28:35" ht="15" hidden="1" customHeight="1">
      <c r="AB7142" s="9"/>
      <c r="AC7142" s="9"/>
      <c r="AD7142" s="9"/>
      <c r="AF7142" s="10"/>
      <c r="AG7142" s="10"/>
      <c r="AH7142" s="10"/>
      <c r="AI7142" s="10"/>
    </row>
    <row r="7143" spans="28:35" ht="15" hidden="1" customHeight="1">
      <c r="AB7143" s="9"/>
      <c r="AC7143" s="9"/>
      <c r="AD7143" s="9"/>
      <c r="AF7143" s="10"/>
      <c r="AG7143" s="10"/>
      <c r="AH7143" s="10"/>
      <c r="AI7143" s="10"/>
    </row>
    <row r="7144" spans="28:35" ht="15" hidden="1" customHeight="1">
      <c r="AB7144" s="9"/>
      <c r="AC7144" s="9"/>
      <c r="AD7144" s="9"/>
      <c r="AF7144" s="10"/>
      <c r="AG7144" s="10"/>
      <c r="AH7144" s="10"/>
      <c r="AI7144" s="10"/>
    </row>
    <row r="7145" spans="28:35" ht="15" hidden="1" customHeight="1">
      <c r="AB7145" s="9"/>
      <c r="AC7145" s="9"/>
      <c r="AD7145" s="9"/>
      <c r="AF7145" s="10"/>
      <c r="AG7145" s="10"/>
      <c r="AH7145" s="10"/>
      <c r="AI7145" s="10"/>
    </row>
    <row r="7146" spans="28:35" ht="15" hidden="1" customHeight="1">
      <c r="AB7146" s="9"/>
      <c r="AC7146" s="9"/>
      <c r="AD7146" s="9"/>
      <c r="AF7146" s="10"/>
      <c r="AG7146" s="10"/>
      <c r="AH7146" s="10"/>
      <c r="AI7146" s="10"/>
    </row>
    <row r="7147" spans="28:35" ht="15" hidden="1" customHeight="1">
      <c r="AB7147" s="9"/>
      <c r="AC7147" s="9"/>
      <c r="AD7147" s="9"/>
      <c r="AF7147" s="10"/>
      <c r="AG7147" s="10"/>
      <c r="AH7147" s="10"/>
      <c r="AI7147" s="10"/>
    </row>
    <row r="7148" spans="28:35" ht="15" hidden="1" customHeight="1">
      <c r="AB7148" s="9"/>
      <c r="AC7148" s="9"/>
      <c r="AD7148" s="9"/>
      <c r="AF7148" s="10"/>
      <c r="AG7148" s="10"/>
      <c r="AH7148" s="10"/>
      <c r="AI7148" s="10"/>
    </row>
    <row r="7149" spans="28:35" ht="15" hidden="1" customHeight="1">
      <c r="AB7149" s="9"/>
      <c r="AC7149" s="9"/>
      <c r="AD7149" s="9"/>
      <c r="AF7149" s="10"/>
      <c r="AG7149" s="10"/>
      <c r="AH7149" s="10"/>
      <c r="AI7149" s="10"/>
    </row>
    <row r="7150" spans="28:35" ht="15" hidden="1" customHeight="1">
      <c r="AB7150" s="9"/>
      <c r="AC7150" s="9"/>
      <c r="AD7150" s="9"/>
      <c r="AF7150" s="10"/>
      <c r="AG7150" s="10"/>
      <c r="AH7150" s="10"/>
      <c r="AI7150" s="10"/>
    </row>
    <row r="7151" spans="28:35" ht="15" hidden="1" customHeight="1">
      <c r="AB7151" s="9"/>
      <c r="AC7151" s="9"/>
      <c r="AD7151" s="9"/>
      <c r="AF7151" s="10"/>
      <c r="AG7151" s="10"/>
      <c r="AH7151" s="10"/>
      <c r="AI7151" s="10"/>
    </row>
    <row r="7152" spans="28:35" ht="15" hidden="1" customHeight="1">
      <c r="AB7152" s="9"/>
      <c r="AC7152" s="9"/>
      <c r="AD7152" s="9"/>
      <c r="AF7152" s="10"/>
      <c r="AG7152" s="10"/>
      <c r="AH7152" s="10"/>
      <c r="AI7152" s="10"/>
    </row>
    <row r="7153" spans="28:35" ht="15" hidden="1" customHeight="1">
      <c r="AB7153" s="9"/>
      <c r="AC7153" s="9"/>
      <c r="AD7153" s="9"/>
      <c r="AF7153" s="10"/>
      <c r="AG7153" s="10"/>
      <c r="AH7153" s="10"/>
      <c r="AI7153" s="10"/>
    </row>
    <row r="7154" spans="28:35" ht="15" hidden="1" customHeight="1">
      <c r="AB7154" s="9"/>
      <c r="AC7154" s="9"/>
      <c r="AD7154" s="9"/>
      <c r="AF7154" s="10"/>
      <c r="AG7154" s="10"/>
      <c r="AH7154" s="10"/>
      <c r="AI7154" s="10"/>
    </row>
    <row r="7155" spans="28:35" ht="15" hidden="1" customHeight="1">
      <c r="AB7155" s="9"/>
      <c r="AC7155" s="9"/>
      <c r="AD7155" s="9"/>
      <c r="AF7155" s="10"/>
      <c r="AG7155" s="10"/>
      <c r="AH7155" s="10"/>
      <c r="AI7155" s="10"/>
    </row>
    <row r="7156" spans="28:35" ht="15" hidden="1" customHeight="1">
      <c r="AB7156" s="9"/>
      <c r="AC7156" s="9"/>
      <c r="AD7156" s="9"/>
      <c r="AF7156" s="10"/>
      <c r="AG7156" s="10"/>
      <c r="AH7156" s="10"/>
      <c r="AI7156" s="10"/>
    </row>
    <row r="7157" spans="28:35" ht="15" hidden="1" customHeight="1">
      <c r="AB7157" s="9"/>
      <c r="AC7157" s="9"/>
      <c r="AD7157" s="9"/>
      <c r="AF7157" s="10"/>
      <c r="AG7157" s="10"/>
      <c r="AH7157" s="10"/>
      <c r="AI7157" s="10"/>
    </row>
    <row r="7158" spans="28:35" ht="15" hidden="1" customHeight="1">
      <c r="AB7158" s="9"/>
      <c r="AC7158" s="9"/>
      <c r="AD7158" s="9"/>
      <c r="AF7158" s="10"/>
      <c r="AG7158" s="10"/>
      <c r="AH7158" s="10"/>
      <c r="AI7158" s="10"/>
    </row>
    <row r="7159" spans="28:35" ht="15" hidden="1" customHeight="1">
      <c r="AB7159" s="9"/>
      <c r="AC7159" s="9"/>
      <c r="AD7159" s="9"/>
      <c r="AF7159" s="10"/>
      <c r="AG7159" s="10"/>
      <c r="AH7159" s="10"/>
      <c r="AI7159" s="10"/>
    </row>
    <row r="7160" spans="28:35" ht="15" hidden="1" customHeight="1">
      <c r="AB7160" s="9"/>
      <c r="AC7160" s="9"/>
      <c r="AD7160" s="9"/>
      <c r="AF7160" s="10"/>
      <c r="AG7160" s="10"/>
      <c r="AH7160" s="10"/>
      <c r="AI7160" s="10"/>
    </row>
    <row r="7161" spans="28:35" ht="15" hidden="1" customHeight="1">
      <c r="AB7161" s="9"/>
      <c r="AC7161" s="9"/>
      <c r="AD7161" s="9"/>
      <c r="AF7161" s="10"/>
      <c r="AG7161" s="10"/>
      <c r="AH7161" s="10"/>
      <c r="AI7161" s="10"/>
    </row>
    <row r="7162" spans="28:35" ht="15" hidden="1" customHeight="1">
      <c r="AB7162" s="9"/>
      <c r="AC7162" s="9"/>
      <c r="AD7162" s="9"/>
      <c r="AF7162" s="10"/>
      <c r="AG7162" s="10"/>
      <c r="AH7162" s="10"/>
      <c r="AI7162" s="10"/>
    </row>
    <row r="7163" spans="28:35" ht="15" hidden="1" customHeight="1">
      <c r="AB7163" s="9"/>
      <c r="AC7163" s="9"/>
      <c r="AD7163" s="9"/>
      <c r="AF7163" s="10"/>
      <c r="AG7163" s="10"/>
      <c r="AH7163" s="10"/>
      <c r="AI7163" s="10"/>
    </row>
    <row r="7164" spans="28:35" ht="15" hidden="1" customHeight="1">
      <c r="AB7164" s="9"/>
      <c r="AC7164" s="9"/>
      <c r="AD7164" s="9"/>
      <c r="AF7164" s="10"/>
      <c r="AG7164" s="10"/>
      <c r="AH7164" s="10"/>
      <c r="AI7164" s="10"/>
    </row>
    <row r="7165" spans="28:35" ht="15" hidden="1" customHeight="1">
      <c r="AB7165" s="9"/>
      <c r="AC7165" s="9"/>
      <c r="AD7165" s="9"/>
      <c r="AF7165" s="10"/>
      <c r="AG7165" s="10"/>
      <c r="AH7165" s="10"/>
      <c r="AI7165" s="10"/>
    </row>
    <row r="7166" spans="28:35" ht="15" hidden="1" customHeight="1">
      <c r="AB7166" s="9"/>
      <c r="AC7166" s="9"/>
      <c r="AD7166" s="9"/>
      <c r="AF7166" s="10"/>
      <c r="AG7166" s="10"/>
      <c r="AH7166" s="10"/>
      <c r="AI7166" s="10"/>
    </row>
    <row r="7167" spans="28:35" ht="15" hidden="1" customHeight="1">
      <c r="AB7167" s="9"/>
      <c r="AC7167" s="9"/>
      <c r="AD7167" s="9"/>
      <c r="AF7167" s="10"/>
      <c r="AG7167" s="10"/>
      <c r="AH7167" s="10"/>
      <c r="AI7167" s="10"/>
    </row>
    <row r="7168" spans="28:35" ht="15" hidden="1" customHeight="1">
      <c r="AB7168" s="9"/>
      <c r="AC7168" s="9"/>
      <c r="AD7168" s="9"/>
      <c r="AF7168" s="10"/>
      <c r="AG7168" s="10"/>
      <c r="AH7168" s="10"/>
      <c r="AI7168" s="10"/>
    </row>
    <row r="7169" spans="28:35" ht="15" hidden="1" customHeight="1">
      <c r="AB7169" s="9"/>
      <c r="AC7169" s="9"/>
      <c r="AD7169" s="9"/>
      <c r="AF7169" s="10"/>
      <c r="AG7169" s="10"/>
      <c r="AH7169" s="10"/>
      <c r="AI7169" s="10"/>
    </row>
    <row r="7170" spans="28:35" ht="15" hidden="1" customHeight="1">
      <c r="AB7170" s="9"/>
      <c r="AC7170" s="9"/>
      <c r="AD7170" s="9"/>
      <c r="AF7170" s="10"/>
      <c r="AG7170" s="10"/>
      <c r="AH7170" s="10"/>
      <c r="AI7170" s="10"/>
    </row>
    <row r="7171" spans="28:35" ht="15" hidden="1" customHeight="1">
      <c r="AB7171" s="9"/>
      <c r="AC7171" s="9"/>
      <c r="AD7171" s="9"/>
      <c r="AF7171" s="10"/>
      <c r="AG7171" s="10"/>
      <c r="AH7171" s="10"/>
      <c r="AI7171" s="10"/>
    </row>
    <row r="7172" spans="28:35" ht="15" hidden="1" customHeight="1">
      <c r="AB7172" s="9"/>
      <c r="AC7172" s="9"/>
      <c r="AD7172" s="9"/>
      <c r="AF7172" s="10"/>
      <c r="AG7172" s="10"/>
      <c r="AH7172" s="10"/>
      <c r="AI7172" s="10"/>
    </row>
    <row r="7173" spans="28:35" ht="15" hidden="1" customHeight="1">
      <c r="AB7173" s="9"/>
      <c r="AC7173" s="9"/>
      <c r="AD7173" s="9"/>
      <c r="AF7173" s="10"/>
      <c r="AG7173" s="10"/>
      <c r="AH7173" s="10"/>
      <c r="AI7173" s="10"/>
    </row>
    <row r="7174" spans="28:35" ht="15" hidden="1" customHeight="1">
      <c r="AB7174" s="9"/>
      <c r="AC7174" s="9"/>
      <c r="AD7174" s="9"/>
      <c r="AF7174" s="10"/>
      <c r="AG7174" s="10"/>
      <c r="AH7174" s="10"/>
      <c r="AI7174" s="10"/>
    </row>
    <row r="7175" spans="28:35" ht="15" hidden="1" customHeight="1">
      <c r="AB7175" s="9"/>
      <c r="AC7175" s="9"/>
      <c r="AD7175" s="9"/>
      <c r="AF7175" s="10"/>
      <c r="AG7175" s="10"/>
      <c r="AH7175" s="10"/>
      <c r="AI7175" s="10"/>
    </row>
    <row r="7176" spans="28:35" ht="15" hidden="1" customHeight="1">
      <c r="AB7176" s="9"/>
      <c r="AC7176" s="9"/>
      <c r="AD7176" s="9"/>
      <c r="AF7176" s="10"/>
      <c r="AG7176" s="10"/>
      <c r="AH7176" s="10"/>
      <c r="AI7176" s="10"/>
    </row>
    <row r="7177" spans="28:35" ht="15" hidden="1" customHeight="1">
      <c r="AB7177" s="9"/>
      <c r="AC7177" s="9"/>
      <c r="AD7177" s="9"/>
      <c r="AF7177" s="10"/>
      <c r="AG7177" s="10"/>
      <c r="AH7177" s="10"/>
      <c r="AI7177" s="10"/>
    </row>
    <row r="7178" spans="28:35" ht="15" hidden="1" customHeight="1">
      <c r="AB7178" s="9"/>
      <c r="AC7178" s="9"/>
      <c r="AD7178" s="9"/>
      <c r="AF7178" s="10"/>
      <c r="AG7178" s="10"/>
      <c r="AH7178" s="10"/>
      <c r="AI7178" s="10"/>
    </row>
    <row r="7179" spans="28:35" ht="15" hidden="1" customHeight="1">
      <c r="AB7179" s="9"/>
      <c r="AC7179" s="9"/>
      <c r="AD7179" s="9"/>
      <c r="AF7179" s="10"/>
      <c r="AG7179" s="10"/>
      <c r="AH7179" s="10"/>
      <c r="AI7179" s="10"/>
    </row>
    <row r="7180" spans="28:35" ht="15" hidden="1" customHeight="1">
      <c r="AB7180" s="9"/>
      <c r="AC7180" s="9"/>
      <c r="AD7180" s="9"/>
      <c r="AF7180" s="10"/>
      <c r="AG7180" s="10"/>
      <c r="AH7180" s="10"/>
      <c r="AI7180" s="10"/>
    </row>
    <row r="7181" spans="28:35" ht="15" hidden="1" customHeight="1">
      <c r="AB7181" s="9"/>
      <c r="AC7181" s="9"/>
      <c r="AD7181" s="9"/>
      <c r="AF7181" s="10"/>
      <c r="AG7181" s="10"/>
      <c r="AH7181" s="10"/>
      <c r="AI7181" s="10"/>
    </row>
    <row r="7182" spans="28:35" ht="15" hidden="1" customHeight="1">
      <c r="AB7182" s="9"/>
      <c r="AC7182" s="9"/>
      <c r="AD7182" s="9"/>
      <c r="AF7182" s="10"/>
      <c r="AG7182" s="10"/>
      <c r="AH7182" s="10"/>
      <c r="AI7182" s="10"/>
    </row>
    <row r="7183" spans="28:35" ht="15" hidden="1" customHeight="1">
      <c r="AB7183" s="9"/>
      <c r="AC7183" s="9"/>
      <c r="AD7183" s="9"/>
      <c r="AF7183" s="10"/>
      <c r="AG7183" s="10"/>
      <c r="AH7183" s="10"/>
      <c r="AI7183" s="10"/>
    </row>
    <row r="7184" spans="28:35" ht="15" hidden="1" customHeight="1">
      <c r="AB7184" s="9"/>
      <c r="AC7184" s="9"/>
      <c r="AD7184" s="9"/>
      <c r="AF7184" s="10"/>
      <c r="AG7184" s="10"/>
      <c r="AH7184" s="10"/>
      <c r="AI7184" s="10"/>
    </row>
    <row r="7185" spans="28:35" ht="15" hidden="1" customHeight="1">
      <c r="AB7185" s="9"/>
      <c r="AC7185" s="9"/>
      <c r="AD7185" s="9"/>
      <c r="AF7185" s="10"/>
      <c r="AG7185" s="10"/>
      <c r="AH7185" s="10"/>
      <c r="AI7185" s="10"/>
    </row>
    <row r="7186" spans="28:35" ht="15" hidden="1" customHeight="1">
      <c r="AB7186" s="9"/>
      <c r="AC7186" s="9"/>
      <c r="AD7186" s="9"/>
      <c r="AF7186" s="10"/>
      <c r="AG7186" s="10"/>
      <c r="AH7186" s="10"/>
      <c r="AI7186" s="10"/>
    </row>
    <row r="7187" spans="28:35" ht="15" hidden="1" customHeight="1">
      <c r="AB7187" s="9"/>
      <c r="AC7187" s="9"/>
      <c r="AD7187" s="9"/>
      <c r="AF7187" s="10"/>
      <c r="AG7187" s="10"/>
      <c r="AH7187" s="10"/>
      <c r="AI7187" s="10"/>
    </row>
    <row r="7188" spans="28:35" ht="15" hidden="1" customHeight="1">
      <c r="AB7188" s="9"/>
      <c r="AC7188" s="9"/>
      <c r="AD7188" s="9"/>
      <c r="AF7188" s="10"/>
      <c r="AG7188" s="10"/>
      <c r="AH7188" s="10"/>
      <c r="AI7188" s="10"/>
    </row>
    <row r="7189" spans="28:35" ht="15" hidden="1" customHeight="1">
      <c r="AB7189" s="9"/>
      <c r="AC7189" s="9"/>
      <c r="AD7189" s="9"/>
      <c r="AF7189" s="10"/>
      <c r="AG7189" s="10"/>
      <c r="AH7189" s="10"/>
      <c r="AI7189" s="10"/>
    </row>
    <row r="7190" spans="28:35" ht="15" hidden="1" customHeight="1">
      <c r="AB7190" s="9"/>
      <c r="AC7190" s="9"/>
      <c r="AD7190" s="9"/>
      <c r="AF7190" s="10"/>
      <c r="AG7190" s="10"/>
      <c r="AH7190" s="10"/>
      <c r="AI7190" s="10"/>
    </row>
    <row r="7191" spans="28:35" ht="15" hidden="1" customHeight="1">
      <c r="AB7191" s="9"/>
      <c r="AC7191" s="9"/>
      <c r="AD7191" s="9"/>
      <c r="AF7191" s="10"/>
      <c r="AG7191" s="10"/>
      <c r="AH7191" s="10"/>
      <c r="AI7191" s="10"/>
    </row>
    <row r="7192" spans="28:35" ht="15" hidden="1" customHeight="1">
      <c r="AB7192" s="9"/>
      <c r="AC7192" s="9"/>
      <c r="AD7192" s="9"/>
      <c r="AF7192" s="10"/>
      <c r="AG7192" s="10"/>
      <c r="AH7192" s="10"/>
      <c r="AI7192" s="10"/>
    </row>
    <row r="7193" spans="28:35" ht="15" hidden="1" customHeight="1">
      <c r="AB7193" s="9"/>
      <c r="AC7193" s="9"/>
      <c r="AD7193" s="9"/>
      <c r="AF7193" s="10"/>
      <c r="AG7193" s="10"/>
      <c r="AH7193" s="10"/>
      <c r="AI7193" s="10"/>
    </row>
    <row r="7194" spans="28:35" ht="15" hidden="1" customHeight="1">
      <c r="AB7194" s="9"/>
      <c r="AC7194" s="9"/>
      <c r="AD7194" s="9"/>
      <c r="AF7194" s="10"/>
      <c r="AG7194" s="10"/>
      <c r="AH7194" s="10"/>
      <c r="AI7194" s="10"/>
    </row>
    <row r="7195" spans="28:35" ht="15" hidden="1" customHeight="1">
      <c r="AB7195" s="9"/>
      <c r="AC7195" s="9"/>
      <c r="AD7195" s="9"/>
      <c r="AF7195" s="10"/>
      <c r="AG7195" s="10"/>
      <c r="AH7195" s="10"/>
      <c r="AI7195" s="10"/>
    </row>
    <row r="7196" spans="28:35" ht="15" hidden="1" customHeight="1">
      <c r="AB7196" s="9"/>
      <c r="AC7196" s="9"/>
      <c r="AD7196" s="9"/>
      <c r="AF7196" s="10"/>
      <c r="AG7196" s="10"/>
      <c r="AH7196" s="10"/>
      <c r="AI7196" s="10"/>
    </row>
    <row r="7197" spans="28:35" ht="15" hidden="1" customHeight="1">
      <c r="AB7197" s="9"/>
      <c r="AC7197" s="9"/>
      <c r="AD7197" s="9"/>
      <c r="AF7197" s="10"/>
      <c r="AG7197" s="10"/>
      <c r="AH7197" s="10"/>
      <c r="AI7197" s="10"/>
    </row>
    <row r="7198" spans="28:35" ht="15" hidden="1" customHeight="1">
      <c r="AB7198" s="9"/>
      <c r="AC7198" s="9"/>
      <c r="AD7198" s="9"/>
      <c r="AF7198" s="10"/>
      <c r="AG7198" s="10"/>
      <c r="AH7198" s="10"/>
      <c r="AI7198" s="10"/>
    </row>
    <row r="7199" spans="28:35" ht="15" hidden="1" customHeight="1">
      <c r="AB7199" s="9"/>
      <c r="AC7199" s="9"/>
      <c r="AD7199" s="9"/>
      <c r="AF7199" s="10"/>
      <c r="AG7199" s="10"/>
      <c r="AH7199" s="10"/>
      <c r="AI7199" s="10"/>
    </row>
    <row r="7200" spans="28:35" ht="15" hidden="1" customHeight="1">
      <c r="AB7200" s="9"/>
      <c r="AC7200" s="9"/>
      <c r="AD7200" s="9"/>
      <c r="AF7200" s="10"/>
      <c r="AG7200" s="10"/>
      <c r="AH7200" s="10"/>
      <c r="AI7200" s="10"/>
    </row>
    <row r="7201" spans="28:35" ht="15" hidden="1" customHeight="1">
      <c r="AB7201" s="9"/>
      <c r="AC7201" s="9"/>
      <c r="AD7201" s="9"/>
      <c r="AF7201" s="10"/>
      <c r="AG7201" s="10"/>
      <c r="AH7201" s="10"/>
      <c r="AI7201" s="10"/>
    </row>
    <row r="7202" spans="28:35" ht="15" hidden="1" customHeight="1">
      <c r="AB7202" s="9"/>
      <c r="AC7202" s="9"/>
      <c r="AD7202" s="9"/>
      <c r="AF7202" s="10"/>
      <c r="AG7202" s="10"/>
      <c r="AH7202" s="10"/>
      <c r="AI7202" s="10"/>
    </row>
    <row r="7203" spans="28:35" ht="15" hidden="1" customHeight="1">
      <c r="AB7203" s="9"/>
      <c r="AC7203" s="9"/>
      <c r="AD7203" s="9"/>
      <c r="AF7203" s="10"/>
      <c r="AG7203" s="10"/>
      <c r="AH7203" s="10"/>
      <c r="AI7203" s="10"/>
    </row>
    <row r="7204" spans="28:35" ht="15" hidden="1" customHeight="1">
      <c r="AB7204" s="9"/>
      <c r="AC7204" s="9"/>
      <c r="AD7204" s="9"/>
      <c r="AF7204" s="10"/>
      <c r="AG7204" s="10"/>
      <c r="AH7204" s="10"/>
      <c r="AI7204" s="10"/>
    </row>
    <row r="7205" spans="28:35" ht="15" hidden="1" customHeight="1">
      <c r="AB7205" s="9"/>
      <c r="AC7205" s="9"/>
      <c r="AD7205" s="9"/>
      <c r="AF7205" s="10"/>
      <c r="AG7205" s="10"/>
      <c r="AH7205" s="10"/>
      <c r="AI7205" s="10"/>
    </row>
    <row r="7206" spans="28:35" ht="15" hidden="1" customHeight="1">
      <c r="AB7206" s="9"/>
      <c r="AC7206" s="9"/>
      <c r="AD7206" s="9"/>
      <c r="AF7206" s="10"/>
      <c r="AG7206" s="10"/>
      <c r="AH7206" s="10"/>
      <c r="AI7206" s="10"/>
    </row>
    <row r="7207" spans="28:35" ht="15" hidden="1" customHeight="1">
      <c r="AB7207" s="9"/>
      <c r="AC7207" s="9"/>
      <c r="AD7207" s="9"/>
      <c r="AF7207" s="10"/>
      <c r="AG7207" s="10"/>
      <c r="AH7207" s="10"/>
      <c r="AI7207" s="10"/>
    </row>
    <row r="7208" spans="28:35" ht="15" hidden="1" customHeight="1">
      <c r="AB7208" s="9"/>
      <c r="AC7208" s="9"/>
      <c r="AD7208" s="9"/>
      <c r="AF7208" s="10"/>
      <c r="AG7208" s="10"/>
      <c r="AH7208" s="10"/>
      <c r="AI7208" s="10"/>
    </row>
    <row r="7209" spans="28:35" ht="15" hidden="1" customHeight="1">
      <c r="AB7209" s="9"/>
      <c r="AC7209" s="9"/>
      <c r="AD7209" s="9"/>
      <c r="AF7209" s="10"/>
      <c r="AG7209" s="10"/>
      <c r="AH7209" s="10"/>
      <c r="AI7209" s="10"/>
    </row>
    <row r="7210" spans="28:35" ht="15" hidden="1" customHeight="1">
      <c r="AB7210" s="9"/>
      <c r="AC7210" s="9"/>
      <c r="AD7210" s="9"/>
      <c r="AF7210" s="10"/>
      <c r="AG7210" s="10"/>
      <c r="AH7210" s="10"/>
      <c r="AI7210" s="10"/>
    </row>
    <row r="7211" spans="28:35" ht="15" hidden="1" customHeight="1">
      <c r="AB7211" s="9"/>
      <c r="AC7211" s="9"/>
      <c r="AD7211" s="9"/>
      <c r="AF7211" s="10"/>
      <c r="AG7211" s="10"/>
      <c r="AH7211" s="10"/>
      <c r="AI7211" s="10"/>
    </row>
    <row r="7212" spans="28:35" ht="15" hidden="1" customHeight="1">
      <c r="AB7212" s="9"/>
      <c r="AC7212" s="9"/>
      <c r="AD7212" s="9"/>
      <c r="AF7212" s="10"/>
      <c r="AG7212" s="10"/>
      <c r="AH7212" s="10"/>
      <c r="AI7212" s="10"/>
    </row>
    <row r="7213" spans="28:35" ht="15" hidden="1" customHeight="1">
      <c r="AB7213" s="9"/>
      <c r="AC7213" s="9"/>
      <c r="AD7213" s="9"/>
      <c r="AF7213" s="10"/>
      <c r="AG7213" s="10"/>
      <c r="AH7213" s="10"/>
      <c r="AI7213" s="10"/>
    </row>
    <row r="7214" spans="28:35" ht="15" hidden="1" customHeight="1">
      <c r="AB7214" s="9"/>
      <c r="AC7214" s="9"/>
      <c r="AD7214" s="9"/>
      <c r="AF7214" s="10"/>
      <c r="AG7214" s="10"/>
      <c r="AH7214" s="10"/>
      <c r="AI7214" s="10"/>
    </row>
    <row r="7215" spans="28:35" ht="15" hidden="1" customHeight="1">
      <c r="AB7215" s="9"/>
      <c r="AC7215" s="9"/>
      <c r="AD7215" s="9"/>
      <c r="AF7215" s="10"/>
      <c r="AG7215" s="10"/>
      <c r="AH7215" s="10"/>
      <c r="AI7215" s="10"/>
    </row>
    <row r="7216" spans="28:35" ht="15" hidden="1" customHeight="1">
      <c r="AB7216" s="9"/>
      <c r="AC7216" s="9"/>
      <c r="AD7216" s="9"/>
      <c r="AF7216" s="10"/>
      <c r="AG7216" s="10"/>
      <c r="AH7216" s="10"/>
      <c r="AI7216" s="10"/>
    </row>
    <row r="7217" spans="28:35" ht="15" hidden="1" customHeight="1">
      <c r="AB7217" s="9"/>
      <c r="AC7217" s="9"/>
      <c r="AD7217" s="9"/>
      <c r="AF7217" s="10"/>
      <c r="AG7217" s="10"/>
      <c r="AH7217" s="10"/>
      <c r="AI7217" s="10"/>
    </row>
    <row r="7218" spans="28:35" ht="15" hidden="1" customHeight="1">
      <c r="AB7218" s="9"/>
      <c r="AC7218" s="9"/>
      <c r="AD7218" s="9"/>
      <c r="AF7218" s="10"/>
      <c r="AG7218" s="10"/>
      <c r="AH7218" s="10"/>
      <c r="AI7218" s="10"/>
    </row>
    <row r="7219" spans="28:35" ht="15" hidden="1" customHeight="1">
      <c r="AB7219" s="9"/>
      <c r="AC7219" s="9"/>
      <c r="AD7219" s="9"/>
      <c r="AF7219" s="10"/>
      <c r="AG7219" s="10"/>
      <c r="AH7219" s="10"/>
      <c r="AI7219" s="10"/>
    </row>
    <row r="7220" spans="28:35" ht="15" hidden="1" customHeight="1">
      <c r="AB7220" s="9"/>
      <c r="AC7220" s="9"/>
      <c r="AD7220" s="9"/>
      <c r="AF7220" s="10"/>
      <c r="AG7220" s="10"/>
      <c r="AH7220" s="10"/>
      <c r="AI7220" s="10"/>
    </row>
    <row r="7221" spans="28:35" ht="15" hidden="1" customHeight="1">
      <c r="AB7221" s="9"/>
      <c r="AC7221" s="9"/>
      <c r="AD7221" s="9"/>
      <c r="AF7221" s="10"/>
      <c r="AG7221" s="10"/>
      <c r="AH7221" s="10"/>
      <c r="AI7221" s="10"/>
    </row>
    <row r="7222" spans="28:35" ht="15" hidden="1" customHeight="1">
      <c r="AB7222" s="9"/>
      <c r="AC7222" s="9"/>
      <c r="AD7222" s="9"/>
      <c r="AF7222" s="10"/>
      <c r="AG7222" s="10"/>
      <c r="AH7222" s="10"/>
      <c r="AI7222" s="10"/>
    </row>
    <row r="7223" spans="28:35" ht="15" hidden="1" customHeight="1">
      <c r="AB7223" s="9"/>
      <c r="AC7223" s="9"/>
      <c r="AD7223" s="9"/>
      <c r="AF7223" s="10"/>
      <c r="AG7223" s="10"/>
      <c r="AH7223" s="10"/>
      <c r="AI7223" s="10"/>
    </row>
    <row r="7224" spans="28:35" ht="15" hidden="1" customHeight="1">
      <c r="AB7224" s="9"/>
      <c r="AC7224" s="9"/>
      <c r="AD7224" s="9"/>
      <c r="AF7224" s="10"/>
      <c r="AG7224" s="10"/>
      <c r="AH7224" s="10"/>
      <c r="AI7224" s="10"/>
    </row>
    <row r="7225" spans="28:35" ht="15" hidden="1" customHeight="1">
      <c r="AB7225" s="9"/>
      <c r="AC7225" s="9"/>
      <c r="AD7225" s="9"/>
      <c r="AF7225" s="10"/>
      <c r="AG7225" s="10"/>
      <c r="AH7225" s="10"/>
      <c r="AI7225" s="10"/>
    </row>
    <row r="7226" spans="28:35" ht="15" hidden="1" customHeight="1">
      <c r="AB7226" s="9"/>
      <c r="AC7226" s="9"/>
      <c r="AD7226" s="9"/>
      <c r="AF7226" s="10"/>
      <c r="AG7226" s="10"/>
      <c r="AH7226" s="10"/>
      <c r="AI7226" s="10"/>
    </row>
    <row r="7227" spans="28:35" ht="15" hidden="1" customHeight="1">
      <c r="AB7227" s="9"/>
      <c r="AC7227" s="9"/>
      <c r="AD7227" s="9"/>
      <c r="AF7227" s="10"/>
      <c r="AG7227" s="10"/>
      <c r="AH7227" s="10"/>
      <c r="AI7227" s="10"/>
    </row>
    <row r="7228" spans="28:35" ht="15" hidden="1" customHeight="1">
      <c r="AB7228" s="9"/>
      <c r="AC7228" s="9"/>
      <c r="AD7228" s="9"/>
      <c r="AF7228" s="10"/>
      <c r="AG7228" s="10"/>
      <c r="AH7228" s="10"/>
      <c r="AI7228" s="10"/>
    </row>
    <row r="7229" spans="28:35" ht="15" hidden="1" customHeight="1">
      <c r="AB7229" s="9"/>
      <c r="AC7229" s="9"/>
      <c r="AD7229" s="9"/>
      <c r="AF7229" s="10"/>
      <c r="AG7229" s="10"/>
      <c r="AH7229" s="10"/>
      <c r="AI7229" s="10"/>
    </row>
    <row r="7230" spans="28:35" ht="15" hidden="1" customHeight="1">
      <c r="AB7230" s="9"/>
      <c r="AC7230" s="9"/>
      <c r="AD7230" s="9"/>
      <c r="AF7230" s="10"/>
      <c r="AG7230" s="10"/>
      <c r="AH7230" s="10"/>
      <c r="AI7230" s="10"/>
    </row>
    <row r="7231" spans="28:35" ht="15" hidden="1" customHeight="1">
      <c r="AB7231" s="9"/>
      <c r="AC7231" s="9"/>
      <c r="AD7231" s="9"/>
      <c r="AF7231" s="10"/>
      <c r="AG7231" s="10"/>
      <c r="AH7231" s="10"/>
      <c r="AI7231" s="10"/>
    </row>
    <row r="7232" spans="28:35" ht="15" hidden="1" customHeight="1">
      <c r="AB7232" s="9"/>
      <c r="AC7232" s="9"/>
      <c r="AD7232" s="9"/>
      <c r="AF7232" s="10"/>
      <c r="AG7232" s="10"/>
      <c r="AH7232" s="10"/>
      <c r="AI7232" s="10"/>
    </row>
    <row r="7233" spans="28:35" ht="15" hidden="1" customHeight="1">
      <c r="AB7233" s="9"/>
      <c r="AC7233" s="9"/>
      <c r="AD7233" s="9"/>
      <c r="AF7233" s="10"/>
      <c r="AG7233" s="10"/>
      <c r="AH7233" s="10"/>
      <c r="AI7233" s="10"/>
    </row>
    <row r="7234" spans="28:35" ht="15" hidden="1" customHeight="1">
      <c r="AB7234" s="9"/>
      <c r="AC7234" s="9"/>
      <c r="AD7234" s="9"/>
      <c r="AF7234" s="10"/>
      <c r="AG7234" s="10"/>
      <c r="AH7234" s="10"/>
      <c r="AI7234" s="10"/>
    </row>
    <row r="7235" spans="28:35" ht="15" hidden="1" customHeight="1">
      <c r="AB7235" s="9"/>
      <c r="AC7235" s="9"/>
      <c r="AD7235" s="9"/>
      <c r="AF7235" s="10"/>
      <c r="AG7235" s="10"/>
      <c r="AH7235" s="10"/>
      <c r="AI7235" s="10"/>
    </row>
    <row r="7236" spans="28:35" ht="15" hidden="1" customHeight="1">
      <c r="AB7236" s="9"/>
      <c r="AC7236" s="9"/>
      <c r="AD7236" s="9"/>
      <c r="AF7236" s="10"/>
      <c r="AG7236" s="10"/>
      <c r="AH7236" s="10"/>
      <c r="AI7236" s="10"/>
    </row>
    <row r="7237" spans="28:35" ht="15" hidden="1" customHeight="1">
      <c r="AB7237" s="9"/>
      <c r="AC7237" s="9"/>
      <c r="AD7237" s="9"/>
      <c r="AF7237" s="10"/>
      <c r="AG7237" s="10"/>
      <c r="AH7237" s="10"/>
      <c r="AI7237" s="10"/>
    </row>
    <row r="7238" spans="28:35" ht="15" hidden="1" customHeight="1">
      <c r="AB7238" s="9"/>
      <c r="AC7238" s="9"/>
      <c r="AD7238" s="9"/>
      <c r="AF7238" s="10"/>
      <c r="AG7238" s="10"/>
      <c r="AH7238" s="10"/>
      <c r="AI7238" s="10"/>
    </row>
    <row r="7239" spans="28:35" ht="15" hidden="1" customHeight="1">
      <c r="AB7239" s="9"/>
      <c r="AC7239" s="9"/>
      <c r="AD7239" s="9"/>
      <c r="AF7239" s="10"/>
      <c r="AG7239" s="10"/>
      <c r="AH7239" s="10"/>
      <c r="AI7239" s="10"/>
    </row>
    <row r="7240" spans="28:35" ht="15" hidden="1" customHeight="1">
      <c r="AB7240" s="9"/>
      <c r="AC7240" s="9"/>
      <c r="AD7240" s="9"/>
      <c r="AF7240" s="10"/>
      <c r="AG7240" s="10"/>
      <c r="AH7240" s="10"/>
      <c r="AI7240" s="10"/>
    </row>
    <row r="7241" spans="28:35" ht="15" hidden="1" customHeight="1">
      <c r="AB7241" s="9"/>
      <c r="AC7241" s="9"/>
      <c r="AD7241" s="9"/>
      <c r="AF7241" s="10"/>
      <c r="AG7241" s="10"/>
      <c r="AH7241" s="10"/>
      <c r="AI7241" s="10"/>
    </row>
    <row r="7242" spans="28:35" ht="15" hidden="1" customHeight="1">
      <c r="AB7242" s="9"/>
      <c r="AC7242" s="9"/>
      <c r="AD7242" s="9"/>
      <c r="AF7242" s="10"/>
      <c r="AG7242" s="10"/>
      <c r="AH7242" s="10"/>
      <c r="AI7242" s="10"/>
    </row>
    <row r="7243" spans="28:35" ht="15" hidden="1" customHeight="1">
      <c r="AB7243" s="9"/>
      <c r="AC7243" s="9"/>
      <c r="AD7243" s="9"/>
      <c r="AF7243" s="10"/>
      <c r="AG7243" s="10"/>
      <c r="AH7243" s="10"/>
      <c r="AI7243" s="10"/>
    </row>
    <row r="7244" spans="28:35" ht="15" hidden="1" customHeight="1">
      <c r="AB7244" s="9"/>
      <c r="AC7244" s="9"/>
      <c r="AD7244" s="9"/>
      <c r="AF7244" s="10"/>
      <c r="AG7244" s="10"/>
      <c r="AH7244" s="10"/>
      <c r="AI7244" s="10"/>
    </row>
    <row r="7245" spans="28:35" ht="15" hidden="1" customHeight="1">
      <c r="AB7245" s="9"/>
      <c r="AC7245" s="9"/>
      <c r="AD7245" s="9"/>
      <c r="AF7245" s="10"/>
      <c r="AG7245" s="10"/>
      <c r="AH7245" s="10"/>
      <c r="AI7245" s="10"/>
    </row>
    <row r="7246" spans="28:35" ht="15" hidden="1" customHeight="1">
      <c r="AB7246" s="9"/>
      <c r="AC7246" s="9"/>
      <c r="AD7246" s="9"/>
      <c r="AF7246" s="10"/>
      <c r="AG7246" s="10"/>
      <c r="AH7246" s="10"/>
      <c r="AI7246" s="10"/>
    </row>
    <row r="7247" spans="28:35" ht="15" hidden="1" customHeight="1">
      <c r="AB7247" s="9"/>
      <c r="AC7247" s="9"/>
      <c r="AD7247" s="9"/>
      <c r="AF7247" s="10"/>
      <c r="AG7247" s="10"/>
      <c r="AH7247" s="10"/>
      <c r="AI7247" s="10"/>
    </row>
    <row r="7248" spans="28:35" ht="15" hidden="1" customHeight="1">
      <c r="AB7248" s="9"/>
      <c r="AC7248" s="9"/>
      <c r="AD7248" s="9"/>
      <c r="AF7248" s="10"/>
      <c r="AG7248" s="10"/>
      <c r="AH7248" s="10"/>
      <c r="AI7248" s="10"/>
    </row>
    <row r="7249" spans="28:35" ht="15" hidden="1" customHeight="1">
      <c r="AB7249" s="9"/>
      <c r="AC7249" s="9"/>
      <c r="AD7249" s="9"/>
      <c r="AF7249" s="10"/>
      <c r="AG7249" s="10"/>
      <c r="AH7249" s="10"/>
      <c r="AI7249" s="10"/>
    </row>
    <row r="7250" spans="28:35" ht="15" hidden="1" customHeight="1">
      <c r="AB7250" s="9"/>
      <c r="AC7250" s="9"/>
      <c r="AD7250" s="9"/>
      <c r="AF7250" s="10"/>
      <c r="AG7250" s="10"/>
      <c r="AH7250" s="10"/>
      <c r="AI7250" s="10"/>
    </row>
    <row r="7251" spans="28:35" ht="15" hidden="1" customHeight="1">
      <c r="AB7251" s="9"/>
      <c r="AC7251" s="9"/>
      <c r="AD7251" s="9"/>
      <c r="AF7251" s="10"/>
      <c r="AG7251" s="10"/>
      <c r="AH7251" s="10"/>
      <c r="AI7251" s="10"/>
    </row>
    <row r="7252" spans="28:35" ht="15" hidden="1" customHeight="1">
      <c r="AB7252" s="9"/>
      <c r="AC7252" s="9"/>
      <c r="AD7252" s="9"/>
      <c r="AF7252" s="10"/>
      <c r="AG7252" s="10"/>
      <c r="AH7252" s="10"/>
      <c r="AI7252" s="10"/>
    </row>
    <row r="7253" spans="28:35" ht="15" hidden="1" customHeight="1">
      <c r="AB7253" s="9"/>
      <c r="AC7253" s="9"/>
      <c r="AD7253" s="9"/>
      <c r="AF7253" s="10"/>
      <c r="AG7253" s="10"/>
      <c r="AH7253" s="10"/>
      <c r="AI7253" s="10"/>
    </row>
    <row r="7254" spans="28:35" ht="15" hidden="1" customHeight="1">
      <c r="AB7254" s="9"/>
      <c r="AC7254" s="9"/>
      <c r="AD7254" s="9"/>
      <c r="AF7254" s="10"/>
      <c r="AG7254" s="10"/>
      <c r="AH7254" s="10"/>
      <c r="AI7254" s="10"/>
    </row>
    <row r="7255" spans="28:35" ht="15" hidden="1" customHeight="1">
      <c r="AB7255" s="9"/>
      <c r="AC7255" s="9"/>
      <c r="AD7255" s="9"/>
      <c r="AF7255" s="10"/>
      <c r="AG7255" s="10"/>
      <c r="AH7255" s="10"/>
      <c r="AI7255" s="10"/>
    </row>
    <row r="7256" spans="28:35" ht="15" hidden="1" customHeight="1">
      <c r="AB7256" s="9"/>
      <c r="AC7256" s="9"/>
      <c r="AD7256" s="9"/>
      <c r="AF7256" s="10"/>
      <c r="AG7256" s="10"/>
      <c r="AH7256" s="10"/>
      <c r="AI7256" s="10"/>
    </row>
    <row r="7257" spans="28:35" ht="15" hidden="1" customHeight="1">
      <c r="AB7257" s="9"/>
      <c r="AC7257" s="9"/>
      <c r="AD7257" s="9"/>
      <c r="AF7257" s="10"/>
      <c r="AG7257" s="10"/>
      <c r="AH7257" s="10"/>
      <c r="AI7257" s="10"/>
    </row>
    <row r="7258" spans="28:35" ht="15" hidden="1" customHeight="1">
      <c r="AB7258" s="9"/>
      <c r="AC7258" s="9"/>
      <c r="AD7258" s="9"/>
      <c r="AF7258" s="10"/>
      <c r="AG7258" s="10"/>
      <c r="AH7258" s="10"/>
      <c r="AI7258" s="10"/>
    </row>
    <row r="7259" spans="28:35" ht="15" hidden="1" customHeight="1">
      <c r="AB7259" s="9"/>
      <c r="AC7259" s="9"/>
      <c r="AD7259" s="9"/>
      <c r="AF7259" s="10"/>
      <c r="AG7259" s="10"/>
      <c r="AH7259" s="10"/>
      <c r="AI7259" s="10"/>
    </row>
    <row r="7260" spans="28:35" ht="15" hidden="1" customHeight="1">
      <c r="AB7260" s="9"/>
      <c r="AC7260" s="9"/>
      <c r="AD7260" s="9"/>
      <c r="AF7260" s="10"/>
      <c r="AG7260" s="10"/>
      <c r="AH7260" s="10"/>
      <c r="AI7260" s="10"/>
    </row>
    <row r="7261" spans="28:35" ht="15" hidden="1" customHeight="1">
      <c r="AB7261" s="9"/>
      <c r="AC7261" s="9"/>
      <c r="AD7261" s="9"/>
      <c r="AF7261" s="10"/>
      <c r="AG7261" s="10"/>
      <c r="AH7261" s="10"/>
      <c r="AI7261" s="10"/>
    </row>
    <row r="7262" spans="28:35" ht="15" hidden="1" customHeight="1">
      <c r="AB7262" s="9"/>
      <c r="AC7262" s="9"/>
      <c r="AD7262" s="9"/>
      <c r="AF7262" s="10"/>
      <c r="AG7262" s="10"/>
      <c r="AH7262" s="10"/>
      <c r="AI7262" s="10"/>
    </row>
    <row r="7263" spans="28:35" ht="15" hidden="1" customHeight="1">
      <c r="AB7263" s="9"/>
      <c r="AC7263" s="9"/>
      <c r="AD7263" s="9"/>
      <c r="AF7263" s="10"/>
      <c r="AG7263" s="10"/>
      <c r="AH7263" s="10"/>
      <c r="AI7263" s="10"/>
    </row>
    <row r="7264" spans="28:35" ht="15" hidden="1" customHeight="1">
      <c r="AB7264" s="9"/>
      <c r="AC7264" s="9"/>
      <c r="AD7264" s="9"/>
      <c r="AF7264" s="10"/>
      <c r="AG7264" s="10"/>
      <c r="AH7264" s="10"/>
      <c r="AI7264" s="10"/>
    </row>
    <row r="7265" spans="28:35" ht="15" hidden="1" customHeight="1">
      <c r="AB7265" s="9"/>
      <c r="AC7265" s="9"/>
      <c r="AD7265" s="9"/>
      <c r="AF7265" s="10"/>
      <c r="AG7265" s="10"/>
      <c r="AH7265" s="10"/>
      <c r="AI7265" s="10"/>
    </row>
    <row r="7266" spans="28:35" ht="15" hidden="1" customHeight="1">
      <c r="AB7266" s="9"/>
      <c r="AC7266" s="9"/>
      <c r="AD7266" s="9"/>
      <c r="AF7266" s="10"/>
      <c r="AG7266" s="10"/>
      <c r="AH7266" s="10"/>
      <c r="AI7266" s="10"/>
    </row>
    <row r="7267" spans="28:35" ht="15" hidden="1" customHeight="1">
      <c r="AB7267" s="9"/>
      <c r="AC7267" s="9"/>
      <c r="AD7267" s="9"/>
      <c r="AF7267" s="10"/>
      <c r="AG7267" s="10"/>
      <c r="AH7267" s="10"/>
      <c r="AI7267" s="10"/>
    </row>
    <row r="7268" spans="28:35" ht="15" hidden="1" customHeight="1">
      <c r="AB7268" s="9"/>
      <c r="AC7268" s="9"/>
      <c r="AD7268" s="9"/>
      <c r="AF7268" s="10"/>
      <c r="AG7268" s="10"/>
      <c r="AH7268" s="10"/>
      <c r="AI7268" s="10"/>
    </row>
    <row r="7269" spans="28:35" ht="15" hidden="1" customHeight="1">
      <c r="AB7269" s="9"/>
      <c r="AC7269" s="9"/>
      <c r="AD7269" s="9"/>
      <c r="AF7269" s="10"/>
      <c r="AG7269" s="10"/>
      <c r="AH7269" s="10"/>
      <c r="AI7269" s="10"/>
    </row>
    <row r="7270" spans="28:35" ht="15" hidden="1" customHeight="1">
      <c r="AB7270" s="9"/>
      <c r="AC7270" s="9"/>
      <c r="AD7270" s="9"/>
      <c r="AF7270" s="10"/>
      <c r="AG7270" s="10"/>
      <c r="AH7270" s="10"/>
      <c r="AI7270" s="10"/>
    </row>
    <row r="7271" spans="28:35" ht="15" hidden="1" customHeight="1">
      <c r="AB7271" s="9"/>
      <c r="AC7271" s="9"/>
      <c r="AD7271" s="9"/>
      <c r="AF7271" s="10"/>
      <c r="AG7271" s="10"/>
      <c r="AH7271" s="10"/>
      <c r="AI7271" s="10"/>
    </row>
    <row r="7272" spans="28:35" ht="15" hidden="1" customHeight="1">
      <c r="AB7272" s="9"/>
      <c r="AC7272" s="9"/>
      <c r="AD7272" s="9"/>
      <c r="AF7272" s="10"/>
      <c r="AG7272" s="10"/>
      <c r="AH7272" s="10"/>
      <c r="AI7272" s="10"/>
    </row>
    <row r="7273" spans="28:35" ht="15" hidden="1" customHeight="1">
      <c r="AB7273" s="9"/>
      <c r="AC7273" s="9"/>
      <c r="AD7273" s="9"/>
      <c r="AF7273" s="10"/>
      <c r="AG7273" s="10"/>
      <c r="AH7273" s="10"/>
      <c r="AI7273" s="10"/>
    </row>
    <row r="7274" spans="28:35" ht="15" hidden="1" customHeight="1">
      <c r="AB7274" s="9"/>
      <c r="AC7274" s="9"/>
      <c r="AD7274" s="9"/>
      <c r="AF7274" s="10"/>
      <c r="AG7274" s="10"/>
      <c r="AH7274" s="10"/>
      <c r="AI7274" s="10"/>
    </row>
    <row r="7275" spans="28:35" ht="15" hidden="1" customHeight="1">
      <c r="AB7275" s="9"/>
      <c r="AC7275" s="9"/>
      <c r="AD7275" s="9"/>
      <c r="AF7275" s="10"/>
      <c r="AG7275" s="10"/>
      <c r="AH7275" s="10"/>
      <c r="AI7275" s="10"/>
    </row>
    <row r="7276" spans="28:35" ht="15" hidden="1" customHeight="1">
      <c r="AB7276" s="9"/>
      <c r="AC7276" s="9"/>
      <c r="AD7276" s="9"/>
      <c r="AF7276" s="10"/>
      <c r="AG7276" s="10"/>
      <c r="AH7276" s="10"/>
      <c r="AI7276" s="10"/>
    </row>
    <row r="7277" spans="28:35" ht="15" hidden="1" customHeight="1">
      <c r="AB7277" s="9"/>
      <c r="AC7277" s="9"/>
      <c r="AD7277" s="9"/>
      <c r="AF7277" s="10"/>
      <c r="AG7277" s="10"/>
      <c r="AH7277" s="10"/>
      <c r="AI7277" s="10"/>
    </row>
    <row r="7278" spans="28:35" ht="15" hidden="1" customHeight="1">
      <c r="AB7278" s="9"/>
      <c r="AC7278" s="9"/>
      <c r="AD7278" s="9"/>
      <c r="AF7278" s="10"/>
      <c r="AG7278" s="10"/>
      <c r="AH7278" s="10"/>
      <c r="AI7278" s="10"/>
    </row>
    <row r="7279" spans="28:35" ht="15" hidden="1" customHeight="1">
      <c r="AB7279" s="9"/>
      <c r="AC7279" s="9"/>
      <c r="AD7279" s="9"/>
      <c r="AF7279" s="10"/>
      <c r="AG7279" s="10"/>
      <c r="AH7279" s="10"/>
      <c r="AI7279" s="10"/>
    </row>
    <row r="7280" spans="28:35" ht="15" hidden="1" customHeight="1">
      <c r="AB7280" s="9"/>
      <c r="AC7280" s="9"/>
      <c r="AD7280" s="9"/>
      <c r="AF7280" s="10"/>
      <c r="AG7280" s="10"/>
      <c r="AH7280" s="10"/>
      <c r="AI7280" s="10"/>
    </row>
    <row r="7281" spans="28:35" ht="15" hidden="1" customHeight="1">
      <c r="AB7281" s="9"/>
      <c r="AC7281" s="9"/>
      <c r="AD7281" s="9"/>
      <c r="AF7281" s="10"/>
      <c r="AG7281" s="10"/>
      <c r="AH7281" s="10"/>
      <c r="AI7281" s="10"/>
    </row>
    <row r="7282" spans="28:35" ht="15" hidden="1" customHeight="1">
      <c r="AB7282" s="9"/>
      <c r="AC7282" s="9"/>
      <c r="AD7282" s="9"/>
      <c r="AF7282" s="10"/>
      <c r="AG7282" s="10"/>
      <c r="AH7282" s="10"/>
      <c r="AI7282" s="10"/>
    </row>
    <row r="7283" spans="28:35" ht="15" hidden="1" customHeight="1">
      <c r="AB7283" s="9"/>
      <c r="AC7283" s="9"/>
      <c r="AD7283" s="9"/>
      <c r="AF7283" s="10"/>
      <c r="AG7283" s="10"/>
      <c r="AH7283" s="10"/>
      <c r="AI7283" s="10"/>
    </row>
    <row r="7284" spans="28:35" ht="15" hidden="1" customHeight="1">
      <c r="AB7284" s="9"/>
      <c r="AC7284" s="9"/>
      <c r="AD7284" s="9"/>
      <c r="AF7284" s="10"/>
      <c r="AG7284" s="10"/>
      <c r="AH7284" s="10"/>
      <c r="AI7284" s="10"/>
    </row>
    <row r="7285" spans="28:35" ht="15" hidden="1" customHeight="1">
      <c r="AB7285" s="9"/>
      <c r="AC7285" s="9"/>
      <c r="AD7285" s="9"/>
      <c r="AF7285" s="10"/>
      <c r="AG7285" s="10"/>
      <c r="AH7285" s="10"/>
      <c r="AI7285" s="10"/>
    </row>
    <row r="7286" spans="28:35" ht="15" hidden="1" customHeight="1">
      <c r="AB7286" s="9"/>
      <c r="AC7286" s="9"/>
      <c r="AD7286" s="9"/>
      <c r="AF7286" s="10"/>
      <c r="AG7286" s="10"/>
      <c r="AH7286" s="10"/>
      <c r="AI7286" s="10"/>
    </row>
    <row r="7287" spans="28:35" ht="15" hidden="1" customHeight="1">
      <c r="AB7287" s="9"/>
      <c r="AC7287" s="9"/>
      <c r="AD7287" s="9"/>
      <c r="AF7287" s="10"/>
      <c r="AG7287" s="10"/>
      <c r="AH7287" s="10"/>
      <c r="AI7287" s="10"/>
    </row>
    <row r="7288" spans="28:35" ht="15" hidden="1" customHeight="1">
      <c r="AB7288" s="9"/>
      <c r="AC7288" s="9"/>
      <c r="AD7288" s="9"/>
      <c r="AF7288" s="10"/>
      <c r="AG7288" s="10"/>
      <c r="AH7288" s="10"/>
      <c r="AI7288" s="10"/>
    </row>
    <row r="7289" spans="28:35" ht="15" hidden="1" customHeight="1">
      <c r="AB7289" s="9"/>
      <c r="AC7289" s="9"/>
      <c r="AD7289" s="9"/>
      <c r="AF7289" s="10"/>
      <c r="AG7289" s="10"/>
      <c r="AH7289" s="10"/>
      <c r="AI7289" s="10"/>
    </row>
    <row r="7290" spans="28:35" ht="15" hidden="1" customHeight="1">
      <c r="AB7290" s="9"/>
      <c r="AC7290" s="9"/>
      <c r="AD7290" s="9"/>
      <c r="AF7290" s="10"/>
      <c r="AG7290" s="10"/>
      <c r="AH7290" s="10"/>
      <c r="AI7290" s="10"/>
    </row>
    <row r="7291" spans="28:35" ht="15" hidden="1" customHeight="1">
      <c r="AB7291" s="9"/>
      <c r="AC7291" s="9"/>
      <c r="AD7291" s="9"/>
      <c r="AF7291" s="10"/>
      <c r="AG7291" s="10"/>
      <c r="AH7291" s="10"/>
      <c r="AI7291" s="10"/>
    </row>
    <row r="7292" spans="28:35" ht="15" hidden="1" customHeight="1">
      <c r="AB7292" s="9"/>
      <c r="AC7292" s="9"/>
      <c r="AD7292" s="9"/>
      <c r="AF7292" s="10"/>
      <c r="AG7292" s="10"/>
      <c r="AH7292" s="10"/>
      <c r="AI7292" s="10"/>
    </row>
    <row r="7293" spans="28:35" ht="15" hidden="1" customHeight="1">
      <c r="AB7293" s="9"/>
      <c r="AC7293" s="9"/>
      <c r="AD7293" s="9"/>
      <c r="AF7293" s="10"/>
      <c r="AG7293" s="10"/>
      <c r="AH7293" s="10"/>
      <c r="AI7293" s="10"/>
    </row>
    <row r="7294" spans="28:35" ht="15" hidden="1" customHeight="1">
      <c r="AB7294" s="9"/>
      <c r="AC7294" s="9"/>
      <c r="AD7294" s="9"/>
      <c r="AF7294" s="10"/>
      <c r="AG7294" s="10"/>
      <c r="AH7294" s="10"/>
      <c r="AI7294" s="10"/>
    </row>
    <row r="7295" spans="28:35" ht="15" hidden="1" customHeight="1">
      <c r="AB7295" s="9"/>
      <c r="AC7295" s="9"/>
      <c r="AD7295" s="9"/>
      <c r="AF7295" s="10"/>
      <c r="AG7295" s="10"/>
      <c r="AH7295" s="10"/>
      <c r="AI7295" s="10"/>
    </row>
    <row r="7296" spans="28:35" ht="15" hidden="1" customHeight="1">
      <c r="AB7296" s="9"/>
      <c r="AC7296" s="9"/>
      <c r="AD7296" s="9"/>
      <c r="AF7296" s="10"/>
      <c r="AG7296" s="10"/>
      <c r="AH7296" s="10"/>
      <c r="AI7296" s="10"/>
    </row>
    <row r="7297" spans="28:35" ht="15" hidden="1" customHeight="1">
      <c r="AB7297" s="9"/>
      <c r="AC7297" s="9"/>
      <c r="AD7297" s="9"/>
      <c r="AF7297" s="10"/>
      <c r="AG7297" s="10"/>
      <c r="AH7297" s="10"/>
      <c r="AI7297" s="10"/>
    </row>
    <row r="7298" spans="28:35" ht="15" hidden="1" customHeight="1">
      <c r="AB7298" s="9"/>
      <c r="AC7298" s="9"/>
      <c r="AD7298" s="9"/>
      <c r="AF7298" s="10"/>
      <c r="AG7298" s="10"/>
      <c r="AH7298" s="10"/>
      <c r="AI7298" s="10"/>
    </row>
    <row r="7299" spans="28:35" ht="15" hidden="1" customHeight="1">
      <c r="AB7299" s="9"/>
      <c r="AC7299" s="9"/>
      <c r="AD7299" s="9"/>
      <c r="AF7299" s="10"/>
      <c r="AG7299" s="10"/>
      <c r="AH7299" s="10"/>
      <c r="AI7299" s="10"/>
    </row>
    <row r="7300" spans="28:35" ht="15" hidden="1" customHeight="1">
      <c r="AB7300" s="9"/>
      <c r="AC7300" s="9"/>
      <c r="AD7300" s="9"/>
      <c r="AF7300" s="10"/>
      <c r="AG7300" s="10"/>
      <c r="AH7300" s="10"/>
      <c r="AI7300" s="10"/>
    </row>
    <row r="7301" spans="28:35" ht="15" hidden="1" customHeight="1">
      <c r="AB7301" s="9"/>
      <c r="AC7301" s="9"/>
      <c r="AD7301" s="9"/>
      <c r="AF7301" s="10"/>
      <c r="AG7301" s="10"/>
      <c r="AH7301" s="10"/>
      <c r="AI7301" s="10"/>
    </row>
    <row r="7302" spans="28:35" ht="15" hidden="1" customHeight="1">
      <c r="AB7302" s="9"/>
      <c r="AC7302" s="9"/>
      <c r="AD7302" s="9"/>
      <c r="AF7302" s="10"/>
      <c r="AG7302" s="10"/>
      <c r="AH7302" s="10"/>
      <c r="AI7302" s="10"/>
    </row>
    <row r="7303" spans="28:35" ht="15" hidden="1" customHeight="1">
      <c r="AB7303" s="9"/>
      <c r="AC7303" s="9"/>
      <c r="AD7303" s="9"/>
      <c r="AF7303" s="10"/>
      <c r="AG7303" s="10"/>
      <c r="AH7303" s="10"/>
      <c r="AI7303" s="10"/>
    </row>
    <row r="7304" spans="28:35" ht="15" hidden="1" customHeight="1">
      <c r="AB7304" s="9"/>
      <c r="AC7304" s="9"/>
      <c r="AD7304" s="9"/>
      <c r="AF7304" s="10"/>
      <c r="AG7304" s="10"/>
      <c r="AH7304" s="10"/>
      <c r="AI7304" s="10"/>
    </row>
    <row r="7305" spans="28:35" ht="15" hidden="1" customHeight="1">
      <c r="AB7305" s="9"/>
      <c r="AC7305" s="9"/>
      <c r="AD7305" s="9"/>
      <c r="AF7305" s="10"/>
      <c r="AG7305" s="10"/>
      <c r="AH7305" s="10"/>
      <c r="AI7305" s="10"/>
    </row>
    <row r="7306" spans="28:35" ht="15" hidden="1" customHeight="1">
      <c r="AB7306" s="9"/>
      <c r="AC7306" s="9"/>
      <c r="AD7306" s="9"/>
      <c r="AF7306" s="10"/>
      <c r="AG7306" s="10"/>
      <c r="AH7306" s="10"/>
      <c r="AI7306" s="10"/>
    </row>
    <row r="7307" spans="28:35" ht="15" hidden="1" customHeight="1">
      <c r="AB7307" s="9"/>
      <c r="AC7307" s="9"/>
      <c r="AD7307" s="9"/>
      <c r="AF7307" s="10"/>
      <c r="AG7307" s="10"/>
      <c r="AH7307" s="10"/>
      <c r="AI7307" s="10"/>
    </row>
    <row r="7308" spans="28:35" ht="15" hidden="1" customHeight="1">
      <c r="AB7308" s="9"/>
      <c r="AC7308" s="9"/>
      <c r="AD7308" s="9"/>
      <c r="AF7308" s="10"/>
      <c r="AG7308" s="10"/>
      <c r="AH7308" s="10"/>
      <c r="AI7308" s="10"/>
    </row>
    <row r="7309" spans="28:35" ht="15" hidden="1" customHeight="1">
      <c r="AB7309" s="9"/>
      <c r="AC7309" s="9"/>
      <c r="AD7309" s="9"/>
      <c r="AF7309" s="10"/>
      <c r="AG7309" s="10"/>
      <c r="AH7309" s="10"/>
      <c r="AI7309" s="10"/>
    </row>
    <row r="7310" spans="28:35" ht="15" hidden="1" customHeight="1">
      <c r="AB7310" s="9"/>
      <c r="AC7310" s="9"/>
      <c r="AD7310" s="9"/>
      <c r="AF7310" s="10"/>
      <c r="AG7310" s="10"/>
      <c r="AH7310" s="10"/>
      <c r="AI7310" s="10"/>
    </row>
    <row r="7311" spans="28:35" ht="15" hidden="1" customHeight="1">
      <c r="AB7311" s="9"/>
      <c r="AC7311" s="9"/>
      <c r="AD7311" s="9"/>
      <c r="AF7311" s="10"/>
      <c r="AG7311" s="10"/>
      <c r="AH7311" s="10"/>
      <c r="AI7311" s="10"/>
    </row>
    <row r="7312" spans="28:35" ht="15" hidden="1" customHeight="1">
      <c r="AB7312" s="9"/>
      <c r="AC7312" s="9"/>
      <c r="AD7312" s="9"/>
      <c r="AF7312" s="10"/>
      <c r="AG7312" s="10"/>
      <c r="AH7312" s="10"/>
      <c r="AI7312" s="10"/>
    </row>
    <row r="7313" spans="28:35" ht="15" hidden="1" customHeight="1">
      <c r="AB7313" s="9"/>
      <c r="AC7313" s="9"/>
      <c r="AD7313" s="9"/>
      <c r="AF7313" s="10"/>
      <c r="AG7313" s="10"/>
      <c r="AH7313" s="10"/>
      <c r="AI7313" s="10"/>
    </row>
    <row r="7314" spans="28:35" ht="15" hidden="1" customHeight="1">
      <c r="AB7314" s="9"/>
      <c r="AC7314" s="9"/>
      <c r="AD7314" s="9"/>
      <c r="AF7314" s="10"/>
      <c r="AG7314" s="10"/>
      <c r="AH7314" s="10"/>
      <c r="AI7314" s="10"/>
    </row>
    <row r="7315" spans="28:35" ht="15" hidden="1" customHeight="1">
      <c r="AB7315" s="9"/>
      <c r="AC7315" s="9"/>
      <c r="AD7315" s="9"/>
      <c r="AF7315" s="10"/>
      <c r="AG7315" s="10"/>
      <c r="AH7315" s="10"/>
      <c r="AI7315" s="10"/>
    </row>
    <row r="7316" spans="28:35" ht="15" hidden="1" customHeight="1">
      <c r="AB7316" s="9"/>
      <c r="AC7316" s="9"/>
      <c r="AD7316" s="9"/>
      <c r="AF7316" s="10"/>
      <c r="AG7316" s="10"/>
      <c r="AH7316" s="10"/>
      <c r="AI7316" s="10"/>
    </row>
    <row r="7317" spans="28:35" ht="15" hidden="1" customHeight="1">
      <c r="AB7317" s="9"/>
      <c r="AC7317" s="9"/>
      <c r="AD7317" s="9"/>
      <c r="AF7317" s="10"/>
      <c r="AG7317" s="10"/>
      <c r="AH7317" s="10"/>
      <c r="AI7317" s="10"/>
    </row>
    <row r="7318" spans="28:35" ht="15" hidden="1" customHeight="1">
      <c r="AB7318" s="9"/>
      <c r="AC7318" s="9"/>
      <c r="AD7318" s="9"/>
      <c r="AF7318" s="10"/>
      <c r="AG7318" s="10"/>
      <c r="AH7318" s="10"/>
      <c r="AI7318" s="10"/>
    </row>
    <row r="7319" spans="28:35" ht="15" hidden="1" customHeight="1">
      <c r="AB7319" s="9"/>
      <c r="AC7319" s="9"/>
      <c r="AD7319" s="9"/>
      <c r="AF7319" s="10"/>
      <c r="AG7319" s="10"/>
      <c r="AH7319" s="10"/>
      <c r="AI7319" s="10"/>
    </row>
    <row r="7320" spans="28:35" ht="15" hidden="1" customHeight="1">
      <c r="AB7320" s="9"/>
      <c r="AC7320" s="9"/>
      <c r="AD7320" s="9"/>
      <c r="AF7320" s="10"/>
      <c r="AG7320" s="10"/>
      <c r="AH7320" s="10"/>
      <c r="AI7320" s="10"/>
    </row>
    <row r="7321" spans="28:35" ht="15" hidden="1" customHeight="1">
      <c r="AB7321" s="9"/>
      <c r="AC7321" s="9"/>
      <c r="AD7321" s="9"/>
      <c r="AF7321" s="10"/>
      <c r="AG7321" s="10"/>
      <c r="AH7321" s="10"/>
      <c r="AI7321" s="10"/>
    </row>
    <row r="7322" spans="28:35" ht="15" hidden="1" customHeight="1">
      <c r="AB7322" s="9"/>
      <c r="AC7322" s="9"/>
      <c r="AD7322" s="9"/>
      <c r="AF7322" s="10"/>
      <c r="AG7322" s="10"/>
      <c r="AH7322" s="10"/>
      <c r="AI7322" s="10"/>
    </row>
    <row r="7323" spans="28:35" ht="15" hidden="1" customHeight="1">
      <c r="AB7323" s="9"/>
      <c r="AC7323" s="9"/>
      <c r="AD7323" s="9"/>
      <c r="AF7323" s="10"/>
      <c r="AG7323" s="10"/>
      <c r="AH7323" s="10"/>
      <c r="AI7323" s="10"/>
    </row>
    <row r="7324" spans="28:35" ht="15" hidden="1" customHeight="1">
      <c r="AB7324" s="9"/>
      <c r="AC7324" s="9"/>
      <c r="AD7324" s="9"/>
      <c r="AF7324" s="10"/>
      <c r="AG7324" s="10"/>
      <c r="AH7324" s="10"/>
      <c r="AI7324" s="10"/>
    </row>
    <row r="7325" spans="28:35" ht="15" hidden="1" customHeight="1">
      <c r="AB7325" s="9"/>
      <c r="AC7325" s="9"/>
      <c r="AD7325" s="9"/>
      <c r="AF7325" s="10"/>
      <c r="AG7325" s="10"/>
      <c r="AH7325" s="10"/>
      <c r="AI7325" s="10"/>
    </row>
    <row r="7326" spans="28:35" ht="15" hidden="1" customHeight="1">
      <c r="AB7326" s="9"/>
      <c r="AC7326" s="9"/>
      <c r="AD7326" s="9"/>
      <c r="AF7326" s="10"/>
      <c r="AG7326" s="10"/>
      <c r="AH7326" s="10"/>
      <c r="AI7326" s="10"/>
    </row>
    <row r="7327" spans="28:35" ht="15" hidden="1" customHeight="1">
      <c r="AB7327" s="9"/>
      <c r="AC7327" s="9"/>
      <c r="AD7327" s="9"/>
      <c r="AF7327" s="10"/>
      <c r="AG7327" s="10"/>
      <c r="AH7327" s="10"/>
      <c r="AI7327" s="10"/>
    </row>
    <row r="7328" spans="28:35" ht="15" hidden="1" customHeight="1">
      <c r="AB7328" s="9"/>
      <c r="AC7328" s="9"/>
      <c r="AD7328" s="9"/>
      <c r="AF7328" s="10"/>
      <c r="AG7328" s="10"/>
      <c r="AH7328" s="10"/>
      <c r="AI7328" s="10"/>
    </row>
    <row r="7329" spans="28:35" ht="15" hidden="1" customHeight="1">
      <c r="AB7329" s="9"/>
      <c r="AC7329" s="9"/>
      <c r="AD7329" s="9"/>
      <c r="AF7329" s="10"/>
      <c r="AG7329" s="10"/>
      <c r="AH7329" s="10"/>
      <c r="AI7329" s="10"/>
    </row>
    <row r="7330" spans="28:35" ht="15" hidden="1" customHeight="1">
      <c r="AB7330" s="9"/>
      <c r="AC7330" s="9"/>
      <c r="AD7330" s="9"/>
      <c r="AF7330" s="10"/>
      <c r="AG7330" s="10"/>
      <c r="AH7330" s="10"/>
      <c r="AI7330" s="10"/>
    </row>
    <row r="7331" spans="28:35" ht="15" hidden="1" customHeight="1">
      <c r="AB7331" s="9"/>
      <c r="AC7331" s="9"/>
      <c r="AD7331" s="9"/>
      <c r="AF7331" s="10"/>
      <c r="AG7331" s="10"/>
      <c r="AH7331" s="10"/>
      <c r="AI7331" s="10"/>
    </row>
    <row r="7332" spans="28:35" ht="15" hidden="1" customHeight="1">
      <c r="AB7332" s="9"/>
      <c r="AC7332" s="9"/>
      <c r="AD7332" s="9"/>
      <c r="AF7332" s="10"/>
      <c r="AG7332" s="10"/>
      <c r="AH7332" s="10"/>
      <c r="AI7332" s="10"/>
    </row>
    <row r="7333" spans="28:35" ht="15" hidden="1" customHeight="1">
      <c r="AB7333" s="9"/>
      <c r="AC7333" s="9"/>
      <c r="AD7333" s="9"/>
      <c r="AF7333" s="10"/>
      <c r="AG7333" s="10"/>
      <c r="AH7333" s="10"/>
      <c r="AI7333" s="10"/>
    </row>
    <row r="7334" spans="28:35" ht="15" hidden="1" customHeight="1">
      <c r="AB7334" s="9"/>
      <c r="AC7334" s="9"/>
      <c r="AD7334" s="9"/>
      <c r="AF7334" s="10"/>
      <c r="AG7334" s="10"/>
      <c r="AH7334" s="10"/>
      <c r="AI7334" s="10"/>
    </row>
    <row r="7335" spans="28:35" ht="15" hidden="1" customHeight="1">
      <c r="AB7335" s="9"/>
      <c r="AC7335" s="9"/>
      <c r="AD7335" s="9"/>
      <c r="AF7335" s="10"/>
      <c r="AG7335" s="10"/>
      <c r="AH7335" s="10"/>
      <c r="AI7335" s="10"/>
    </row>
    <row r="7336" spans="28:35" ht="15" hidden="1" customHeight="1">
      <c r="AB7336" s="9"/>
      <c r="AC7336" s="9"/>
      <c r="AD7336" s="9"/>
      <c r="AF7336" s="10"/>
      <c r="AG7336" s="10"/>
      <c r="AH7336" s="10"/>
      <c r="AI7336" s="10"/>
    </row>
    <row r="7337" spans="28:35" ht="15" hidden="1" customHeight="1">
      <c r="AB7337" s="9"/>
      <c r="AC7337" s="9"/>
      <c r="AD7337" s="9"/>
      <c r="AF7337" s="10"/>
      <c r="AG7337" s="10"/>
      <c r="AH7337" s="10"/>
      <c r="AI7337" s="10"/>
    </row>
    <row r="7338" spans="28:35" ht="15" hidden="1" customHeight="1">
      <c r="AB7338" s="9"/>
      <c r="AC7338" s="9"/>
      <c r="AD7338" s="9"/>
      <c r="AF7338" s="10"/>
      <c r="AG7338" s="10"/>
      <c r="AH7338" s="10"/>
      <c r="AI7338" s="10"/>
    </row>
    <row r="7339" spans="28:35" ht="15" hidden="1" customHeight="1">
      <c r="AB7339" s="9"/>
      <c r="AC7339" s="9"/>
      <c r="AD7339" s="9"/>
      <c r="AF7339" s="10"/>
      <c r="AG7339" s="10"/>
      <c r="AH7339" s="10"/>
      <c r="AI7339" s="10"/>
    </row>
    <row r="7340" spans="28:35" ht="15" hidden="1" customHeight="1">
      <c r="AB7340" s="9"/>
      <c r="AC7340" s="9"/>
      <c r="AD7340" s="9"/>
      <c r="AF7340" s="10"/>
      <c r="AG7340" s="10"/>
      <c r="AH7340" s="10"/>
      <c r="AI7340" s="10"/>
    </row>
    <row r="7341" spans="28:35" ht="15" hidden="1" customHeight="1">
      <c r="AB7341" s="9"/>
      <c r="AC7341" s="9"/>
      <c r="AD7341" s="9"/>
      <c r="AF7341" s="10"/>
      <c r="AG7341" s="10"/>
      <c r="AH7341" s="10"/>
      <c r="AI7341" s="10"/>
    </row>
    <row r="7342" spans="28:35" ht="15" hidden="1" customHeight="1">
      <c r="AB7342" s="9"/>
      <c r="AC7342" s="9"/>
      <c r="AD7342" s="9"/>
      <c r="AF7342" s="10"/>
      <c r="AG7342" s="10"/>
      <c r="AH7342" s="10"/>
      <c r="AI7342" s="10"/>
    </row>
    <row r="7343" spans="28:35" ht="15" hidden="1" customHeight="1">
      <c r="AB7343" s="9"/>
      <c r="AC7343" s="9"/>
      <c r="AD7343" s="9"/>
      <c r="AF7343" s="10"/>
      <c r="AG7343" s="10"/>
      <c r="AH7343" s="10"/>
      <c r="AI7343" s="10"/>
    </row>
    <row r="7344" spans="28:35" ht="15" hidden="1" customHeight="1">
      <c r="AB7344" s="9"/>
      <c r="AC7344" s="9"/>
      <c r="AD7344" s="9"/>
      <c r="AF7344" s="10"/>
      <c r="AG7344" s="10"/>
      <c r="AH7344" s="10"/>
      <c r="AI7344" s="10"/>
    </row>
    <row r="7345" spans="28:35" ht="15" hidden="1" customHeight="1">
      <c r="AB7345" s="9"/>
      <c r="AC7345" s="9"/>
      <c r="AD7345" s="9"/>
      <c r="AF7345" s="10"/>
      <c r="AG7345" s="10"/>
      <c r="AH7345" s="10"/>
      <c r="AI7345" s="10"/>
    </row>
    <row r="7346" spans="28:35" ht="15" hidden="1" customHeight="1">
      <c r="AB7346" s="9"/>
      <c r="AC7346" s="9"/>
      <c r="AD7346" s="9"/>
      <c r="AF7346" s="10"/>
      <c r="AG7346" s="10"/>
      <c r="AH7346" s="10"/>
      <c r="AI7346" s="10"/>
    </row>
    <row r="7347" spans="28:35" ht="15" hidden="1" customHeight="1">
      <c r="AB7347" s="9"/>
      <c r="AC7347" s="9"/>
      <c r="AD7347" s="9"/>
      <c r="AF7347" s="10"/>
      <c r="AG7347" s="10"/>
      <c r="AH7347" s="10"/>
      <c r="AI7347" s="10"/>
    </row>
    <row r="7348" spans="28:35" ht="15" hidden="1" customHeight="1">
      <c r="AB7348" s="9"/>
      <c r="AC7348" s="9"/>
      <c r="AD7348" s="9"/>
      <c r="AF7348" s="10"/>
      <c r="AG7348" s="10"/>
      <c r="AH7348" s="10"/>
      <c r="AI7348" s="10"/>
    </row>
    <row r="7349" spans="28:35" ht="15" hidden="1" customHeight="1">
      <c r="AB7349" s="9"/>
      <c r="AC7349" s="9"/>
      <c r="AD7349" s="9"/>
      <c r="AF7349" s="10"/>
      <c r="AG7349" s="10"/>
      <c r="AH7349" s="10"/>
      <c r="AI7349" s="10"/>
    </row>
    <row r="7350" spans="28:35" ht="15" hidden="1" customHeight="1">
      <c r="AB7350" s="9"/>
      <c r="AC7350" s="9"/>
      <c r="AD7350" s="9"/>
      <c r="AF7350" s="10"/>
      <c r="AG7350" s="10"/>
      <c r="AH7350" s="10"/>
      <c r="AI7350" s="10"/>
    </row>
    <row r="7351" spans="28:35" ht="15" hidden="1" customHeight="1">
      <c r="AB7351" s="9"/>
      <c r="AC7351" s="9"/>
      <c r="AD7351" s="9"/>
      <c r="AF7351" s="10"/>
      <c r="AG7351" s="10"/>
      <c r="AH7351" s="10"/>
      <c r="AI7351" s="10"/>
    </row>
    <row r="7352" spans="28:35" ht="15" hidden="1" customHeight="1">
      <c r="AB7352" s="9"/>
      <c r="AC7352" s="9"/>
      <c r="AD7352" s="9"/>
      <c r="AF7352" s="10"/>
      <c r="AG7352" s="10"/>
      <c r="AH7352" s="10"/>
      <c r="AI7352" s="10"/>
    </row>
    <row r="7353" spans="28:35" ht="15" hidden="1" customHeight="1">
      <c r="AB7353" s="9"/>
      <c r="AC7353" s="9"/>
      <c r="AD7353" s="9"/>
      <c r="AF7353" s="10"/>
      <c r="AG7353" s="10"/>
      <c r="AH7353" s="10"/>
      <c r="AI7353" s="10"/>
    </row>
    <row r="7354" spans="28:35" ht="15" hidden="1" customHeight="1">
      <c r="AB7354" s="9"/>
      <c r="AC7354" s="9"/>
      <c r="AD7354" s="9"/>
      <c r="AF7354" s="10"/>
      <c r="AG7354" s="10"/>
      <c r="AH7354" s="10"/>
      <c r="AI7354" s="10"/>
    </row>
    <row r="7355" spans="28:35" ht="15" hidden="1" customHeight="1">
      <c r="AB7355" s="9"/>
      <c r="AC7355" s="9"/>
      <c r="AD7355" s="9"/>
      <c r="AF7355" s="10"/>
      <c r="AG7355" s="10"/>
      <c r="AH7355" s="10"/>
      <c r="AI7355" s="10"/>
    </row>
    <row r="7356" spans="28:35" ht="15" hidden="1" customHeight="1">
      <c r="AB7356" s="9"/>
      <c r="AC7356" s="9"/>
      <c r="AD7356" s="9"/>
      <c r="AF7356" s="10"/>
      <c r="AG7356" s="10"/>
      <c r="AH7356" s="10"/>
      <c r="AI7356" s="10"/>
    </row>
    <row r="7357" spans="28:35" ht="15" hidden="1" customHeight="1">
      <c r="AB7357" s="9"/>
      <c r="AC7357" s="9"/>
      <c r="AD7357" s="9"/>
      <c r="AF7357" s="10"/>
      <c r="AG7357" s="10"/>
      <c r="AH7357" s="10"/>
      <c r="AI7357" s="10"/>
    </row>
    <row r="7358" spans="28:35" ht="15" hidden="1" customHeight="1">
      <c r="AB7358" s="9"/>
      <c r="AC7358" s="9"/>
      <c r="AD7358" s="9"/>
      <c r="AF7358" s="10"/>
      <c r="AG7358" s="10"/>
      <c r="AH7358" s="10"/>
      <c r="AI7358" s="10"/>
    </row>
    <row r="7359" spans="28:35" ht="15" hidden="1" customHeight="1">
      <c r="AB7359" s="9"/>
      <c r="AC7359" s="9"/>
      <c r="AD7359" s="9"/>
      <c r="AF7359" s="10"/>
      <c r="AG7359" s="10"/>
      <c r="AH7359" s="10"/>
      <c r="AI7359" s="10"/>
    </row>
    <row r="7360" spans="28:35" ht="15" hidden="1" customHeight="1">
      <c r="AB7360" s="9"/>
      <c r="AC7360" s="9"/>
      <c r="AD7360" s="9"/>
      <c r="AF7360" s="10"/>
      <c r="AG7360" s="10"/>
      <c r="AH7360" s="10"/>
      <c r="AI7360" s="10"/>
    </row>
    <row r="7361" spans="28:35" ht="15" hidden="1" customHeight="1">
      <c r="AB7361" s="9"/>
      <c r="AC7361" s="9"/>
      <c r="AD7361" s="9"/>
      <c r="AF7361" s="10"/>
      <c r="AG7361" s="10"/>
      <c r="AH7361" s="10"/>
      <c r="AI7361" s="10"/>
    </row>
    <row r="7362" spans="28:35" ht="15" hidden="1" customHeight="1">
      <c r="AB7362" s="9"/>
      <c r="AC7362" s="9"/>
      <c r="AD7362" s="9"/>
      <c r="AF7362" s="10"/>
      <c r="AG7362" s="10"/>
      <c r="AH7362" s="10"/>
      <c r="AI7362" s="10"/>
    </row>
    <row r="7363" spans="28:35" ht="15" hidden="1" customHeight="1">
      <c r="AB7363" s="9"/>
      <c r="AC7363" s="9"/>
      <c r="AD7363" s="9"/>
      <c r="AF7363" s="10"/>
      <c r="AG7363" s="10"/>
      <c r="AH7363" s="10"/>
      <c r="AI7363" s="10"/>
    </row>
    <row r="7364" spans="28:35" ht="15" hidden="1" customHeight="1">
      <c r="AB7364" s="9"/>
      <c r="AC7364" s="9"/>
      <c r="AD7364" s="9"/>
      <c r="AF7364" s="10"/>
      <c r="AG7364" s="10"/>
      <c r="AH7364" s="10"/>
      <c r="AI7364" s="10"/>
    </row>
    <row r="7365" spans="28:35" ht="15" hidden="1" customHeight="1">
      <c r="AB7365" s="9"/>
      <c r="AC7365" s="9"/>
      <c r="AD7365" s="9"/>
      <c r="AF7365" s="10"/>
      <c r="AG7365" s="10"/>
      <c r="AH7365" s="10"/>
      <c r="AI7365" s="10"/>
    </row>
    <row r="7366" spans="28:35" ht="15" hidden="1" customHeight="1">
      <c r="AB7366" s="9"/>
      <c r="AC7366" s="9"/>
      <c r="AD7366" s="9"/>
      <c r="AF7366" s="10"/>
      <c r="AG7366" s="10"/>
      <c r="AH7366" s="10"/>
      <c r="AI7366" s="10"/>
    </row>
    <row r="7367" spans="28:35" ht="15" hidden="1" customHeight="1">
      <c r="AB7367" s="9"/>
      <c r="AC7367" s="9"/>
      <c r="AD7367" s="9"/>
      <c r="AF7367" s="10"/>
      <c r="AG7367" s="10"/>
      <c r="AH7367" s="10"/>
      <c r="AI7367" s="10"/>
    </row>
    <row r="7368" spans="28:35" ht="15" hidden="1" customHeight="1">
      <c r="AB7368" s="9"/>
      <c r="AC7368" s="9"/>
      <c r="AD7368" s="9"/>
      <c r="AF7368" s="10"/>
      <c r="AG7368" s="10"/>
      <c r="AH7368" s="10"/>
      <c r="AI7368" s="10"/>
    </row>
    <row r="7369" spans="28:35" ht="15" hidden="1" customHeight="1">
      <c r="AB7369" s="9"/>
      <c r="AC7369" s="9"/>
      <c r="AD7369" s="9"/>
      <c r="AF7369" s="10"/>
      <c r="AG7369" s="10"/>
      <c r="AH7369" s="10"/>
      <c r="AI7369" s="10"/>
    </row>
    <row r="7370" spans="28:35" ht="15" hidden="1" customHeight="1">
      <c r="AB7370" s="9"/>
      <c r="AC7370" s="9"/>
      <c r="AD7370" s="9"/>
      <c r="AF7370" s="10"/>
      <c r="AG7370" s="10"/>
      <c r="AH7370" s="10"/>
      <c r="AI7370" s="10"/>
    </row>
    <row r="7371" spans="28:35" ht="15" hidden="1" customHeight="1">
      <c r="AB7371" s="9"/>
      <c r="AC7371" s="9"/>
      <c r="AD7371" s="9"/>
      <c r="AF7371" s="10"/>
      <c r="AG7371" s="10"/>
      <c r="AH7371" s="10"/>
      <c r="AI7371" s="10"/>
    </row>
    <row r="7372" spans="28:35" ht="15" hidden="1" customHeight="1">
      <c r="AB7372" s="9"/>
      <c r="AC7372" s="9"/>
      <c r="AD7372" s="9"/>
      <c r="AF7372" s="10"/>
      <c r="AG7372" s="10"/>
      <c r="AH7372" s="10"/>
      <c r="AI7372" s="10"/>
    </row>
    <row r="7373" spans="28:35" ht="15" hidden="1" customHeight="1">
      <c r="AB7373" s="9"/>
      <c r="AC7373" s="9"/>
      <c r="AD7373" s="9"/>
      <c r="AF7373" s="10"/>
      <c r="AG7373" s="10"/>
      <c r="AH7373" s="10"/>
      <c r="AI7373" s="10"/>
    </row>
    <row r="7374" spans="28:35" ht="15" hidden="1" customHeight="1">
      <c r="AB7374" s="9"/>
      <c r="AC7374" s="9"/>
      <c r="AD7374" s="9"/>
      <c r="AF7374" s="10"/>
      <c r="AG7374" s="10"/>
      <c r="AH7374" s="10"/>
      <c r="AI7374" s="10"/>
    </row>
    <row r="7375" spans="28:35" ht="15" hidden="1" customHeight="1">
      <c r="AB7375" s="9"/>
      <c r="AC7375" s="9"/>
      <c r="AD7375" s="9"/>
      <c r="AF7375" s="10"/>
      <c r="AG7375" s="10"/>
      <c r="AH7375" s="10"/>
      <c r="AI7375" s="10"/>
    </row>
    <row r="7376" spans="28:35" ht="15" hidden="1" customHeight="1">
      <c r="AB7376" s="9"/>
      <c r="AC7376" s="9"/>
      <c r="AD7376" s="9"/>
      <c r="AF7376" s="10"/>
      <c r="AG7376" s="10"/>
      <c r="AH7376" s="10"/>
      <c r="AI7376" s="10"/>
    </row>
    <row r="7377" spans="28:35" ht="15" hidden="1" customHeight="1">
      <c r="AB7377" s="9"/>
      <c r="AC7377" s="9"/>
      <c r="AD7377" s="9"/>
      <c r="AF7377" s="10"/>
      <c r="AG7377" s="10"/>
      <c r="AH7377" s="10"/>
      <c r="AI7377" s="10"/>
    </row>
    <row r="7378" spans="28:35" ht="15" hidden="1" customHeight="1">
      <c r="AB7378" s="9"/>
      <c r="AC7378" s="9"/>
      <c r="AD7378" s="9"/>
      <c r="AF7378" s="10"/>
      <c r="AG7378" s="10"/>
      <c r="AH7378" s="10"/>
      <c r="AI7378" s="10"/>
    </row>
    <row r="7379" spans="28:35" ht="15" hidden="1" customHeight="1">
      <c r="AB7379" s="9"/>
      <c r="AC7379" s="9"/>
      <c r="AD7379" s="9"/>
      <c r="AF7379" s="10"/>
      <c r="AG7379" s="10"/>
      <c r="AH7379" s="10"/>
      <c r="AI7379" s="10"/>
    </row>
    <row r="7380" spans="28:35" ht="15" hidden="1" customHeight="1">
      <c r="AB7380" s="9"/>
      <c r="AC7380" s="9"/>
      <c r="AD7380" s="9"/>
      <c r="AF7380" s="10"/>
      <c r="AG7380" s="10"/>
      <c r="AH7380" s="10"/>
      <c r="AI7380" s="10"/>
    </row>
    <row r="7381" spans="28:35" ht="15" hidden="1" customHeight="1">
      <c r="AB7381" s="9"/>
      <c r="AC7381" s="9"/>
      <c r="AD7381" s="9"/>
      <c r="AF7381" s="10"/>
      <c r="AG7381" s="10"/>
      <c r="AH7381" s="10"/>
      <c r="AI7381" s="10"/>
    </row>
    <row r="7382" spans="28:35" ht="15" hidden="1" customHeight="1">
      <c r="AB7382" s="9"/>
      <c r="AC7382" s="9"/>
      <c r="AD7382" s="9"/>
      <c r="AF7382" s="10"/>
      <c r="AG7382" s="10"/>
      <c r="AH7382" s="10"/>
      <c r="AI7382" s="10"/>
    </row>
    <row r="7383" spans="28:35" ht="15" hidden="1" customHeight="1">
      <c r="AB7383" s="9"/>
      <c r="AC7383" s="9"/>
      <c r="AD7383" s="9"/>
      <c r="AF7383" s="10"/>
      <c r="AG7383" s="10"/>
      <c r="AH7383" s="10"/>
      <c r="AI7383" s="10"/>
    </row>
    <row r="7384" spans="28:35" ht="15" hidden="1" customHeight="1">
      <c r="AB7384" s="9"/>
      <c r="AC7384" s="9"/>
      <c r="AD7384" s="9"/>
      <c r="AF7384" s="10"/>
      <c r="AG7384" s="10"/>
      <c r="AH7384" s="10"/>
      <c r="AI7384" s="10"/>
    </row>
    <row r="7385" spans="28:35" ht="15" hidden="1" customHeight="1">
      <c r="AB7385" s="9"/>
      <c r="AC7385" s="9"/>
      <c r="AD7385" s="9"/>
      <c r="AF7385" s="10"/>
      <c r="AG7385" s="10"/>
      <c r="AH7385" s="10"/>
      <c r="AI7385" s="10"/>
    </row>
    <row r="7386" spans="28:35" ht="15" hidden="1" customHeight="1">
      <c r="AB7386" s="9"/>
      <c r="AC7386" s="9"/>
      <c r="AD7386" s="9"/>
      <c r="AF7386" s="10"/>
      <c r="AG7386" s="10"/>
      <c r="AH7386" s="10"/>
      <c r="AI7386" s="10"/>
    </row>
    <row r="7387" spans="28:35" ht="15" hidden="1" customHeight="1">
      <c r="AB7387" s="9"/>
      <c r="AC7387" s="9"/>
      <c r="AD7387" s="9"/>
      <c r="AF7387" s="10"/>
      <c r="AG7387" s="10"/>
      <c r="AH7387" s="10"/>
      <c r="AI7387" s="10"/>
    </row>
    <row r="7388" spans="28:35" ht="15" hidden="1" customHeight="1">
      <c r="AB7388" s="9"/>
      <c r="AC7388" s="9"/>
      <c r="AD7388" s="9"/>
      <c r="AF7388" s="10"/>
      <c r="AG7388" s="10"/>
      <c r="AH7388" s="10"/>
      <c r="AI7388" s="10"/>
    </row>
    <row r="7389" spans="28:35" ht="15" hidden="1" customHeight="1">
      <c r="AB7389" s="9"/>
      <c r="AC7389" s="9"/>
      <c r="AD7389" s="9"/>
      <c r="AF7389" s="10"/>
      <c r="AG7389" s="10"/>
      <c r="AH7389" s="10"/>
      <c r="AI7389" s="10"/>
    </row>
    <row r="7390" spans="28:35" ht="15" hidden="1" customHeight="1">
      <c r="AB7390" s="9"/>
      <c r="AC7390" s="9"/>
      <c r="AD7390" s="9"/>
      <c r="AF7390" s="10"/>
      <c r="AG7390" s="10"/>
      <c r="AH7390" s="10"/>
      <c r="AI7390" s="10"/>
    </row>
    <row r="7391" spans="28:35" ht="15" hidden="1" customHeight="1">
      <c r="AB7391" s="9"/>
      <c r="AC7391" s="9"/>
      <c r="AD7391" s="9"/>
      <c r="AF7391" s="10"/>
      <c r="AG7391" s="10"/>
      <c r="AH7391" s="10"/>
      <c r="AI7391" s="10"/>
    </row>
    <row r="7392" spans="28:35" ht="15" hidden="1" customHeight="1">
      <c r="AB7392" s="9"/>
      <c r="AC7392" s="9"/>
      <c r="AD7392" s="9"/>
      <c r="AF7392" s="10"/>
      <c r="AG7392" s="10"/>
      <c r="AH7392" s="10"/>
      <c r="AI7392" s="10"/>
    </row>
    <row r="7393" spans="28:35" ht="15" hidden="1" customHeight="1">
      <c r="AB7393" s="9"/>
      <c r="AC7393" s="9"/>
      <c r="AD7393" s="9"/>
      <c r="AF7393" s="10"/>
      <c r="AG7393" s="10"/>
      <c r="AH7393" s="10"/>
      <c r="AI7393" s="10"/>
    </row>
    <row r="7394" spans="28:35" ht="15" hidden="1" customHeight="1">
      <c r="AB7394" s="9"/>
      <c r="AC7394" s="9"/>
      <c r="AD7394" s="9"/>
      <c r="AF7394" s="10"/>
      <c r="AG7394" s="10"/>
      <c r="AH7394" s="10"/>
      <c r="AI7394" s="10"/>
    </row>
    <row r="7395" spans="28:35" ht="15" hidden="1" customHeight="1">
      <c r="AB7395" s="9"/>
      <c r="AC7395" s="9"/>
      <c r="AD7395" s="9"/>
      <c r="AF7395" s="10"/>
      <c r="AG7395" s="10"/>
      <c r="AH7395" s="10"/>
      <c r="AI7395" s="10"/>
    </row>
    <row r="7396" spans="28:35" ht="15" hidden="1" customHeight="1">
      <c r="AB7396" s="9"/>
      <c r="AC7396" s="9"/>
      <c r="AD7396" s="9"/>
      <c r="AF7396" s="10"/>
      <c r="AG7396" s="10"/>
      <c r="AH7396" s="10"/>
      <c r="AI7396" s="10"/>
    </row>
    <row r="7397" spans="28:35" ht="15" hidden="1" customHeight="1">
      <c r="AB7397" s="9"/>
      <c r="AC7397" s="9"/>
      <c r="AD7397" s="9"/>
      <c r="AF7397" s="10"/>
      <c r="AG7397" s="10"/>
      <c r="AH7397" s="10"/>
      <c r="AI7397" s="10"/>
    </row>
    <row r="7398" spans="28:35" ht="15" hidden="1" customHeight="1">
      <c r="AB7398" s="9"/>
      <c r="AC7398" s="9"/>
      <c r="AD7398" s="9"/>
      <c r="AF7398" s="10"/>
      <c r="AG7398" s="10"/>
      <c r="AH7398" s="10"/>
      <c r="AI7398" s="10"/>
    </row>
    <row r="7399" spans="28:35" ht="15" hidden="1" customHeight="1">
      <c r="AB7399" s="9"/>
      <c r="AC7399" s="9"/>
      <c r="AD7399" s="9"/>
      <c r="AF7399" s="10"/>
      <c r="AG7399" s="10"/>
      <c r="AH7399" s="10"/>
      <c r="AI7399" s="10"/>
    </row>
    <row r="7400" spans="28:35" ht="15" hidden="1" customHeight="1">
      <c r="AB7400" s="9"/>
      <c r="AC7400" s="9"/>
      <c r="AD7400" s="9"/>
      <c r="AF7400" s="10"/>
      <c r="AG7400" s="10"/>
      <c r="AH7400" s="10"/>
      <c r="AI7400" s="10"/>
    </row>
    <row r="7401" spans="28:35" ht="15" hidden="1" customHeight="1">
      <c r="AB7401" s="9"/>
      <c r="AC7401" s="9"/>
      <c r="AD7401" s="9"/>
      <c r="AF7401" s="10"/>
      <c r="AG7401" s="10"/>
      <c r="AH7401" s="10"/>
      <c r="AI7401" s="10"/>
    </row>
    <row r="7402" spans="28:35" ht="15" hidden="1" customHeight="1">
      <c r="AB7402" s="9"/>
      <c r="AC7402" s="9"/>
      <c r="AD7402" s="9"/>
      <c r="AF7402" s="10"/>
      <c r="AG7402" s="10"/>
      <c r="AH7402" s="10"/>
      <c r="AI7402" s="10"/>
    </row>
    <row r="7403" spans="28:35" ht="15" hidden="1" customHeight="1">
      <c r="AB7403" s="9"/>
      <c r="AC7403" s="9"/>
      <c r="AD7403" s="9"/>
      <c r="AF7403" s="10"/>
      <c r="AG7403" s="10"/>
      <c r="AH7403" s="10"/>
      <c r="AI7403" s="10"/>
    </row>
    <row r="7404" spans="28:35" ht="15" hidden="1" customHeight="1">
      <c r="AB7404" s="9"/>
      <c r="AC7404" s="9"/>
      <c r="AD7404" s="9"/>
      <c r="AF7404" s="10"/>
      <c r="AG7404" s="10"/>
      <c r="AH7404" s="10"/>
      <c r="AI7404" s="10"/>
    </row>
    <row r="7405" spans="28:35" ht="15" hidden="1" customHeight="1">
      <c r="AB7405" s="9"/>
      <c r="AC7405" s="9"/>
      <c r="AD7405" s="9"/>
      <c r="AF7405" s="10"/>
      <c r="AG7405" s="10"/>
      <c r="AH7405" s="10"/>
      <c r="AI7405" s="10"/>
    </row>
    <row r="7406" spans="28:35" ht="15" hidden="1" customHeight="1">
      <c r="AB7406" s="9"/>
      <c r="AC7406" s="9"/>
      <c r="AD7406" s="9"/>
      <c r="AF7406" s="10"/>
      <c r="AG7406" s="10"/>
      <c r="AH7406" s="10"/>
      <c r="AI7406" s="10"/>
    </row>
    <row r="7407" spans="28:35" ht="15" hidden="1" customHeight="1">
      <c r="AB7407" s="9"/>
      <c r="AC7407" s="9"/>
      <c r="AD7407" s="9"/>
      <c r="AF7407" s="10"/>
      <c r="AG7407" s="10"/>
      <c r="AH7407" s="10"/>
      <c r="AI7407" s="10"/>
    </row>
    <row r="7408" spans="28:35" ht="15" hidden="1" customHeight="1">
      <c r="AB7408" s="9"/>
      <c r="AC7408" s="9"/>
      <c r="AD7408" s="9"/>
      <c r="AF7408" s="10"/>
      <c r="AG7408" s="10"/>
      <c r="AH7408" s="10"/>
      <c r="AI7408" s="10"/>
    </row>
    <row r="7409" spans="28:35" ht="15" hidden="1" customHeight="1">
      <c r="AB7409" s="9"/>
      <c r="AC7409" s="9"/>
      <c r="AD7409" s="9"/>
      <c r="AF7409" s="10"/>
      <c r="AG7409" s="10"/>
      <c r="AH7409" s="10"/>
      <c r="AI7409" s="10"/>
    </row>
    <row r="7410" spans="28:35" ht="15" hidden="1" customHeight="1">
      <c r="AB7410" s="9"/>
      <c r="AC7410" s="9"/>
      <c r="AD7410" s="9"/>
      <c r="AF7410" s="10"/>
      <c r="AG7410" s="10"/>
      <c r="AH7410" s="10"/>
      <c r="AI7410" s="10"/>
    </row>
    <row r="7411" spans="28:35" ht="15" hidden="1" customHeight="1">
      <c r="AB7411" s="9"/>
      <c r="AC7411" s="9"/>
      <c r="AD7411" s="9"/>
      <c r="AF7411" s="10"/>
      <c r="AG7411" s="10"/>
      <c r="AH7411" s="10"/>
      <c r="AI7411" s="10"/>
    </row>
    <row r="7412" spans="28:35" ht="15" hidden="1" customHeight="1">
      <c r="AB7412" s="9"/>
      <c r="AC7412" s="9"/>
      <c r="AD7412" s="9"/>
      <c r="AF7412" s="10"/>
      <c r="AG7412" s="10"/>
      <c r="AH7412" s="10"/>
      <c r="AI7412" s="10"/>
    </row>
    <row r="7413" spans="28:35" ht="15" hidden="1" customHeight="1">
      <c r="AB7413" s="9"/>
      <c r="AC7413" s="9"/>
      <c r="AD7413" s="9"/>
      <c r="AF7413" s="10"/>
      <c r="AG7413" s="10"/>
      <c r="AH7413" s="10"/>
      <c r="AI7413" s="10"/>
    </row>
    <row r="7414" spans="28:35" ht="15" hidden="1" customHeight="1">
      <c r="AB7414" s="9"/>
      <c r="AC7414" s="9"/>
      <c r="AD7414" s="9"/>
      <c r="AF7414" s="10"/>
      <c r="AG7414" s="10"/>
      <c r="AH7414" s="10"/>
      <c r="AI7414" s="10"/>
    </row>
    <row r="7415" spans="28:35" ht="15" hidden="1" customHeight="1">
      <c r="AB7415" s="9"/>
      <c r="AC7415" s="9"/>
      <c r="AD7415" s="9"/>
      <c r="AF7415" s="10"/>
      <c r="AG7415" s="10"/>
      <c r="AH7415" s="10"/>
      <c r="AI7415" s="10"/>
    </row>
    <row r="7416" spans="28:35" ht="15" hidden="1" customHeight="1">
      <c r="AB7416" s="9"/>
      <c r="AC7416" s="9"/>
      <c r="AD7416" s="9"/>
      <c r="AF7416" s="10"/>
      <c r="AG7416" s="10"/>
      <c r="AH7416" s="10"/>
      <c r="AI7416" s="10"/>
    </row>
    <row r="7417" spans="28:35" ht="15" hidden="1" customHeight="1">
      <c r="AB7417" s="9"/>
      <c r="AC7417" s="9"/>
      <c r="AD7417" s="9"/>
      <c r="AF7417" s="10"/>
      <c r="AG7417" s="10"/>
      <c r="AH7417" s="10"/>
      <c r="AI7417" s="10"/>
    </row>
    <row r="7418" spans="28:35" ht="15" hidden="1" customHeight="1">
      <c r="AB7418" s="9"/>
      <c r="AC7418" s="9"/>
      <c r="AD7418" s="9"/>
      <c r="AF7418" s="10"/>
      <c r="AG7418" s="10"/>
      <c r="AH7418" s="10"/>
      <c r="AI7418" s="10"/>
    </row>
    <row r="7419" spans="28:35" ht="15" hidden="1" customHeight="1">
      <c r="AB7419" s="9"/>
      <c r="AC7419" s="9"/>
      <c r="AD7419" s="9"/>
      <c r="AF7419" s="10"/>
      <c r="AG7419" s="10"/>
      <c r="AH7419" s="10"/>
      <c r="AI7419" s="10"/>
    </row>
    <row r="7420" spans="28:35" ht="15" hidden="1" customHeight="1">
      <c r="AB7420" s="9"/>
      <c r="AC7420" s="9"/>
      <c r="AD7420" s="9"/>
      <c r="AF7420" s="10"/>
      <c r="AG7420" s="10"/>
      <c r="AH7420" s="10"/>
      <c r="AI7420" s="10"/>
    </row>
    <row r="7421" spans="28:35" ht="15" hidden="1" customHeight="1">
      <c r="AB7421" s="9"/>
      <c r="AC7421" s="9"/>
      <c r="AD7421" s="9"/>
      <c r="AF7421" s="10"/>
      <c r="AG7421" s="10"/>
      <c r="AH7421" s="10"/>
      <c r="AI7421" s="10"/>
    </row>
    <row r="7422" spans="28:35" ht="15" hidden="1" customHeight="1">
      <c r="AB7422" s="9"/>
      <c r="AC7422" s="9"/>
      <c r="AD7422" s="9"/>
      <c r="AF7422" s="10"/>
      <c r="AG7422" s="10"/>
      <c r="AH7422" s="10"/>
      <c r="AI7422" s="10"/>
    </row>
    <row r="7423" spans="28:35" ht="15" hidden="1" customHeight="1">
      <c r="AB7423" s="9"/>
      <c r="AC7423" s="9"/>
      <c r="AD7423" s="9"/>
      <c r="AF7423" s="10"/>
      <c r="AG7423" s="10"/>
      <c r="AH7423" s="10"/>
      <c r="AI7423" s="10"/>
    </row>
    <row r="7424" spans="28:35" ht="15" hidden="1" customHeight="1">
      <c r="AB7424" s="9"/>
      <c r="AC7424" s="9"/>
      <c r="AD7424" s="9"/>
      <c r="AF7424" s="10"/>
      <c r="AG7424" s="10"/>
      <c r="AH7424" s="10"/>
      <c r="AI7424" s="10"/>
    </row>
    <row r="7425" spans="28:35" ht="15" hidden="1" customHeight="1">
      <c r="AB7425" s="9"/>
      <c r="AC7425" s="9"/>
      <c r="AD7425" s="9"/>
      <c r="AF7425" s="10"/>
      <c r="AG7425" s="10"/>
      <c r="AH7425" s="10"/>
      <c r="AI7425" s="10"/>
    </row>
    <row r="7426" spans="28:35" ht="15" hidden="1" customHeight="1">
      <c r="AB7426" s="9"/>
      <c r="AC7426" s="9"/>
      <c r="AD7426" s="9"/>
      <c r="AF7426" s="10"/>
      <c r="AG7426" s="10"/>
      <c r="AH7426" s="10"/>
      <c r="AI7426" s="10"/>
    </row>
    <row r="7427" spans="28:35" ht="15" hidden="1" customHeight="1">
      <c r="AB7427" s="9"/>
      <c r="AC7427" s="9"/>
      <c r="AD7427" s="9"/>
      <c r="AF7427" s="10"/>
      <c r="AG7427" s="10"/>
      <c r="AH7427" s="10"/>
      <c r="AI7427" s="10"/>
    </row>
    <row r="7428" spans="28:35" ht="15" hidden="1" customHeight="1">
      <c r="AB7428" s="9"/>
      <c r="AC7428" s="9"/>
      <c r="AD7428" s="9"/>
      <c r="AF7428" s="10"/>
      <c r="AG7428" s="10"/>
      <c r="AH7428" s="10"/>
      <c r="AI7428" s="10"/>
    </row>
    <row r="7429" spans="28:35" ht="15" hidden="1" customHeight="1">
      <c r="AB7429" s="9"/>
      <c r="AC7429" s="9"/>
      <c r="AD7429" s="9"/>
      <c r="AF7429" s="10"/>
      <c r="AG7429" s="10"/>
      <c r="AH7429" s="10"/>
      <c r="AI7429" s="10"/>
    </row>
    <row r="7430" spans="28:35" ht="15" hidden="1" customHeight="1">
      <c r="AB7430" s="9"/>
      <c r="AC7430" s="9"/>
      <c r="AD7430" s="9"/>
      <c r="AF7430" s="10"/>
      <c r="AG7430" s="10"/>
      <c r="AH7430" s="10"/>
      <c r="AI7430" s="10"/>
    </row>
    <row r="7431" spans="28:35" ht="15" hidden="1" customHeight="1">
      <c r="AB7431" s="9"/>
      <c r="AC7431" s="9"/>
      <c r="AD7431" s="9"/>
      <c r="AF7431" s="10"/>
      <c r="AG7431" s="10"/>
      <c r="AH7431" s="10"/>
      <c r="AI7431" s="10"/>
    </row>
    <row r="7432" spans="28:35" ht="15" hidden="1" customHeight="1">
      <c r="AB7432" s="9"/>
      <c r="AC7432" s="9"/>
      <c r="AD7432" s="9"/>
      <c r="AF7432" s="10"/>
      <c r="AG7432" s="10"/>
      <c r="AH7432" s="10"/>
      <c r="AI7432" s="10"/>
    </row>
    <row r="7433" spans="28:35" ht="15" hidden="1" customHeight="1">
      <c r="AB7433" s="9"/>
      <c r="AC7433" s="9"/>
      <c r="AD7433" s="9"/>
      <c r="AF7433" s="10"/>
      <c r="AG7433" s="10"/>
      <c r="AH7433" s="10"/>
      <c r="AI7433" s="10"/>
    </row>
    <row r="7434" spans="28:35" ht="15" hidden="1" customHeight="1">
      <c r="AB7434" s="9"/>
      <c r="AC7434" s="9"/>
      <c r="AD7434" s="9"/>
      <c r="AF7434" s="10"/>
      <c r="AG7434" s="10"/>
      <c r="AH7434" s="10"/>
      <c r="AI7434" s="10"/>
    </row>
    <row r="7435" spans="28:35" ht="15" hidden="1" customHeight="1">
      <c r="AB7435" s="9"/>
      <c r="AC7435" s="9"/>
      <c r="AD7435" s="9"/>
      <c r="AF7435" s="10"/>
      <c r="AG7435" s="10"/>
      <c r="AH7435" s="10"/>
      <c r="AI7435" s="10"/>
    </row>
    <row r="7436" spans="28:35" ht="15" hidden="1" customHeight="1">
      <c r="AB7436" s="9"/>
      <c r="AC7436" s="9"/>
      <c r="AD7436" s="9"/>
      <c r="AF7436" s="10"/>
      <c r="AG7436" s="10"/>
      <c r="AH7436" s="10"/>
      <c r="AI7436" s="10"/>
    </row>
    <row r="7437" spans="28:35" ht="15" hidden="1" customHeight="1">
      <c r="AB7437" s="9"/>
      <c r="AC7437" s="9"/>
      <c r="AD7437" s="9"/>
      <c r="AF7437" s="10"/>
      <c r="AG7437" s="10"/>
      <c r="AH7437" s="10"/>
      <c r="AI7437" s="10"/>
    </row>
    <row r="7438" spans="28:35" ht="15" hidden="1" customHeight="1">
      <c r="AB7438" s="9"/>
      <c r="AC7438" s="9"/>
      <c r="AD7438" s="9"/>
      <c r="AF7438" s="10"/>
      <c r="AG7438" s="10"/>
      <c r="AH7438" s="10"/>
      <c r="AI7438" s="10"/>
    </row>
    <row r="7439" spans="28:35" ht="15" hidden="1" customHeight="1">
      <c r="AB7439" s="9"/>
      <c r="AC7439" s="9"/>
      <c r="AD7439" s="9"/>
      <c r="AF7439" s="10"/>
      <c r="AG7439" s="10"/>
      <c r="AH7439" s="10"/>
      <c r="AI7439" s="10"/>
    </row>
    <row r="7440" spans="28:35" ht="15" hidden="1" customHeight="1">
      <c r="AB7440" s="9"/>
      <c r="AC7440" s="9"/>
      <c r="AD7440" s="9"/>
      <c r="AF7440" s="10"/>
      <c r="AG7440" s="10"/>
      <c r="AH7440" s="10"/>
      <c r="AI7440" s="10"/>
    </row>
    <row r="7441" spans="28:35" ht="15" hidden="1" customHeight="1">
      <c r="AB7441" s="9"/>
      <c r="AC7441" s="9"/>
      <c r="AD7441" s="9"/>
      <c r="AF7441" s="10"/>
      <c r="AG7441" s="10"/>
      <c r="AH7441" s="10"/>
      <c r="AI7441" s="10"/>
    </row>
    <row r="7442" spans="28:35" ht="15" hidden="1" customHeight="1">
      <c r="AB7442" s="9"/>
      <c r="AC7442" s="9"/>
      <c r="AD7442" s="9"/>
      <c r="AF7442" s="10"/>
      <c r="AG7442" s="10"/>
      <c r="AH7442" s="10"/>
      <c r="AI7442" s="10"/>
    </row>
    <row r="7443" spans="28:35" ht="15" hidden="1" customHeight="1">
      <c r="AB7443" s="9"/>
      <c r="AC7443" s="9"/>
      <c r="AD7443" s="9"/>
      <c r="AF7443" s="10"/>
      <c r="AG7443" s="10"/>
      <c r="AH7443" s="10"/>
      <c r="AI7443" s="10"/>
    </row>
    <row r="7444" spans="28:35" ht="15" hidden="1" customHeight="1">
      <c r="AB7444" s="9"/>
      <c r="AC7444" s="9"/>
      <c r="AD7444" s="9"/>
      <c r="AF7444" s="10"/>
      <c r="AG7444" s="10"/>
      <c r="AH7444" s="10"/>
      <c r="AI7444" s="10"/>
    </row>
    <row r="7445" spans="28:35" ht="15" hidden="1" customHeight="1">
      <c r="AB7445" s="9"/>
      <c r="AC7445" s="9"/>
      <c r="AD7445" s="9"/>
      <c r="AF7445" s="10"/>
      <c r="AG7445" s="10"/>
      <c r="AH7445" s="10"/>
      <c r="AI7445" s="10"/>
    </row>
    <row r="7446" spans="28:35" ht="15" hidden="1" customHeight="1">
      <c r="AB7446" s="9"/>
      <c r="AC7446" s="9"/>
      <c r="AD7446" s="9"/>
      <c r="AF7446" s="10"/>
      <c r="AG7446" s="10"/>
      <c r="AH7446" s="10"/>
      <c r="AI7446" s="10"/>
    </row>
    <row r="7447" spans="28:35" ht="15" hidden="1" customHeight="1">
      <c r="AB7447" s="9"/>
      <c r="AC7447" s="9"/>
      <c r="AD7447" s="9"/>
      <c r="AF7447" s="10"/>
      <c r="AG7447" s="10"/>
      <c r="AH7447" s="10"/>
      <c r="AI7447" s="10"/>
    </row>
    <row r="7448" spans="28:35" ht="15" hidden="1" customHeight="1">
      <c r="AB7448" s="9"/>
      <c r="AC7448" s="9"/>
      <c r="AD7448" s="9"/>
      <c r="AF7448" s="10"/>
      <c r="AG7448" s="10"/>
      <c r="AH7448" s="10"/>
      <c r="AI7448" s="10"/>
    </row>
    <row r="7449" spans="28:35" ht="15" hidden="1" customHeight="1">
      <c r="AB7449" s="9"/>
      <c r="AC7449" s="9"/>
      <c r="AD7449" s="9"/>
      <c r="AF7449" s="10"/>
      <c r="AG7449" s="10"/>
      <c r="AH7449" s="10"/>
      <c r="AI7449" s="10"/>
    </row>
    <row r="7450" spans="28:35" ht="15" hidden="1" customHeight="1">
      <c r="AB7450" s="9"/>
      <c r="AC7450" s="9"/>
      <c r="AD7450" s="9"/>
      <c r="AF7450" s="10"/>
      <c r="AG7450" s="10"/>
      <c r="AH7450" s="10"/>
      <c r="AI7450" s="10"/>
    </row>
    <row r="7451" spans="28:35" ht="15" hidden="1" customHeight="1">
      <c r="AB7451" s="9"/>
      <c r="AC7451" s="9"/>
      <c r="AD7451" s="9"/>
      <c r="AF7451" s="10"/>
      <c r="AG7451" s="10"/>
      <c r="AH7451" s="10"/>
      <c r="AI7451" s="10"/>
    </row>
    <row r="7452" spans="28:35" ht="15" hidden="1" customHeight="1">
      <c r="AB7452" s="9"/>
      <c r="AC7452" s="9"/>
      <c r="AD7452" s="9"/>
      <c r="AF7452" s="10"/>
      <c r="AG7452" s="10"/>
      <c r="AH7452" s="10"/>
      <c r="AI7452" s="10"/>
    </row>
    <row r="7453" spans="28:35" ht="15" hidden="1" customHeight="1">
      <c r="AB7453" s="9"/>
      <c r="AC7453" s="9"/>
      <c r="AD7453" s="9"/>
      <c r="AF7453" s="10"/>
      <c r="AG7453" s="10"/>
      <c r="AH7453" s="10"/>
      <c r="AI7453" s="10"/>
    </row>
    <row r="7454" spans="28:35" ht="15" hidden="1" customHeight="1">
      <c r="AB7454" s="9"/>
      <c r="AC7454" s="9"/>
      <c r="AD7454" s="9"/>
      <c r="AF7454" s="10"/>
      <c r="AG7454" s="10"/>
      <c r="AH7454" s="10"/>
      <c r="AI7454" s="10"/>
    </row>
    <row r="7455" spans="28:35" ht="15" hidden="1" customHeight="1">
      <c r="AB7455" s="9"/>
      <c r="AC7455" s="9"/>
      <c r="AD7455" s="9"/>
      <c r="AF7455" s="10"/>
      <c r="AG7455" s="10"/>
      <c r="AH7455" s="10"/>
      <c r="AI7455" s="10"/>
    </row>
    <row r="7456" spans="28:35" ht="15" hidden="1" customHeight="1">
      <c r="AB7456" s="9"/>
      <c r="AC7456" s="9"/>
      <c r="AD7456" s="9"/>
      <c r="AF7456" s="10"/>
      <c r="AG7456" s="10"/>
      <c r="AH7456" s="10"/>
      <c r="AI7456" s="10"/>
    </row>
    <row r="7457" spans="28:35" ht="15" hidden="1" customHeight="1">
      <c r="AB7457" s="9"/>
      <c r="AC7457" s="9"/>
      <c r="AD7457" s="9"/>
      <c r="AF7457" s="10"/>
      <c r="AG7457" s="10"/>
      <c r="AH7457" s="10"/>
      <c r="AI7457" s="10"/>
    </row>
    <row r="7458" spans="28:35" ht="15" hidden="1" customHeight="1">
      <c r="AB7458" s="9"/>
      <c r="AC7458" s="9"/>
      <c r="AD7458" s="9"/>
      <c r="AF7458" s="10"/>
      <c r="AG7458" s="10"/>
      <c r="AH7458" s="10"/>
      <c r="AI7458" s="10"/>
    </row>
    <row r="7459" spans="28:35" ht="15" hidden="1" customHeight="1">
      <c r="AB7459" s="9"/>
      <c r="AC7459" s="9"/>
      <c r="AD7459" s="9"/>
      <c r="AF7459" s="10"/>
      <c r="AG7459" s="10"/>
      <c r="AH7459" s="10"/>
      <c r="AI7459" s="10"/>
    </row>
    <row r="7460" spans="28:35" ht="15" hidden="1" customHeight="1">
      <c r="AB7460" s="9"/>
      <c r="AC7460" s="9"/>
      <c r="AD7460" s="9"/>
      <c r="AF7460" s="10"/>
      <c r="AG7460" s="10"/>
      <c r="AH7460" s="10"/>
      <c r="AI7460" s="10"/>
    </row>
    <row r="7461" spans="28:35" ht="15" hidden="1" customHeight="1">
      <c r="AB7461" s="9"/>
      <c r="AC7461" s="9"/>
      <c r="AD7461" s="9"/>
      <c r="AF7461" s="10"/>
      <c r="AG7461" s="10"/>
      <c r="AH7461" s="10"/>
      <c r="AI7461" s="10"/>
    </row>
    <row r="7462" spans="28:35" ht="15" hidden="1" customHeight="1">
      <c r="AB7462" s="9"/>
      <c r="AC7462" s="9"/>
      <c r="AD7462" s="9"/>
      <c r="AF7462" s="10"/>
      <c r="AG7462" s="10"/>
      <c r="AH7462" s="10"/>
      <c r="AI7462" s="10"/>
    </row>
    <row r="7463" spans="28:35" ht="15" hidden="1" customHeight="1">
      <c r="AB7463" s="9"/>
      <c r="AC7463" s="9"/>
      <c r="AD7463" s="9"/>
      <c r="AF7463" s="10"/>
      <c r="AG7463" s="10"/>
      <c r="AH7463" s="10"/>
      <c r="AI7463" s="10"/>
    </row>
    <row r="7464" spans="28:35" ht="15" hidden="1" customHeight="1">
      <c r="AB7464" s="9"/>
      <c r="AC7464" s="9"/>
      <c r="AD7464" s="9"/>
      <c r="AF7464" s="10"/>
      <c r="AG7464" s="10"/>
      <c r="AH7464" s="10"/>
      <c r="AI7464" s="10"/>
    </row>
    <row r="7465" spans="28:35" ht="15" hidden="1" customHeight="1">
      <c r="AB7465" s="9"/>
      <c r="AC7465" s="9"/>
      <c r="AD7465" s="9"/>
      <c r="AF7465" s="10"/>
      <c r="AG7465" s="10"/>
      <c r="AH7465" s="10"/>
      <c r="AI7465" s="10"/>
    </row>
    <row r="7466" spans="28:35" ht="15" hidden="1" customHeight="1">
      <c r="AB7466" s="9"/>
      <c r="AC7466" s="9"/>
      <c r="AD7466" s="9"/>
      <c r="AF7466" s="10"/>
      <c r="AG7466" s="10"/>
      <c r="AH7466" s="10"/>
      <c r="AI7466" s="10"/>
    </row>
    <row r="7467" spans="28:35" ht="15" hidden="1" customHeight="1">
      <c r="AB7467" s="9"/>
      <c r="AC7467" s="9"/>
      <c r="AD7467" s="9"/>
      <c r="AF7467" s="10"/>
      <c r="AG7467" s="10"/>
      <c r="AH7467" s="10"/>
      <c r="AI7467" s="10"/>
    </row>
    <row r="7468" spans="28:35" ht="15" hidden="1" customHeight="1">
      <c r="AB7468" s="9"/>
      <c r="AC7468" s="9"/>
      <c r="AD7468" s="9"/>
      <c r="AF7468" s="10"/>
      <c r="AG7468" s="10"/>
      <c r="AH7468" s="10"/>
      <c r="AI7468" s="10"/>
    </row>
    <row r="7469" spans="28:35" ht="15" hidden="1" customHeight="1">
      <c r="AB7469" s="9"/>
      <c r="AC7469" s="9"/>
      <c r="AD7469" s="9"/>
      <c r="AF7469" s="10"/>
      <c r="AG7469" s="10"/>
      <c r="AH7469" s="10"/>
      <c r="AI7469" s="10"/>
    </row>
    <row r="7470" spans="28:35" ht="15" hidden="1" customHeight="1">
      <c r="AB7470" s="9"/>
      <c r="AC7470" s="9"/>
      <c r="AD7470" s="9"/>
      <c r="AF7470" s="10"/>
      <c r="AG7470" s="10"/>
      <c r="AH7470" s="10"/>
      <c r="AI7470" s="10"/>
    </row>
    <row r="7471" spans="28:35" ht="15" hidden="1" customHeight="1">
      <c r="AB7471" s="9"/>
      <c r="AC7471" s="9"/>
      <c r="AD7471" s="9"/>
      <c r="AF7471" s="10"/>
      <c r="AG7471" s="10"/>
      <c r="AH7471" s="10"/>
      <c r="AI7471" s="10"/>
    </row>
    <row r="7472" spans="28:35" ht="15" hidden="1" customHeight="1">
      <c r="AB7472" s="9"/>
      <c r="AC7472" s="9"/>
      <c r="AD7472" s="9"/>
      <c r="AF7472" s="10"/>
      <c r="AG7472" s="10"/>
      <c r="AH7472" s="10"/>
      <c r="AI7472" s="10"/>
    </row>
    <row r="7473" spans="28:35" ht="15" hidden="1" customHeight="1">
      <c r="AB7473" s="9"/>
      <c r="AC7473" s="9"/>
      <c r="AD7473" s="9"/>
      <c r="AF7473" s="10"/>
      <c r="AG7473" s="10"/>
      <c r="AH7473" s="10"/>
      <c r="AI7473" s="10"/>
    </row>
    <row r="7474" spans="28:35" ht="15" hidden="1" customHeight="1">
      <c r="AB7474" s="9"/>
      <c r="AC7474" s="9"/>
      <c r="AD7474" s="9"/>
      <c r="AF7474" s="10"/>
      <c r="AG7474" s="10"/>
      <c r="AH7474" s="10"/>
      <c r="AI7474" s="10"/>
    </row>
    <row r="7475" spans="28:35" ht="15" hidden="1" customHeight="1">
      <c r="AB7475" s="9"/>
      <c r="AC7475" s="9"/>
      <c r="AD7475" s="9"/>
      <c r="AF7475" s="10"/>
      <c r="AG7475" s="10"/>
      <c r="AH7475" s="10"/>
      <c r="AI7475" s="10"/>
    </row>
    <row r="7476" spans="28:35" ht="15" hidden="1" customHeight="1">
      <c r="AB7476" s="9"/>
      <c r="AC7476" s="9"/>
      <c r="AD7476" s="9"/>
      <c r="AF7476" s="10"/>
      <c r="AG7476" s="10"/>
      <c r="AH7476" s="10"/>
      <c r="AI7476" s="10"/>
    </row>
    <row r="7477" spans="28:35" ht="15" hidden="1" customHeight="1">
      <c r="AB7477" s="9"/>
      <c r="AC7477" s="9"/>
      <c r="AD7477" s="9"/>
      <c r="AF7477" s="10"/>
      <c r="AG7477" s="10"/>
      <c r="AH7477" s="10"/>
      <c r="AI7477" s="10"/>
    </row>
    <row r="7478" spans="28:35" ht="15" hidden="1" customHeight="1">
      <c r="AB7478" s="9"/>
      <c r="AC7478" s="9"/>
      <c r="AD7478" s="9"/>
      <c r="AF7478" s="10"/>
      <c r="AG7478" s="10"/>
      <c r="AH7478" s="10"/>
      <c r="AI7478" s="10"/>
    </row>
    <row r="7479" spans="28:35" ht="15" hidden="1" customHeight="1">
      <c r="AB7479" s="9"/>
      <c r="AC7479" s="9"/>
      <c r="AD7479" s="9"/>
      <c r="AF7479" s="10"/>
      <c r="AG7479" s="10"/>
      <c r="AH7479" s="10"/>
      <c r="AI7479" s="10"/>
    </row>
    <row r="7480" spans="28:35" ht="15" hidden="1" customHeight="1">
      <c r="AB7480" s="9"/>
      <c r="AC7480" s="9"/>
      <c r="AD7480" s="9"/>
      <c r="AF7480" s="10"/>
      <c r="AG7480" s="10"/>
      <c r="AH7480" s="10"/>
      <c r="AI7480" s="10"/>
    </row>
    <row r="7481" spans="28:35" ht="15" hidden="1" customHeight="1">
      <c r="AB7481" s="9"/>
      <c r="AC7481" s="9"/>
      <c r="AD7481" s="9"/>
      <c r="AF7481" s="10"/>
      <c r="AG7481" s="10"/>
      <c r="AH7481" s="10"/>
      <c r="AI7481" s="10"/>
    </row>
    <row r="7482" spans="28:35" ht="15" hidden="1" customHeight="1">
      <c r="AB7482" s="9"/>
      <c r="AC7482" s="9"/>
      <c r="AD7482" s="9"/>
      <c r="AF7482" s="10"/>
      <c r="AG7482" s="10"/>
      <c r="AH7482" s="10"/>
      <c r="AI7482" s="10"/>
    </row>
    <row r="7483" spans="28:35" ht="15" hidden="1" customHeight="1">
      <c r="AB7483" s="9"/>
      <c r="AC7483" s="9"/>
      <c r="AD7483" s="9"/>
      <c r="AF7483" s="10"/>
      <c r="AG7483" s="10"/>
      <c r="AH7483" s="10"/>
      <c r="AI7483" s="10"/>
    </row>
    <row r="7484" spans="28:35" ht="15" hidden="1" customHeight="1">
      <c r="AB7484" s="9"/>
      <c r="AC7484" s="9"/>
      <c r="AD7484" s="9"/>
      <c r="AF7484" s="10"/>
      <c r="AG7484" s="10"/>
      <c r="AH7484" s="10"/>
      <c r="AI7484" s="10"/>
    </row>
    <row r="7485" spans="28:35" ht="15" hidden="1" customHeight="1">
      <c r="AB7485" s="9"/>
      <c r="AC7485" s="9"/>
      <c r="AD7485" s="9"/>
      <c r="AF7485" s="10"/>
      <c r="AG7485" s="10"/>
      <c r="AH7485" s="10"/>
      <c r="AI7485" s="10"/>
    </row>
    <row r="7486" spans="28:35" ht="15" hidden="1" customHeight="1">
      <c r="AB7486" s="9"/>
      <c r="AC7486" s="9"/>
      <c r="AD7486" s="9"/>
      <c r="AF7486" s="10"/>
      <c r="AG7486" s="10"/>
      <c r="AH7486" s="10"/>
      <c r="AI7486" s="10"/>
    </row>
    <row r="7487" spans="28:35" ht="15" hidden="1" customHeight="1">
      <c r="AB7487" s="9"/>
      <c r="AC7487" s="9"/>
      <c r="AD7487" s="9"/>
      <c r="AF7487" s="10"/>
      <c r="AG7487" s="10"/>
      <c r="AH7487" s="10"/>
      <c r="AI7487" s="10"/>
    </row>
    <row r="7488" spans="28:35" ht="15" hidden="1" customHeight="1">
      <c r="AB7488" s="9"/>
      <c r="AC7488" s="9"/>
      <c r="AD7488" s="9"/>
      <c r="AF7488" s="10"/>
      <c r="AG7488" s="10"/>
      <c r="AH7488" s="10"/>
      <c r="AI7488" s="10"/>
    </row>
    <row r="7489" spans="28:35" ht="15" hidden="1" customHeight="1">
      <c r="AB7489" s="9"/>
      <c r="AC7489" s="9"/>
      <c r="AD7489" s="9"/>
      <c r="AF7489" s="10"/>
      <c r="AG7489" s="10"/>
      <c r="AH7489" s="10"/>
      <c r="AI7489" s="10"/>
    </row>
    <row r="7490" spans="28:35" ht="15" hidden="1" customHeight="1">
      <c r="AB7490" s="9"/>
      <c r="AC7490" s="9"/>
      <c r="AD7490" s="9"/>
      <c r="AF7490" s="10"/>
      <c r="AG7490" s="10"/>
      <c r="AH7490" s="10"/>
      <c r="AI7490" s="10"/>
    </row>
    <row r="7491" spans="28:35" ht="15" hidden="1" customHeight="1">
      <c r="AB7491" s="9"/>
      <c r="AC7491" s="9"/>
      <c r="AD7491" s="9"/>
      <c r="AF7491" s="10"/>
      <c r="AG7491" s="10"/>
      <c r="AH7491" s="10"/>
      <c r="AI7491" s="10"/>
    </row>
    <row r="7492" spans="28:35" ht="15" hidden="1" customHeight="1">
      <c r="AB7492" s="9"/>
      <c r="AC7492" s="9"/>
      <c r="AD7492" s="9"/>
      <c r="AF7492" s="10"/>
      <c r="AG7492" s="10"/>
      <c r="AH7492" s="10"/>
      <c r="AI7492" s="10"/>
    </row>
    <row r="7493" spans="28:35" ht="15" hidden="1" customHeight="1">
      <c r="AB7493" s="9"/>
      <c r="AC7493" s="9"/>
      <c r="AD7493" s="9"/>
      <c r="AF7493" s="10"/>
      <c r="AG7493" s="10"/>
      <c r="AH7493" s="10"/>
      <c r="AI7493" s="10"/>
    </row>
    <row r="7494" spans="28:35" ht="15" hidden="1" customHeight="1">
      <c r="AB7494" s="9"/>
      <c r="AC7494" s="9"/>
      <c r="AD7494" s="9"/>
      <c r="AF7494" s="10"/>
      <c r="AG7494" s="10"/>
      <c r="AH7494" s="10"/>
      <c r="AI7494" s="10"/>
    </row>
    <row r="7495" spans="28:35" ht="15" hidden="1" customHeight="1">
      <c r="AB7495" s="9"/>
      <c r="AC7495" s="9"/>
      <c r="AD7495" s="9"/>
      <c r="AF7495" s="10"/>
      <c r="AG7495" s="10"/>
      <c r="AH7495" s="10"/>
      <c r="AI7495" s="10"/>
    </row>
    <row r="7496" spans="28:35" ht="15" hidden="1" customHeight="1">
      <c r="AB7496" s="9"/>
      <c r="AC7496" s="9"/>
      <c r="AD7496" s="9"/>
      <c r="AF7496" s="10"/>
      <c r="AG7496" s="10"/>
      <c r="AH7496" s="10"/>
      <c r="AI7496" s="10"/>
    </row>
    <row r="7497" spans="28:35" ht="15" hidden="1" customHeight="1">
      <c r="AB7497" s="9"/>
      <c r="AC7497" s="9"/>
      <c r="AD7497" s="9"/>
      <c r="AF7497" s="10"/>
      <c r="AG7497" s="10"/>
      <c r="AH7497" s="10"/>
      <c r="AI7497" s="10"/>
    </row>
    <row r="7498" spans="28:35" ht="15" hidden="1" customHeight="1">
      <c r="AB7498" s="9"/>
      <c r="AC7498" s="9"/>
      <c r="AD7498" s="9"/>
      <c r="AF7498" s="10"/>
      <c r="AG7498" s="10"/>
      <c r="AH7498" s="10"/>
      <c r="AI7498" s="10"/>
    </row>
    <row r="7499" spans="28:35" ht="15" hidden="1" customHeight="1">
      <c r="AB7499" s="9"/>
      <c r="AC7499" s="9"/>
      <c r="AD7499" s="9"/>
      <c r="AF7499" s="10"/>
      <c r="AG7499" s="10"/>
      <c r="AH7499" s="10"/>
      <c r="AI7499" s="10"/>
    </row>
    <row r="7500" spans="28:35" ht="15" hidden="1" customHeight="1">
      <c r="AB7500" s="9"/>
      <c r="AC7500" s="9"/>
      <c r="AD7500" s="9"/>
      <c r="AF7500" s="10"/>
      <c r="AG7500" s="10"/>
      <c r="AH7500" s="10"/>
      <c r="AI7500" s="10"/>
    </row>
    <row r="7501" spans="28:35" ht="15" hidden="1" customHeight="1">
      <c r="AB7501" s="9"/>
      <c r="AC7501" s="9"/>
      <c r="AD7501" s="9"/>
      <c r="AF7501" s="10"/>
      <c r="AG7501" s="10"/>
      <c r="AH7501" s="10"/>
      <c r="AI7501" s="10"/>
    </row>
    <row r="7502" spans="28:35" ht="15" hidden="1" customHeight="1">
      <c r="AB7502" s="9"/>
      <c r="AC7502" s="9"/>
      <c r="AD7502" s="9"/>
      <c r="AF7502" s="10"/>
      <c r="AG7502" s="10"/>
      <c r="AH7502" s="10"/>
      <c r="AI7502" s="10"/>
    </row>
    <row r="7503" spans="28:35" ht="15" hidden="1" customHeight="1">
      <c r="AB7503" s="9"/>
      <c r="AC7503" s="9"/>
      <c r="AD7503" s="9"/>
      <c r="AF7503" s="10"/>
      <c r="AG7503" s="10"/>
      <c r="AH7503" s="10"/>
      <c r="AI7503" s="10"/>
    </row>
    <row r="7504" spans="28:35" ht="15" hidden="1" customHeight="1">
      <c r="AB7504" s="9"/>
      <c r="AC7504" s="9"/>
      <c r="AD7504" s="9"/>
      <c r="AF7504" s="10"/>
      <c r="AG7504" s="10"/>
      <c r="AH7504" s="10"/>
      <c r="AI7504" s="10"/>
    </row>
    <row r="7505" spans="28:35" ht="15" hidden="1" customHeight="1">
      <c r="AB7505" s="9"/>
      <c r="AC7505" s="9"/>
      <c r="AD7505" s="9"/>
      <c r="AF7505" s="10"/>
      <c r="AG7505" s="10"/>
      <c r="AH7505" s="10"/>
      <c r="AI7505" s="10"/>
    </row>
    <row r="7506" spans="28:35" ht="15" hidden="1" customHeight="1">
      <c r="AB7506" s="9"/>
      <c r="AC7506" s="9"/>
      <c r="AD7506" s="9"/>
      <c r="AF7506" s="10"/>
      <c r="AG7506" s="10"/>
      <c r="AH7506" s="10"/>
      <c r="AI7506" s="10"/>
    </row>
    <row r="7507" spans="28:35" ht="15" hidden="1" customHeight="1">
      <c r="AB7507" s="9"/>
      <c r="AC7507" s="9"/>
      <c r="AD7507" s="9"/>
      <c r="AF7507" s="10"/>
      <c r="AG7507" s="10"/>
      <c r="AH7507" s="10"/>
      <c r="AI7507" s="10"/>
    </row>
    <row r="7508" spans="28:35" ht="15" hidden="1" customHeight="1">
      <c r="AB7508" s="9"/>
      <c r="AC7508" s="9"/>
      <c r="AD7508" s="9"/>
      <c r="AF7508" s="10"/>
      <c r="AG7508" s="10"/>
      <c r="AH7508" s="10"/>
      <c r="AI7508" s="10"/>
    </row>
    <row r="7509" spans="28:35" ht="15" hidden="1" customHeight="1">
      <c r="AB7509" s="9"/>
      <c r="AC7509" s="9"/>
      <c r="AD7509" s="9"/>
      <c r="AF7509" s="10"/>
      <c r="AG7509" s="10"/>
      <c r="AH7509" s="10"/>
      <c r="AI7509" s="10"/>
    </row>
    <row r="7510" spans="28:35" ht="15" hidden="1" customHeight="1">
      <c r="AB7510" s="9"/>
      <c r="AC7510" s="9"/>
      <c r="AD7510" s="9"/>
      <c r="AF7510" s="10"/>
      <c r="AG7510" s="10"/>
      <c r="AH7510" s="10"/>
      <c r="AI7510" s="10"/>
    </row>
    <row r="7511" spans="28:35" ht="15" hidden="1" customHeight="1">
      <c r="AB7511" s="9"/>
      <c r="AC7511" s="9"/>
      <c r="AD7511" s="9"/>
      <c r="AF7511" s="10"/>
      <c r="AG7511" s="10"/>
      <c r="AH7511" s="10"/>
      <c r="AI7511" s="10"/>
    </row>
    <row r="7512" spans="28:35" ht="15" hidden="1" customHeight="1">
      <c r="AB7512" s="9"/>
      <c r="AC7512" s="9"/>
      <c r="AD7512" s="9"/>
      <c r="AF7512" s="10"/>
      <c r="AG7512" s="10"/>
      <c r="AH7512" s="10"/>
      <c r="AI7512" s="10"/>
    </row>
    <row r="7513" spans="28:35" ht="15" hidden="1" customHeight="1">
      <c r="AB7513" s="9"/>
      <c r="AC7513" s="9"/>
      <c r="AD7513" s="9"/>
      <c r="AF7513" s="10"/>
      <c r="AG7513" s="10"/>
      <c r="AH7513" s="10"/>
      <c r="AI7513" s="10"/>
    </row>
    <row r="7514" spans="28:35" ht="15" hidden="1" customHeight="1">
      <c r="AB7514" s="9"/>
      <c r="AC7514" s="9"/>
      <c r="AD7514" s="9"/>
      <c r="AF7514" s="10"/>
      <c r="AG7514" s="10"/>
      <c r="AH7514" s="10"/>
      <c r="AI7514" s="10"/>
    </row>
    <row r="7515" spans="28:35" ht="15" hidden="1" customHeight="1">
      <c r="AB7515" s="9"/>
      <c r="AC7515" s="9"/>
      <c r="AD7515" s="9"/>
      <c r="AF7515" s="10"/>
      <c r="AG7515" s="10"/>
      <c r="AH7515" s="10"/>
      <c r="AI7515" s="10"/>
    </row>
    <row r="7516" spans="28:35" ht="15" hidden="1" customHeight="1">
      <c r="AB7516" s="9"/>
      <c r="AC7516" s="9"/>
      <c r="AD7516" s="9"/>
      <c r="AF7516" s="10"/>
      <c r="AG7516" s="10"/>
      <c r="AH7516" s="10"/>
      <c r="AI7516" s="10"/>
    </row>
    <row r="7517" spans="28:35" ht="15" hidden="1" customHeight="1">
      <c r="AB7517" s="9"/>
      <c r="AC7517" s="9"/>
      <c r="AD7517" s="9"/>
      <c r="AF7517" s="10"/>
      <c r="AG7517" s="10"/>
      <c r="AH7517" s="10"/>
      <c r="AI7517" s="10"/>
    </row>
    <row r="7518" spans="28:35" ht="15" hidden="1" customHeight="1">
      <c r="AB7518" s="9"/>
      <c r="AC7518" s="9"/>
      <c r="AD7518" s="9"/>
      <c r="AF7518" s="10"/>
      <c r="AG7518" s="10"/>
      <c r="AH7518" s="10"/>
      <c r="AI7518" s="10"/>
    </row>
    <row r="7519" spans="28:35" ht="15" hidden="1" customHeight="1">
      <c r="AB7519" s="9"/>
      <c r="AC7519" s="9"/>
      <c r="AD7519" s="9"/>
      <c r="AF7519" s="10"/>
      <c r="AG7519" s="10"/>
      <c r="AH7519" s="10"/>
      <c r="AI7519" s="10"/>
    </row>
    <row r="7520" spans="28:35" ht="15" hidden="1" customHeight="1">
      <c r="AB7520" s="9"/>
      <c r="AC7520" s="9"/>
      <c r="AD7520" s="9"/>
      <c r="AF7520" s="10"/>
      <c r="AG7520" s="10"/>
      <c r="AH7520" s="10"/>
      <c r="AI7520" s="10"/>
    </row>
    <row r="7521" spans="28:35" ht="15" hidden="1" customHeight="1">
      <c r="AB7521" s="9"/>
      <c r="AC7521" s="9"/>
      <c r="AD7521" s="9"/>
      <c r="AF7521" s="10"/>
      <c r="AG7521" s="10"/>
      <c r="AH7521" s="10"/>
      <c r="AI7521" s="10"/>
    </row>
    <row r="7522" spans="28:35" ht="15" hidden="1" customHeight="1">
      <c r="AB7522" s="9"/>
      <c r="AC7522" s="9"/>
      <c r="AD7522" s="9"/>
      <c r="AF7522" s="10"/>
      <c r="AG7522" s="10"/>
      <c r="AH7522" s="10"/>
      <c r="AI7522" s="10"/>
    </row>
    <row r="7523" spans="28:35" ht="15" hidden="1" customHeight="1">
      <c r="AB7523" s="9"/>
      <c r="AC7523" s="9"/>
      <c r="AD7523" s="9"/>
      <c r="AF7523" s="10"/>
      <c r="AG7523" s="10"/>
      <c r="AH7523" s="10"/>
      <c r="AI7523" s="10"/>
    </row>
    <row r="7524" spans="28:35" ht="15" hidden="1" customHeight="1">
      <c r="AB7524" s="9"/>
      <c r="AC7524" s="9"/>
      <c r="AD7524" s="9"/>
      <c r="AF7524" s="10"/>
      <c r="AG7524" s="10"/>
      <c r="AH7524" s="10"/>
      <c r="AI7524" s="10"/>
    </row>
    <row r="7525" spans="28:35" ht="15" hidden="1" customHeight="1">
      <c r="AB7525" s="9"/>
      <c r="AC7525" s="9"/>
      <c r="AD7525" s="9"/>
      <c r="AF7525" s="10"/>
      <c r="AG7525" s="10"/>
      <c r="AH7525" s="10"/>
      <c r="AI7525" s="10"/>
    </row>
    <row r="7526" spans="28:35" ht="15" hidden="1" customHeight="1">
      <c r="AB7526" s="9"/>
      <c r="AC7526" s="9"/>
      <c r="AD7526" s="9"/>
      <c r="AF7526" s="10"/>
      <c r="AG7526" s="10"/>
      <c r="AH7526" s="10"/>
      <c r="AI7526" s="10"/>
    </row>
    <row r="7527" spans="28:35" ht="15" hidden="1" customHeight="1">
      <c r="AB7527" s="9"/>
      <c r="AC7527" s="9"/>
      <c r="AD7527" s="9"/>
      <c r="AF7527" s="10"/>
      <c r="AG7527" s="10"/>
      <c r="AH7527" s="10"/>
      <c r="AI7527" s="10"/>
    </row>
    <row r="7528" spans="28:35" ht="15" hidden="1" customHeight="1">
      <c r="AB7528" s="9"/>
      <c r="AC7528" s="9"/>
      <c r="AD7528" s="9"/>
      <c r="AF7528" s="10"/>
      <c r="AG7528" s="10"/>
      <c r="AH7528" s="10"/>
      <c r="AI7528" s="10"/>
    </row>
    <row r="7529" spans="28:35" ht="15" hidden="1" customHeight="1">
      <c r="AB7529" s="9"/>
      <c r="AC7529" s="9"/>
      <c r="AD7529" s="9"/>
      <c r="AF7529" s="10"/>
      <c r="AG7529" s="10"/>
      <c r="AH7529" s="10"/>
      <c r="AI7529" s="10"/>
    </row>
    <row r="7530" spans="28:35" ht="15" hidden="1" customHeight="1">
      <c r="AB7530" s="9"/>
      <c r="AC7530" s="9"/>
      <c r="AD7530" s="9"/>
      <c r="AF7530" s="10"/>
      <c r="AG7530" s="10"/>
      <c r="AH7530" s="10"/>
      <c r="AI7530" s="10"/>
    </row>
    <row r="7531" spans="28:35" ht="15" hidden="1" customHeight="1">
      <c r="AB7531" s="9"/>
      <c r="AC7531" s="9"/>
      <c r="AD7531" s="9"/>
      <c r="AF7531" s="10"/>
      <c r="AG7531" s="10"/>
      <c r="AH7531" s="10"/>
      <c r="AI7531" s="10"/>
    </row>
    <row r="7532" spans="28:35" ht="15" hidden="1" customHeight="1">
      <c r="AB7532" s="9"/>
      <c r="AC7532" s="9"/>
      <c r="AD7532" s="9"/>
      <c r="AF7532" s="10"/>
      <c r="AG7532" s="10"/>
      <c r="AH7532" s="10"/>
      <c r="AI7532" s="10"/>
    </row>
    <row r="7533" spans="28:35" ht="15" hidden="1" customHeight="1">
      <c r="AB7533" s="9"/>
      <c r="AC7533" s="9"/>
      <c r="AD7533" s="9"/>
      <c r="AF7533" s="10"/>
      <c r="AG7533" s="10"/>
      <c r="AH7533" s="10"/>
      <c r="AI7533" s="10"/>
    </row>
    <row r="7534" spans="28:35" ht="15" hidden="1" customHeight="1">
      <c r="AB7534" s="9"/>
      <c r="AC7534" s="9"/>
      <c r="AD7534" s="9"/>
      <c r="AF7534" s="10"/>
      <c r="AG7534" s="10"/>
      <c r="AH7534" s="10"/>
      <c r="AI7534" s="10"/>
    </row>
    <row r="7535" spans="28:35" ht="15" hidden="1" customHeight="1">
      <c r="AB7535" s="9"/>
      <c r="AC7535" s="9"/>
      <c r="AD7535" s="9"/>
      <c r="AF7535" s="10"/>
      <c r="AG7535" s="10"/>
      <c r="AH7535" s="10"/>
      <c r="AI7535" s="10"/>
    </row>
    <row r="7536" spans="28:35" ht="15" hidden="1" customHeight="1">
      <c r="AB7536" s="9"/>
      <c r="AC7536" s="9"/>
      <c r="AD7536" s="9"/>
      <c r="AF7536" s="10"/>
      <c r="AG7536" s="10"/>
      <c r="AH7536" s="10"/>
      <c r="AI7536" s="10"/>
    </row>
    <row r="7537" spans="28:35" ht="15" hidden="1" customHeight="1">
      <c r="AB7537" s="9"/>
      <c r="AC7537" s="9"/>
      <c r="AD7537" s="9"/>
      <c r="AF7537" s="10"/>
      <c r="AG7537" s="10"/>
      <c r="AH7537" s="10"/>
      <c r="AI7537" s="10"/>
    </row>
    <row r="7538" spans="28:35" ht="15" hidden="1" customHeight="1">
      <c r="AB7538" s="9"/>
      <c r="AC7538" s="9"/>
      <c r="AD7538" s="9"/>
      <c r="AF7538" s="10"/>
      <c r="AG7538" s="10"/>
      <c r="AH7538" s="10"/>
      <c r="AI7538" s="10"/>
    </row>
    <row r="7539" spans="28:35" ht="15" hidden="1" customHeight="1">
      <c r="AB7539" s="9"/>
      <c r="AC7539" s="9"/>
      <c r="AD7539" s="9"/>
      <c r="AF7539" s="10"/>
      <c r="AG7539" s="10"/>
      <c r="AH7539" s="10"/>
      <c r="AI7539" s="10"/>
    </row>
    <row r="7540" spans="28:35" ht="15" hidden="1" customHeight="1">
      <c r="AB7540" s="9"/>
      <c r="AC7540" s="9"/>
      <c r="AD7540" s="9"/>
      <c r="AF7540" s="10"/>
      <c r="AG7540" s="10"/>
      <c r="AH7540" s="10"/>
      <c r="AI7540" s="10"/>
    </row>
    <row r="7541" spans="28:35" ht="15" hidden="1" customHeight="1">
      <c r="AB7541" s="9"/>
      <c r="AC7541" s="9"/>
      <c r="AD7541" s="9"/>
      <c r="AF7541" s="10"/>
      <c r="AG7541" s="10"/>
      <c r="AH7541" s="10"/>
      <c r="AI7541" s="10"/>
    </row>
    <row r="7542" spans="28:35" ht="15" hidden="1" customHeight="1">
      <c r="AB7542" s="9"/>
      <c r="AC7542" s="9"/>
      <c r="AD7542" s="9"/>
      <c r="AF7542" s="10"/>
      <c r="AG7542" s="10"/>
      <c r="AH7542" s="10"/>
      <c r="AI7542" s="10"/>
    </row>
    <row r="7543" spans="28:35" ht="15" hidden="1" customHeight="1">
      <c r="AB7543" s="9"/>
      <c r="AC7543" s="9"/>
      <c r="AD7543" s="9"/>
      <c r="AF7543" s="10"/>
      <c r="AG7543" s="10"/>
      <c r="AH7543" s="10"/>
      <c r="AI7543" s="10"/>
    </row>
    <row r="7544" spans="28:35" ht="15" hidden="1" customHeight="1">
      <c r="AB7544" s="9"/>
      <c r="AC7544" s="9"/>
      <c r="AD7544" s="9"/>
      <c r="AF7544" s="10"/>
      <c r="AG7544" s="10"/>
      <c r="AH7544" s="10"/>
      <c r="AI7544" s="10"/>
    </row>
    <row r="7545" spans="28:35" ht="15" hidden="1" customHeight="1">
      <c r="AB7545" s="9"/>
      <c r="AC7545" s="9"/>
      <c r="AD7545" s="9"/>
      <c r="AF7545" s="10"/>
      <c r="AG7545" s="10"/>
      <c r="AH7545" s="10"/>
      <c r="AI7545" s="10"/>
    </row>
    <row r="7546" spans="28:35" ht="15" hidden="1" customHeight="1">
      <c r="AB7546" s="9"/>
      <c r="AC7546" s="9"/>
      <c r="AD7546" s="9"/>
      <c r="AF7546" s="10"/>
      <c r="AG7546" s="10"/>
      <c r="AH7546" s="10"/>
      <c r="AI7546" s="10"/>
    </row>
    <row r="7547" spans="28:35" ht="15" hidden="1" customHeight="1">
      <c r="AB7547" s="9"/>
      <c r="AC7547" s="9"/>
      <c r="AD7547" s="9"/>
      <c r="AF7547" s="10"/>
      <c r="AG7547" s="10"/>
      <c r="AH7547" s="10"/>
      <c r="AI7547" s="10"/>
    </row>
    <row r="7548" spans="28:35" ht="15" hidden="1" customHeight="1">
      <c r="AB7548" s="9"/>
      <c r="AC7548" s="9"/>
      <c r="AD7548" s="9"/>
      <c r="AF7548" s="10"/>
      <c r="AG7548" s="10"/>
      <c r="AH7548" s="10"/>
      <c r="AI7548" s="10"/>
    </row>
    <row r="7549" spans="28:35" ht="15" hidden="1" customHeight="1">
      <c r="AB7549" s="9"/>
      <c r="AC7549" s="9"/>
      <c r="AD7549" s="9"/>
      <c r="AF7549" s="10"/>
      <c r="AG7549" s="10"/>
      <c r="AH7549" s="10"/>
      <c r="AI7549" s="10"/>
    </row>
    <row r="7550" spans="28:35" ht="15" hidden="1" customHeight="1">
      <c r="AB7550" s="9"/>
      <c r="AC7550" s="9"/>
      <c r="AD7550" s="9"/>
      <c r="AF7550" s="10"/>
      <c r="AG7550" s="10"/>
      <c r="AH7550" s="10"/>
      <c r="AI7550" s="10"/>
    </row>
    <row r="7551" spans="28:35" ht="15" hidden="1" customHeight="1">
      <c r="AB7551" s="9"/>
      <c r="AC7551" s="9"/>
      <c r="AD7551" s="9"/>
      <c r="AF7551" s="10"/>
      <c r="AG7551" s="10"/>
      <c r="AH7551" s="10"/>
      <c r="AI7551" s="10"/>
    </row>
    <row r="7552" spans="28:35" ht="15" hidden="1" customHeight="1">
      <c r="AB7552" s="9"/>
      <c r="AC7552" s="9"/>
      <c r="AD7552" s="9"/>
      <c r="AF7552" s="10"/>
      <c r="AG7552" s="10"/>
      <c r="AH7552" s="10"/>
      <c r="AI7552" s="10"/>
    </row>
    <row r="7553" spans="28:35" ht="15" hidden="1" customHeight="1">
      <c r="AB7553" s="9"/>
      <c r="AC7553" s="9"/>
      <c r="AD7553" s="9"/>
      <c r="AF7553" s="10"/>
      <c r="AG7553" s="10"/>
      <c r="AH7553" s="10"/>
      <c r="AI7553" s="10"/>
    </row>
    <row r="7554" spans="28:35" ht="15" hidden="1" customHeight="1">
      <c r="AB7554" s="9"/>
      <c r="AC7554" s="9"/>
      <c r="AD7554" s="9"/>
      <c r="AF7554" s="10"/>
      <c r="AG7554" s="10"/>
      <c r="AH7554" s="10"/>
      <c r="AI7554" s="10"/>
    </row>
    <row r="7555" spans="28:35" ht="15" hidden="1" customHeight="1">
      <c r="AB7555" s="9"/>
      <c r="AC7555" s="9"/>
      <c r="AD7555" s="9"/>
      <c r="AF7555" s="10"/>
      <c r="AG7555" s="10"/>
      <c r="AH7555" s="10"/>
      <c r="AI7555" s="10"/>
    </row>
    <row r="7556" spans="28:35" ht="15" hidden="1" customHeight="1">
      <c r="AB7556" s="9"/>
      <c r="AC7556" s="9"/>
      <c r="AD7556" s="9"/>
      <c r="AF7556" s="10"/>
      <c r="AG7556" s="10"/>
      <c r="AH7556" s="10"/>
      <c r="AI7556" s="10"/>
    </row>
    <row r="7557" spans="28:35" ht="15" hidden="1" customHeight="1">
      <c r="AB7557" s="9"/>
      <c r="AC7557" s="9"/>
      <c r="AD7557" s="9"/>
      <c r="AF7557" s="10"/>
      <c r="AG7557" s="10"/>
      <c r="AH7557" s="10"/>
      <c r="AI7557" s="10"/>
    </row>
    <row r="7558" spans="28:35" ht="15" hidden="1" customHeight="1">
      <c r="AB7558" s="9"/>
      <c r="AC7558" s="9"/>
      <c r="AD7558" s="9"/>
      <c r="AF7558" s="10"/>
      <c r="AG7558" s="10"/>
      <c r="AH7558" s="10"/>
      <c r="AI7558" s="10"/>
    </row>
    <row r="7559" spans="28:35" ht="15" hidden="1" customHeight="1">
      <c r="AB7559" s="9"/>
      <c r="AC7559" s="9"/>
      <c r="AD7559" s="9"/>
      <c r="AF7559" s="10"/>
      <c r="AG7559" s="10"/>
      <c r="AH7559" s="10"/>
      <c r="AI7559" s="10"/>
    </row>
    <row r="7560" spans="28:35" ht="15" hidden="1" customHeight="1">
      <c r="AB7560" s="9"/>
      <c r="AC7560" s="9"/>
      <c r="AD7560" s="9"/>
      <c r="AF7560" s="10"/>
      <c r="AG7560" s="10"/>
      <c r="AH7560" s="10"/>
      <c r="AI7560" s="10"/>
    </row>
    <row r="7561" spans="28:35" ht="15" hidden="1" customHeight="1">
      <c r="AB7561" s="9"/>
      <c r="AC7561" s="9"/>
      <c r="AD7561" s="9"/>
      <c r="AF7561" s="10"/>
      <c r="AG7561" s="10"/>
      <c r="AH7561" s="10"/>
      <c r="AI7561" s="10"/>
    </row>
    <row r="7562" spans="28:35" ht="15" hidden="1" customHeight="1">
      <c r="AB7562" s="9"/>
      <c r="AC7562" s="9"/>
      <c r="AD7562" s="9"/>
      <c r="AF7562" s="10"/>
      <c r="AG7562" s="10"/>
      <c r="AH7562" s="10"/>
      <c r="AI7562" s="10"/>
    </row>
    <row r="7563" spans="28:35" ht="15" hidden="1" customHeight="1">
      <c r="AB7563" s="9"/>
      <c r="AC7563" s="9"/>
      <c r="AD7563" s="9"/>
      <c r="AF7563" s="10"/>
      <c r="AG7563" s="10"/>
      <c r="AH7563" s="10"/>
      <c r="AI7563" s="10"/>
    </row>
    <row r="7564" spans="28:35" ht="15" hidden="1" customHeight="1">
      <c r="AB7564" s="9"/>
      <c r="AC7564" s="9"/>
      <c r="AD7564" s="9"/>
      <c r="AF7564" s="10"/>
      <c r="AG7564" s="10"/>
      <c r="AH7564" s="10"/>
      <c r="AI7564" s="10"/>
    </row>
    <row r="7565" spans="28:35" ht="15" hidden="1" customHeight="1">
      <c r="AB7565" s="9"/>
      <c r="AC7565" s="9"/>
      <c r="AD7565" s="9"/>
      <c r="AF7565" s="10"/>
      <c r="AG7565" s="10"/>
      <c r="AH7565" s="10"/>
      <c r="AI7565" s="10"/>
    </row>
    <row r="7566" spans="28:35" ht="15" hidden="1" customHeight="1">
      <c r="AB7566" s="9"/>
      <c r="AC7566" s="9"/>
      <c r="AD7566" s="9"/>
      <c r="AF7566" s="10"/>
      <c r="AG7566" s="10"/>
      <c r="AH7566" s="10"/>
      <c r="AI7566" s="10"/>
    </row>
    <row r="7567" spans="28:35" ht="15" hidden="1" customHeight="1">
      <c r="AB7567" s="9"/>
      <c r="AC7567" s="9"/>
      <c r="AD7567" s="9"/>
      <c r="AF7567" s="10"/>
      <c r="AG7567" s="10"/>
      <c r="AH7567" s="10"/>
      <c r="AI7567" s="10"/>
    </row>
    <row r="7568" spans="28:35" ht="15" hidden="1" customHeight="1">
      <c r="AB7568" s="9"/>
      <c r="AC7568" s="9"/>
      <c r="AD7568" s="9"/>
      <c r="AF7568" s="10"/>
      <c r="AG7568" s="10"/>
      <c r="AH7568" s="10"/>
      <c r="AI7568" s="10"/>
    </row>
    <row r="7569" spans="28:35" ht="15" hidden="1" customHeight="1">
      <c r="AB7569" s="9"/>
      <c r="AC7569" s="9"/>
      <c r="AD7569" s="9"/>
      <c r="AF7569" s="10"/>
      <c r="AG7569" s="10"/>
      <c r="AH7569" s="10"/>
      <c r="AI7569" s="10"/>
    </row>
    <row r="7570" spans="28:35" ht="15" hidden="1" customHeight="1">
      <c r="AB7570" s="9"/>
      <c r="AC7570" s="9"/>
      <c r="AD7570" s="9"/>
      <c r="AF7570" s="10"/>
      <c r="AG7570" s="10"/>
      <c r="AH7570" s="10"/>
      <c r="AI7570" s="10"/>
    </row>
    <row r="7571" spans="28:35" ht="15" hidden="1" customHeight="1">
      <c r="AB7571" s="9"/>
      <c r="AC7571" s="9"/>
      <c r="AD7571" s="9"/>
      <c r="AF7571" s="10"/>
      <c r="AG7571" s="10"/>
      <c r="AH7571" s="10"/>
      <c r="AI7571" s="10"/>
    </row>
    <row r="7572" spans="28:35" ht="15" hidden="1" customHeight="1">
      <c r="AB7572" s="9"/>
      <c r="AC7572" s="9"/>
      <c r="AD7572" s="9"/>
      <c r="AF7572" s="10"/>
      <c r="AG7572" s="10"/>
      <c r="AH7572" s="10"/>
      <c r="AI7572" s="10"/>
    </row>
    <row r="7573" spans="28:35" ht="15" hidden="1" customHeight="1">
      <c r="AB7573" s="9"/>
      <c r="AC7573" s="9"/>
      <c r="AD7573" s="9"/>
      <c r="AF7573" s="10"/>
      <c r="AG7573" s="10"/>
      <c r="AH7573" s="10"/>
      <c r="AI7573" s="10"/>
    </row>
    <row r="7574" spans="28:35" ht="15" hidden="1" customHeight="1">
      <c r="AB7574" s="9"/>
      <c r="AC7574" s="9"/>
      <c r="AD7574" s="9"/>
      <c r="AF7574" s="10"/>
      <c r="AG7574" s="10"/>
      <c r="AH7574" s="10"/>
      <c r="AI7574" s="10"/>
    </row>
    <row r="7575" spans="28:35" ht="15" hidden="1" customHeight="1">
      <c r="AB7575" s="9"/>
      <c r="AC7575" s="9"/>
      <c r="AD7575" s="9"/>
      <c r="AF7575" s="10"/>
      <c r="AG7575" s="10"/>
      <c r="AH7575" s="10"/>
      <c r="AI7575" s="10"/>
    </row>
    <row r="7576" spans="28:35" ht="15" hidden="1" customHeight="1">
      <c r="AB7576" s="9"/>
      <c r="AC7576" s="9"/>
      <c r="AD7576" s="9"/>
      <c r="AF7576" s="10"/>
      <c r="AG7576" s="10"/>
      <c r="AH7576" s="10"/>
      <c r="AI7576" s="10"/>
    </row>
    <row r="7577" spans="28:35" ht="15" hidden="1" customHeight="1">
      <c r="AB7577" s="9"/>
      <c r="AC7577" s="9"/>
      <c r="AD7577" s="9"/>
      <c r="AF7577" s="10"/>
      <c r="AG7577" s="10"/>
      <c r="AH7577" s="10"/>
      <c r="AI7577" s="10"/>
    </row>
    <row r="7578" spans="28:35" ht="15" hidden="1" customHeight="1">
      <c r="AB7578" s="9"/>
      <c r="AC7578" s="9"/>
      <c r="AD7578" s="9"/>
      <c r="AF7578" s="10"/>
      <c r="AG7578" s="10"/>
      <c r="AH7578" s="10"/>
      <c r="AI7578" s="10"/>
    </row>
    <row r="7579" spans="28:35" ht="15" hidden="1" customHeight="1">
      <c r="AB7579" s="9"/>
      <c r="AC7579" s="9"/>
      <c r="AD7579" s="9"/>
      <c r="AF7579" s="10"/>
      <c r="AG7579" s="10"/>
      <c r="AH7579" s="10"/>
      <c r="AI7579" s="10"/>
    </row>
    <row r="7580" spans="28:35" ht="15" hidden="1" customHeight="1">
      <c r="AB7580" s="9"/>
      <c r="AC7580" s="9"/>
      <c r="AD7580" s="9"/>
      <c r="AF7580" s="10"/>
      <c r="AG7580" s="10"/>
      <c r="AH7580" s="10"/>
      <c r="AI7580" s="10"/>
    </row>
    <row r="7581" spans="28:35" ht="15" hidden="1" customHeight="1">
      <c r="AB7581" s="9"/>
      <c r="AC7581" s="9"/>
      <c r="AD7581" s="9"/>
      <c r="AF7581" s="10"/>
      <c r="AG7581" s="10"/>
      <c r="AH7581" s="10"/>
      <c r="AI7581" s="10"/>
    </row>
    <row r="7582" spans="28:35" ht="15" hidden="1" customHeight="1">
      <c r="AB7582" s="9"/>
      <c r="AC7582" s="9"/>
      <c r="AD7582" s="9"/>
      <c r="AF7582" s="10"/>
      <c r="AG7582" s="10"/>
      <c r="AH7582" s="10"/>
      <c r="AI7582" s="10"/>
    </row>
    <row r="7583" spans="28:35" ht="15" hidden="1" customHeight="1">
      <c r="AB7583" s="9"/>
      <c r="AC7583" s="9"/>
      <c r="AD7583" s="9"/>
      <c r="AF7583" s="10"/>
      <c r="AG7583" s="10"/>
      <c r="AH7583" s="10"/>
      <c r="AI7583" s="10"/>
    </row>
    <row r="7584" spans="28:35" ht="15" hidden="1" customHeight="1">
      <c r="AB7584" s="9"/>
      <c r="AC7584" s="9"/>
      <c r="AD7584" s="9"/>
      <c r="AF7584" s="10"/>
      <c r="AG7584" s="10"/>
      <c r="AH7584" s="10"/>
      <c r="AI7584" s="10"/>
    </row>
    <row r="7585" spans="28:35" ht="15" hidden="1" customHeight="1">
      <c r="AB7585" s="9"/>
      <c r="AC7585" s="9"/>
      <c r="AD7585" s="9"/>
      <c r="AF7585" s="10"/>
      <c r="AG7585" s="10"/>
      <c r="AH7585" s="10"/>
      <c r="AI7585" s="10"/>
    </row>
    <row r="7586" spans="28:35" ht="15" hidden="1" customHeight="1">
      <c r="AB7586" s="9"/>
      <c r="AC7586" s="9"/>
      <c r="AD7586" s="9"/>
      <c r="AF7586" s="10"/>
      <c r="AG7586" s="10"/>
      <c r="AH7586" s="10"/>
      <c r="AI7586" s="10"/>
    </row>
    <row r="7587" spans="28:35" ht="15" hidden="1" customHeight="1">
      <c r="AB7587" s="9"/>
      <c r="AC7587" s="9"/>
      <c r="AD7587" s="9"/>
      <c r="AF7587" s="10"/>
      <c r="AG7587" s="10"/>
      <c r="AH7587" s="10"/>
      <c r="AI7587" s="10"/>
    </row>
    <row r="7588" spans="28:35" ht="15" hidden="1" customHeight="1">
      <c r="AB7588" s="9"/>
      <c r="AC7588" s="9"/>
      <c r="AD7588" s="9"/>
      <c r="AF7588" s="10"/>
      <c r="AG7588" s="10"/>
      <c r="AH7588" s="10"/>
      <c r="AI7588" s="10"/>
    </row>
    <row r="7589" spans="28:35" ht="15" hidden="1" customHeight="1">
      <c r="AB7589" s="9"/>
      <c r="AC7589" s="9"/>
      <c r="AD7589" s="9"/>
      <c r="AF7589" s="10"/>
      <c r="AG7589" s="10"/>
      <c r="AH7589" s="10"/>
      <c r="AI7589" s="10"/>
    </row>
    <row r="7590" spans="28:35" ht="15" hidden="1" customHeight="1">
      <c r="AB7590" s="9"/>
      <c r="AC7590" s="9"/>
      <c r="AD7590" s="9"/>
      <c r="AF7590" s="10"/>
      <c r="AG7590" s="10"/>
      <c r="AH7590" s="10"/>
      <c r="AI7590" s="10"/>
    </row>
    <row r="7591" spans="28:35" ht="15" hidden="1" customHeight="1">
      <c r="AB7591" s="9"/>
      <c r="AC7591" s="9"/>
      <c r="AD7591" s="9"/>
      <c r="AF7591" s="10"/>
      <c r="AG7591" s="10"/>
      <c r="AH7591" s="10"/>
      <c r="AI7591" s="10"/>
    </row>
    <row r="7592" spans="28:35" ht="15" hidden="1" customHeight="1">
      <c r="AB7592" s="9"/>
      <c r="AC7592" s="9"/>
      <c r="AD7592" s="9"/>
      <c r="AF7592" s="10"/>
      <c r="AG7592" s="10"/>
      <c r="AH7592" s="10"/>
      <c r="AI7592" s="10"/>
    </row>
    <row r="7593" spans="28:35" ht="15" hidden="1" customHeight="1">
      <c r="AB7593" s="9"/>
      <c r="AC7593" s="9"/>
      <c r="AD7593" s="9"/>
      <c r="AF7593" s="10"/>
      <c r="AG7593" s="10"/>
      <c r="AH7593" s="10"/>
      <c r="AI7593" s="10"/>
    </row>
    <row r="7594" spans="28:35" ht="15" hidden="1" customHeight="1">
      <c r="AB7594" s="9"/>
      <c r="AC7594" s="9"/>
      <c r="AD7594" s="9"/>
      <c r="AF7594" s="10"/>
      <c r="AG7594" s="10"/>
      <c r="AH7594" s="10"/>
      <c r="AI7594" s="10"/>
    </row>
    <row r="7595" spans="28:35" ht="15" hidden="1" customHeight="1">
      <c r="AB7595" s="9"/>
      <c r="AC7595" s="9"/>
      <c r="AD7595" s="9"/>
      <c r="AF7595" s="10"/>
      <c r="AG7595" s="10"/>
      <c r="AH7595" s="10"/>
      <c r="AI7595" s="10"/>
    </row>
    <row r="7596" spans="28:35" ht="15" hidden="1" customHeight="1">
      <c r="AB7596" s="9"/>
      <c r="AC7596" s="9"/>
      <c r="AD7596" s="9"/>
      <c r="AF7596" s="10"/>
      <c r="AG7596" s="10"/>
      <c r="AH7596" s="10"/>
      <c r="AI7596" s="10"/>
    </row>
    <row r="7597" spans="28:35" ht="15" hidden="1" customHeight="1">
      <c r="AB7597" s="9"/>
      <c r="AC7597" s="9"/>
      <c r="AD7597" s="9"/>
      <c r="AF7597" s="10"/>
      <c r="AG7597" s="10"/>
      <c r="AH7597" s="10"/>
      <c r="AI7597" s="10"/>
    </row>
    <row r="7598" spans="28:35" ht="15" hidden="1" customHeight="1">
      <c r="AB7598" s="9"/>
      <c r="AC7598" s="9"/>
      <c r="AD7598" s="9"/>
      <c r="AF7598" s="10"/>
      <c r="AG7598" s="10"/>
      <c r="AH7598" s="10"/>
      <c r="AI7598" s="10"/>
    </row>
    <row r="7599" spans="28:35" ht="15" hidden="1" customHeight="1">
      <c r="AB7599" s="9"/>
      <c r="AC7599" s="9"/>
      <c r="AD7599" s="9"/>
      <c r="AF7599" s="10"/>
      <c r="AG7599" s="10"/>
      <c r="AH7599" s="10"/>
      <c r="AI7599" s="10"/>
    </row>
    <row r="7600" spans="28:35" ht="15" hidden="1" customHeight="1">
      <c r="AB7600" s="9"/>
      <c r="AC7600" s="9"/>
      <c r="AD7600" s="9"/>
      <c r="AF7600" s="10"/>
      <c r="AG7600" s="10"/>
      <c r="AH7600" s="10"/>
      <c r="AI7600" s="10"/>
    </row>
    <row r="7601" spans="28:35" ht="15" hidden="1" customHeight="1">
      <c r="AB7601" s="9"/>
      <c r="AC7601" s="9"/>
      <c r="AD7601" s="9"/>
      <c r="AF7601" s="10"/>
      <c r="AG7601" s="10"/>
      <c r="AH7601" s="10"/>
      <c r="AI7601" s="10"/>
    </row>
    <row r="7602" spans="28:35" ht="15" hidden="1" customHeight="1">
      <c r="AB7602" s="9"/>
      <c r="AC7602" s="9"/>
      <c r="AD7602" s="9"/>
      <c r="AF7602" s="10"/>
      <c r="AG7602" s="10"/>
      <c r="AH7602" s="10"/>
      <c r="AI7602" s="10"/>
    </row>
    <row r="7603" spans="28:35" ht="15" hidden="1" customHeight="1">
      <c r="AB7603" s="9"/>
      <c r="AC7603" s="9"/>
      <c r="AD7603" s="9"/>
      <c r="AF7603" s="10"/>
      <c r="AG7603" s="10"/>
      <c r="AH7603" s="10"/>
      <c r="AI7603" s="10"/>
    </row>
    <row r="7604" spans="28:35" ht="15" hidden="1" customHeight="1">
      <c r="AB7604" s="9"/>
      <c r="AC7604" s="9"/>
      <c r="AD7604" s="9"/>
      <c r="AF7604" s="10"/>
      <c r="AG7604" s="10"/>
      <c r="AH7604" s="10"/>
      <c r="AI7604" s="10"/>
    </row>
    <row r="7605" spans="28:35" ht="15" hidden="1" customHeight="1">
      <c r="AB7605" s="9"/>
      <c r="AC7605" s="9"/>
      <c r="AD7605" s="9"/>
      <c r="AF7605" s="10"/>
      <c r="AG7605" s="10"/>
      <c r="AH7605" s="10"/>
      <c r="AI7605" s="10"/>
    </row>
    <row r="7606" spans="28:35" ht="15" hidden="1" customHeight="1">
      <c r="AB7606" s="9"/>
      <c r="AC7606" s="9"/>
      <c r="AD7606" s="9"/>
      <c r="AF7606" s="10"/>
      <c r="AG7606" s="10"/>
      <c r="AH7606" s="10"/>
      <c r="AI7606" s="10"/>
    </row>
    <row r="7607" spans="28:35" ht="15" hidden="1" customHeight="1">
      <c r="AB7607" s="9"/>
      <c r="AC7607" s="9"/>
      <c r="AD7607" s="9"/>
      <c r="AF7607" s="10"/>
      <c r="AG7607" s="10"/>
      <c r="AH7607" s="10"/>
      <c r="AI7607" s="10"/>
    </row>
    <row r="7608" spans="28:35" ht="15" hidden="1" customHeight="1">
      <c r="AB7608" s="9"/>
      <c r="AC7608" s="9"/>
      <c r="AD7608" s="9"/>
      <c r="AF7608" s="10"/>
      <c r="AG7608" s="10"/>
      <c r="AH7608" s="10"/>
      <c r="AI7608" s="10"/>
    </row>
    <row r="7609" spans="28:35" ht="15" hidden="1" customHeight="1">
      <c r="AB7609" s="9"/>
      <c r="AC7609" s="9"/>
      <c r="AD7609" s="9"/>
      <c r="AF7609" s="10"/>
      <c r="AG7609" s="10"/>
      <c r="AH7609" s="10"/>
      <c r="AI7609" s="10"/>
    </row>
    <row r="7610" spans="28:35" ht="15" hidden="1" customHeight="1">
      <c r="AB7610" s="9"/>
      <c r="AC7610" s="9"/>
      <c r="AD7610" s="9"/>
      <c r="AF7610" s="10"/>
      <c r="AG7610" s="10"/>
      <c r="AH7610" s="10"/>
      <c r="AI7610" s="10"/>
    </row>
    <row r="7611" spans="28:35" ht="15" hidden="1" customHeight="1">
      <c r="AB7611" s="9"/>
      <c r="AC7611" s="9"/>
      <c r="AD7611" s="9"/>
      <c r="AF7611" s="10"/>
      <c r="AG7611" s="10"/>
      <c r="AH7611" s="10"/>
      <c r="AI7611" s="10"/>
    </row>
    <row r="7612" spans="28:35" ht="15" hidden="1" customHeight="1">
      <c r="AB7612" s="9"/>
      <c r="AC7612" s="9"/>
      <c r="AD7612" s="9"/>
      <c r="AF7612" s="10"/>
      <c r="AG7612" s="10"/>
      <c r="AH7612" s="10"/>
      <c r="AI7612" s="10"/>
    </row>
    <row r="7613" spans="28:35" ht="15" hidden="1" customHeight="1">
      <c r="AB7613" s="9"/>
      <c r="AC7613" s="9"/>
      <c r="AD7613" s="9"/>
      <c r="AF7613" s="10"/>
      <c r="AG7613" s="10"/>
      <c r="AH7613" s="10"/>
      <c r="AI7613" s="10"/>
    </row>
    <row r="7614" spans="28:35" ht="15" hidden="1" customHeight="1">
      <c r="AB7614" s="9"/>
      <c r="AC7614" s="9"/>
      <c r="AD7614" s="9"/>
      <c r="AF7614" s="10"/>
      <c r="AG7614" s="10"/>
      <c r="AH7614" s="10"/>
      <c r="AI7614" s="10"/>
    </row>
    <row r="7615" spans="28:35" ht="15" hidden="1" customHeight="1">
      <c r="AB7615" s="9"/>
      <c r="AC7615" s="9"/>
      <c r="AD7615" s="9"/>
      <c r="AF7615" s="10"/>
      <c r="AG7615" s="10"/>
      <c r="AH7615" s="10"/>
      <c r="AI7615" s="10"/>
    </row>
    <row r="7616" spans="28:35" ht="15" hidden="1" customHeight="1">
      <c r="AB7616" s="9"/>
      <c r="AC7616" s="9"/>
      <c r="AD7616" s="9"/>
      <c r="AF7616" s="10"/>
      <c r="AG7616" s="10"/>
      <c r="AH7616" s="10"/>
      <c r="AI7616" s="10"/>
    </row>
    <row r="7617" spans="28:35" ht="15" hidden="1" customHeight="1">
      <c r="AB7617" s="9"/>
      <c r="AC7617" s="9"/>
      <c r="AD7617" s="9"/>
      <c r="AF7617" s="10"/>
      <c r="AG7617" s="10"/>
      <c r="AH7617" s="10"/>
      <c r="AI7617" s="10"/>
    </row>
    <row r="7618" spans="28:35" ht="15" hidden="1" customHeight="1">
      <c r="AB7618" s="9"/>
      <c r="AC7618" s="9"/>
      <c r="AD7618" s="9"/>
      <c r="AF7618" s="10"/>
      <c r="AG7618" s="10"/>
      <c r="AH7618" s="10"/>
      <c r="AI7618" s="10"/>
    </row>
    <row r="7619" spans="28:35" ht="15" hidden="1" customHeight="1">
      <c r="AB7619" s="9"/>
      <c r="AC7619" s="9"/>
      <c r="AD7619" s="9"/>
      <c r="AF7619" s="10"/>
      <c r="AG7619" s="10"/>
      <c r="AH7619" s="10"/>
      <c r="AI7619" s="10"/>
    </row>
    <row r="7620" spans="28:35" ht="15" hidden="1" customHeight="1">
      <c r="AB7620" s="9"/>
      <c r="AC7620" s="9"/>
      <c r="AD7620" s="9"/>
      <c r="AF7620" s="10"/>
      <c r="AG7620" s="10"/>
      <c r="AH7620" s="10"/>
      <c r="AI7620" s="10"/>
    </row>
    <row r="7621" spans="28:35" ht="15" hidden="1" customHeight="1">
      <c r="AB7621" s="9"/>
      <c r="AC7621" s="9"/>
      <c r="AD7621" s="9"/>
      <c r="AF7621" s="10"/>
      <c r="AG7621" s="10"/>
      <c r="AH7621" s="10"/>
      <c r="AI7621" s="10"/>
    </row>
    <row r="7622" spans="28:35" ht="15" hidden="1" customHeight="1">
      <c r="AB7622" s="9"/>
      <c r="AC7622" s="9"/>
      <c r="AD7622" s="9"/>
      <c r="AF7622" s="10"/>
      <c r="AG7622" s="10"/>
      <c r="AH7622" s="10"/>
      <c r="AI7622" s="10"/>
    </row>
    <row r="7623" spans="28:35" ht="15" hidden="1" customHeight="1">
      <c r="AB7623" s="9"/>
      <c r="AC7623" s="9"/>
      <c r="AD7623" s="9"/>
      <c r="AF7623" s="10"/>
      <c r="AG7623" s="10"/>
      <c r="AH7623" s="10"/>
      <c r="AI7623" s="10"/>
    </row>
    <row r="7624" spans="28:35" ht="15" hidden="1" customHeight="1">
      <c r="AB7624" s="9"/>
      <c r="AC7624" s="9"/>
      <c r="AD7624" s="9"/>
      <c r="AF7624" s="10"/>
      <c r="AG7624" s="10"/>
      <c r="AH7624" s="10"/>
      <c r="AI7624" s="10"/>
    </row>
    <row r="7625" spans="28:35" ht="15" hidden="1" customHeight="1">
      <c r="AB7625" s="9"/>
      <c r="AC7625" s="9"/>
      <c r="AD7625" s="9"/>
      <c r="AF7625" s="10"/>
      <c r="AG7625" s="10"/>
      <c r="AH7625" s="10"/>
      <c r="AI7625" s="10"/>
    </row>
    <row r="7626" spans="28:35" ht="15" hidden="1" customHeight="1">
      <c r="AB7626" s="9"/>
      <c r="AC7626" s="9"/>
      <c r="AD7626" s="9"/>
      <c r="AF7626" s="10"/>
      <c r="AG7626" s="10"/>
      <c r="AH7626" s="10"/>
      <c r="AI7626" s="10"/>
    </row>
    <row r="7627" spans="28:35" ht="15" hidden="1" customHeight="1">
      <c r="AB7627" s="9"/>
      <c r="AC7627" s="9"/>
      <c r="AD7627" s="9"/>
      <c r="AF7627" s="10"/>
      <c r="AG7627" s="10"/>
      <c r="AH7627" s="10"/>
      <c r="AI7627" s="10"/>
    </row>
    <row r="7628" spans="28:35" ht="15" hidden="1" customHeight="1">
      <c r="AB7628" s="9"/>
      <c r="AC7628" s="9"/>
      <c r="AD7628" s="9"/>
      <c r="AF7628" s="10"/>
      <c r="AG7628" s="10"/>
      <c r="AH7628" s="10"/>
      <c r="AI7628" s="10"/>
    </row>
    <row r="7629" spans="28:35" ht="15" hidden="1" customHeight="1">
      <c r="AB7629" s="9"/>
      <c r="AC7629" s="9"/>
      <c r="AD7629" s="9"/>
      <c r="AF7629" s="10"/>
      <c r="AG7629" s="10"/>
      <c r="AH7629" s="10"/>
      <c r="AI7629" s="10"/>
    </row>
    <row r="7630" spans="28:35" ht="15" hidden="1" customHeight="1">
      <c r="AB7630" s="9"/>
      <c r="AC7630" s="9"/>
      <c r="AD7630" s="9"/>
      <c r="AF7630" s="10"/>
      <c r="AG7630" s="10"/>
      <c r="AH7630" s="10"/>
      <c r="AI7630" s="10"/>
    </row>
    <row r="7631" spans="28:35" ht="15" hidden="1" customHeight="1">
      <c r="AB7631" s="9"/>
      <c r="AC7631" s="9"/>
      <c r="AD7631" s="9"/>
      <c r="AF7631" s="10"/>
      <c r="AG7631" s="10"/>
      <c r="AH7631" s="10"/>
      <c r="AI7631" s="10"/>
    </row>
    <row r="7632" spans="28:35" ht="15" hidden="1" customHeight="1">
      <c r="AB7632" s="9"/>
      <c r="AC7632" s="9"/>
      <c r="AD7632" s="9"/>
      <c r="AF7632" s="10"/>
      <c r="AG7632" s="10"/>
      <c r="AH7632" s="10"/>
      <c r="AI7632" s="10"/>
    </row>
    <row r="7633" spans="28:35" ht="15" hidden="1" customHeight="1">
      <c r="AB7633" s="9"/>
      <c r="AC7633" s="9"/>
      <c r="AD7633" s="9"/>
      <c r="AF7633" s="10"/>
      <c r="AG7633" s="10"/>
      <c r="AH7633" s="10"/>
      <c r="AI7633" s="10"/>
    </row>
    <row r="7634" spans="28:35" ht="15" hidden="1" customHeight="1">
      <c r="AB7634" s="9"/>
      <c r="AC7634" s="9"/>
      <c r="AD7634" s="9"/>
      <c r="AF7634" s="10"/>
      <c r="AG7634" s="10"/>
      <c r="AH7634" s="10"/>
      <c r="AI7634" s="10"/>
    </row>
    <row r="7635" spans="28:35" ht="15" hidden="1" customHeight="1">
      <c r="AB7635" s="9"/>
      <c r="AC7635" s="9"/>
      <c r="AD7635" s="9"/>
      <c r="AF7635" s="10"/>
      <c r="AG7635" s="10"/>
      <c r="AH7635" s="10"/>
      <c r="AI7635" s="10"/>
    </row>
    <row r="7636" spans="28:35" ht="15" hidden="1" customHeight="1">
      <c r="AB7636" s="9"/>
      <c r="AC7636" s="9"/>
      <c r="AD7636" s="9"/>
      <c r="AF7636" s="10"/>
      <c r="AG7636" s="10"/>
      <c r="AH7636" s="10"/>
      <c r="AI7636" s="10"/>
    </row>
    <row r="7637" spans="28:35" ht="15" hidden="1" customHeight="1">
      <c r="AB7637" s="9"/>
      <c r="AC7637" s="9"/>
      <c r="AD7637" s="9"/>
      <c r="AF7637" s="10"/>
      <c r="AG7637" s="10"/>
      <c r="AH7637" s="10"/>
      <c r="AI7637" s="10"/>
    </row>
    <row r="7638" spans="28:35" ht="15" hidden="1" customHeight="1">
      <c r="AB7638" s="9"/>
      <c r="AC7638" s="9"/>
      <c r="AD7638" s="9"/>
      <c r="AF7638" s="10"/>
      <c r="AG7638" s="10"/>
      <c r="AH7638" s="10"/>
      <c r="AI7638" s="10"/>
    </row>
    <row r="7639" spans="28:35" ht="15" hidden="1" customHeight="1">
      <c r="AB7639" s="9"/>
      <c r="AC7639" s="9"/>
      <c r="AD7639" s="9"/>
      <c r="AF7639" s="10"/>
      <c r="AG7639" s="10"/>
      <c r="AH7639" s="10"/>
      <c r="AI7639" s="10"/>
    </row>
    <row r="7640" spans="28:35" ht="15" hidden="1" customHeight="1">
      <c r="AB7640" s="9"/>
      <c r="AC7640" s="9"/>
      <c r="AD7640" s="9"/>
      <c r="AF7640" s="10"/>
      <c r="AG7640" s="10"/>
      <c r="AH7640" s="10"/>
      <c r="AI7640" s="10"/>
    </row>
    <row r="7641" spans="28:35" ht="15" hidden="1" customHeight="1">
      <c r="AB7641" s="9"/>
      <c r="AC7641" s="9"/>
      <c r="AD7641" s="9"/>
      <c r="AF7641" s="10"/>
      <c r="AG7641" s="10"/>
      <c r="AH7641" s="10"/>
      <c r="AI7641" s="10"/>
    </row>
    <row r="7642" spans="28:35" ht="15" hidden="1" customHeight="1">
      <c r="AB7642" s="9"/>
      <c r="AC7642" s="9"/>
      <c r="AD7642" s="9"/>
      <c r="AF7642" s="10"/>
      <c r="AG7642" s="10"/>
      <c r="AH7642" s="10"/>
      <c r="AI7642" s="10"/>
    </row>
    <row r="7643" spans="28:35" ht="15" hidden="1" customHeight="1">
      <c r="AB7643" s="9"/>
      <c r="AC7643" s="9"/>
      <c r="AD7643" s="9"/>
      <c r="AF7643" s="10"/>
      <c r="AG7643" s="10"/>
      <c r="AH7643" s="10"/>
      <c r="AI7643" s="10"/>
    </row>
    <row r="7644" spans="28:35" ht="15" hidden="1" customHeight="1">
      <c r="AB7644" s="9"/>
      <c r="AC7644" s="9"/>
      <c r="AD7644" s="9"/>
      <c r="AF7644" s="10"/>
      <c r="AG7644" s="10"/>
      <c r="AH7644" s="10"/>
      <c r="AI7644" s="10"/>
    </row>
    <row r="7645" spans="28:35" ht="15" hidden="1" customHeight="1">
      <c r="AB7645" s="9"/>
      <c r="AC7645" s="9"/>
      <c r="AD7645" s="9"/>
      <c r="AF7645" s="10"/>
      <c r="AG7645" s="10"/>
      <c r="AH7645" s="10"/>
      <c r="AI7645" s="10"/>
    </row>
    <row r="7646" spans="28:35" ht="15" hidden="1" customHeight="1">
      <c r="AB7646" s="9"/>
      <c r="AC7646" s="9"/>
      <c r="AD7646" s="9"/>
      <c r="AF7646" s="10"/>
      <c r="AG7646" s="10"/>
      <c r="AH7646" s="10"/>
      <c r="AI7646" s="10"/>
    </row>
    <row r="7647" spans="28:35" ht="15" hidden="1" customHeight="1">
      <c r="AB7647" s="9"/>
      <c r="AC7647" s="9"/>
      <c r="AD7647" s="9"/>
      <c r="AF7647" s="10"/>
      <c r="AG7647" s="10"/>
      <c r="AH7647" s="10"/>
      <c r="AI7647" s="10"/>
    </row>
    <row r="7648" spans="28:35" ht="15" hidden="1" customHeight="1">
      <c r="AB7648" s="9"/>
      <c r="AC7648" s="9"/>
      <c r="AD7648" s="9"/>
      <c r="AF7648" s="10"/>
      <c r="AG7648" s="10"/>
      <c r="AH7648" s="10"/>
      <c r="AI7648" s="10"/>
    </row>
    <row r="7649" spans="28:35" ht="15" hidden="1" customHeight="1">
      <c r="AB7649" s="9"/>
      <c r="AC7649" s="9"/>
      <c r="AD7649" s="9"/>
      <c r="AF7649" s="10"/>
      <c r="AG7649" s="10"/>
      <c r="AH7649" s="10"/>
      <c r="AI7649" s="10"/>
    </row>
    <row r="7650" spans="28:35" ht="15" hidden="1" customHeight="1">
      <c r="AB7650" s="9"/>
      <c r="AC7650" s="9"/>
      <c r="AD7650" s="9"/>
      <c r="AF7650" s="10"/>
      <c r="AG7650" s="10"/>
      <c r="AH7650" s="10"/>
      <c r="AI7650" s="10"/>
    </row>
    <row r="7651" spans="28:35" ht="15" hidden="1" customHeight="1">
      <c r="AB7651" s="9"/>
      <c r="AC7651" s="9"/>
      <c r="AD7651" s="9"/>
      <c r="AF7651" s="10"/>
      <c r="AG7651" s="10"/>
      <c r="AH7651" s="10"/>
      <c r="AI7651" s="10"/>
    </row>
    <row r="7652" spans="28:35" ht="15" hidden="1" customHeight="1">
      <c r="AB7652" s="9"/>
      <c r="AC7652" s="9"/>
      <c r="AD7652" s="9"/>
      <c r="AF7652" s="10"/>
      <c r="AG7652" s="10"/>
      <c r="AH7652" s="10"/>
      <c r="AI7652" s="10"/>
    </row>
    <row r="7653" spans="28:35" ht="15" hidden="1" customHeight="1">
      <c r="AB7653" s="9"/>
      <c r="AC7653" s="9"/>
      <c r="AD7653" s="9"/>
      <c r="AF7653" s="10"/>
      <c r="AG7653" s="10"/>
      <c r="AH7653" s="10"/>
      <c r="AI7653" s="10"/>
    </row>
    <row r="7654" spans="28:35" ht="15" hidden="1" customHeight="1">
      <c r="AB7654" s="9"/>
      <c r="AC7654" s="9"/>
      <c r="AD7654" s="9"/>
      <c r="AF7654" s="10"/>
      <c r="AG7654" s="10"/>
      <c r="AH7654" s="10"/>
      <c r="AI7654" s="10"/>
    </row>
    <row r="7655" spans="28:35" ht="15" hidden="1" customHeight="1">
      <c r="AB7655" s="9"/>
      <c r="AC7655" s="9"/>
      <c r="AD7655" s="9"/>
      <c r="AF7655" s="10"/>
      <c r="AG7655" s="10"/>
      <c r="AH7655" s="10"/>
      <c r="AI7655" s="10"/>
    </row>
    <row r="7656" spans="28:35" ht="15" hidden="1" customHeight="1">
      <c r="AB7656" s="9"/>
      <c r="AC7656" s="9"/>
      <c r="AD7656" s="9"/>
      <c r="AF7656" s="10"/>
      <c r="AG7656" s="10"/>
      <c r="AH7656" s="10"/>
      <c r="AI7656" s="10"/>
    </row>
    <row r="7657" spans="28:35" ht="15" hidden="1" customHeight="1">
      <c r="AB7657" s="9"/>
      <c r="AC7657" s="9"/>
      <c r="AD7657" s="9"/>
      <c r="AF7657" s="10"/>
      <c r="AG7657" s="10"/>
      <c r="AH7657" s="10"/>
      <c r="AI7657" s="10"/>
    </row>
    <row r="7658" spans="28:35" ht="15" hidden="1" customHeight="1">
      <c r="AB7658" s="9"/>
      <c r="AC7658" s="9"/>
      <c r="AD7658" s="9"/>
      <c r="AF7658" s="10"/>
      <c r="AG7658" s="10"/>
      <c r="AH7658" s="10"/>
      <c r="AI7658" s="10"/>
    </row>
    <row r="7659" spans="28:35" ht="15" hidden="1" customHeight="1">
      <c r="AB7659" s="9"/>
      <c r="AC7659" s="9"/>
      <c r="AD7659" s="9"/>
      <c r="AF7659" s="10"/>
      <c r="AG7659" s="10"/>
      <c r="AH7659" s="10"/>
      <c r="AI7659" s="10"/>
    </row>
    <row r="7660" spans="28:35" ht="15" hidden="1" customHeight="1">
      <c r="AB7660" s="9"/>
      <c r="AC7660" s="9"/>
      <c r="AD7660" s="9"/>
      <c r="AF7660" s="10"/>
      <c r="AG7660" s="10"/>
      <c r="AH7660" s="10"/>
      <c r="AI7660" s="10"/>
    </row>
    <row r="7661" spans="28:35" ht="15" hidden="1" customHeight="1">
      <c r="AB7661" s="9"/>
      <c r="AC7661" s="9"/>
      <c r="AD7661" s="9"/>
      <c r="AF7661" s="10"/>
      <c r="AG7661" s="10"/>
      <c r="AH7661" s="10"/>
      <c r="AI7661" s="10"/>
    </row>
    <row r="7662" spans="28:35" ht="15" hidden="1" customHeight="1">
      <c r="AB7662" s="9"/>
      <c r="AC7662" s="9"/>
      <c r="AD7662" s="9"/>
      <c r="AF7662" s="10"/>
      <c r="AG7662" s="10"/>
      <c r="AH7662" s="10"/>
      <c r="AI7662" s="10"/>
    </row>
    <row r="7663" spans="28:35" ht="15" hidden="1" customHeight="1">
      <c r="AB7663" s="9"/>
      <c r="AC7663" s="9"/>
      <c r="AD7663" s="9"/>
      <c r="AF7663" s="10"/>
      <c r="AG7663" s="10"/>
      <c r="AH7663" s="10"/>
      <c r="AI7663" s="10"/>
    </row>
    <row r="7664" spans="28:35" ht="15" hidden="1" customHeight="1">
      <c r="AB7664" s="9"/>
      <c r="AC7664" s="9"/>
      <c r="AD7664" s="9"/>
      <c r="AF7664" s="10"/>
      <c r="AG7664" s="10"/>
      <c r="AH7664" s="10"/>
      <c r="AI7664" s="10"/>
    </row>
    <row r="7665" spans="28:35" ht="15" hidden="1" customHeight="1">
      <c r="AB7665" s="9"/>
      <c r="AC7665" s="9"/>
      <c r="AD7665" s="9"/>
      <c r="AF7665" s="10"/>
      <c r="AG7665" s="10"/>
      <c r="AH7665" s="10"/>
      <c r="AI7665" s="10"/>
    </row>
    <row r="7666" spans="28:35" ht="15" hidden="1" customHeight="1">
      <c r="AB7666" s="9"/>
      <c r="AC7666" s="9"/>
      <c r="AD7666" s="9"/>
      <c r="AF7666" s="10"/>
      <c r="AG7666" s="10"/>
      <c r="AH7666" s="10"/>
      <c r="AI7666" s="10"/>
    </row>
    <row r="7667" spans="28:35" ht="15" hidden="1" customHeight="1">
      <c r="AB7667" s="9"/>
      <c r="AC7667" s="9"/>
      <c r="AD7667" s="9"/>
      <c r="AF7667" s="10"/>
      <c r="AG7667" s="10"/>
      <c r="AH7667" s="10"/>
      <c r="AI7667" s="10"/>
    </row>
    <row r="7668" spans="28:35" ht="15" hidden="1" customHeight="1">
      <c r="AB7668" s="9"/>
      <c r="AC7668" s="9"/>
      <c r="AD7668" s="9"/>
      <c r="AF7668" s="10"/>
      <c r="AG7668" s="10"/>
      <c r="AH7668" s="10"/>
      <c r="AI7668" s="10"/>
    </row>
    <row r="7669" spans="28:35" ht="15" hidden="1" customHeight="1">
      <c r="AB7669" s="9"/>
      <c r="AC7669" s="9"/>
      <c r="AD7669" s="9"/>
      <c r="AF7669" s="10"/>
      <c r="AG7669" s="10"/>
      <c r="AH7669" s="10"/>
      <c r="AI7669" s="10"/>
    </row>
    <row r="7670" spans="28:35" ht="15" hidden="1" customHeight="1">
      <c r="AB7670" s="9"/>
      <c r="AC7670" s="9"/>
      <c r="AD7670" s="9"/>
      <c r="AF7670" s="10"/>
      <c r="AG7670" s="10"/>
      <c r="AH7670" s="10"/>
      <c r="AI7670" s="10"/>
    </row>
    <row r="7671" spans="28:35" ht="15" hidden="1" customHeight="1">
      <c r="AB7671" s="9"/>
      <c r="AC7671" s="9"/>
      <c r="AD7671" s="9"/>
      <c r="AF7671" s="10"/>
      <c r="AG7671" s="10"/>
      <c r="AH7671" s="10"/>
      <c r="AI7671" s="10"/>
    </row>
    <row r="7672" spans="28:35" ht="15" hidden="1" customHeight="1">
      <c r="AB7672" s="9"/>
      <c r="AC7672" s="9"/>
      <c r="AD7672" s="9"/>
      <c r="AF7672" s="10"/>
      <c r="AG7672" s="10"/>
      <c r="AH7672" s="10"/>
      <c r="AI7672" s="10"/>
    </row>
    <row r="7673" spans="28:35" ht="15" hidden="1" customHeight="1">
      <c r="AB7673" s="9"/>
      <c r="AC7673" s="9"/>
      <c r="AD7673" s="9"/>
      <c r="AF7673" s="10"/>
      <c r="AG7673" s="10"/>
      <c r="AH7673" s="10"/>
      <c r="AI7673" s="10"/>
    </row>
    <row r="7674" spans="28:35" ht="15" hidden="1" customHeight="1">
      <c r="AB7674" s="9"/>
      <c r="AC7674" s="9"/>
      <c r="AD7674" s="9"/>
      <c r="AF7674" s="10"/>
      <c r="AG7674" s="10"/>
      <c r="AH7674" s="10"/>
      <c r="AI7674" s="10"/>
    </row>
    <row r="7675" spans="28:35" ht="15" hidden="1" customHeight="1">
      <c r="AB7675" s="9"/>
      <c r="AC7675" s="9"/>
      <c r="AD7675" s="9"/>
      <c r="AF7675" s="10"/>
      <c r="AG7675" s="10"/>
      <c r="AH7675" s="10"/>
      <c r="AI7675" s="10"/>
    </row>
    <row r="7676" spans="28:35" ht="15" hidden="1" customHeight="1">
      <c r="AB7676" s="9"/>
      <c r="AC7676" s="9"/>
      <c r="AD7676" s="9"/>
      <c r="AF7676" s="10"/>
      <c r="AG7676" s="10"/>
      <c r="AH7676" s="10"/>
      <c r="AI7676" s="10"/>
    </row>
    <row r="7677" spans="28:35" ht="15" hidden="1" customHeight="1">
      <c r="AB7677" s="9"/>
      <c r="AC7677" s="9"/>
      <c r="AD7677" s="9"/>
      <c r="AF7677" s="10"/>
      <c r="AG7677" s="10"/>
      <c r="AH7677" s="10"/>
      <c r="AI7677" s="10"/>
    </row>
    <row r="7678" spans="28:35" ht="15" hidden="1" customHeight="1">
      <c r="AB7678" s="9"/>
      <c r="AC7678" s="9"/>
      <c r="AD7678" s="9"/>
      <c r="AF7678" s="10"/>
      <c r="AG7678" s="10"/>
      <c r="AH7678" s="10"/>
      <c r="AI7678" s="10"/>
    </row>
    <row r="7679" spans="28:35" ht="15" hidden="1" customHeight="1">
      <c r="AB7679" s="9"/>
      <c r="AC7679" s="9"/>
      <c r="AD7679" s="9"/>
      <c r="AF7679" s="10"/>
      <c r="AG7679" s="10"/>
      <c r="AH7679" s="10"/>
      <c r="AI7679" s="10"/>
    </row>
    <row r="7680" spans="28:35" ht="15" hidden="1" customHeight="1">
      <c r="AB7680" s="9"/>
      <c r="AC7680" s="9"/>
      <c r="AD7680" s="9"/>
      <c r="AF7680" s="10"/>
      <c r="AG7680" s="10"/>
      <c r="AH7680" s="10"/>
      <c r="AI7680" s="10"/>
    </row>
    <row r="7681" spans="28:35" ht="15" hidden="1" customHeight="1">
      <c r="AB7681" s="9"/>
      <c r="AC7681" s="9"/>
      <c r="AD7681" s="9"/>
      <c r="AF7681" s="10"/>
      <c r="AG7681" s="10"/>
      <c r="AH7681" s="10"/>
      <c r="AI7681" s="10"/>
    </row>
    <row r="7682" spans="28:35" ht="15" hidden="1" customHeight="1">
      <c r="AB7682" s="9"/>
      <c r="AC7682" s="9"/>
      <c r="AD7682" s="9"/>
      <c r="AF7682" s="10"/>
      <c r="AG7682" s="10"/>
      <c r="AH7682" s="10"/>
      <c r="AI7682" s="10"/>
    </row>
    <row r="7683" spans="28:35" ht="15" hidden="1" customHeight="1">
      <c r="AB7683" s="9"/>
      <c r="AC7683" s="9"/>
      <c r="AD7683" s="9"/>
      <c r="AF7683" s="10"/>
      <c r="AG7683" s="10"/>
      <c r="AH7683" s="10"/>
      <c r="AI7683" s="10"/>
    </row>
    <row r="7684" spans="28:35" ht="15" hidden="1" customHeight="1">
      <c r="AB7684" s="9"/>
      <c r="AC7684" s="9"/>
      <c r="AD7684" s="9"/>
      <c r="AF7684" s="10"/>
      <c r="AG7684" s="10"/>
      <c r="AH7684" s="10"/>
      <c r="AI7684" s="10"/>
    </row>
    <row r="7685" spans="28:35" ht="15" hidden="1" customHeight="1">
      <c r="AB7685" s="9"/>
      <c r="AC7685" s="9"/>
      <c r="AD7685" s="9"/>
      <c r="AF7685" s="10"/>
      <c r="AG7685" s="10"/>
      <c r="AH7685" s="10"/>
      <c r="AI7685" s="10"/>
    </row>
    <row r="7686" spans="28:35" ht="15" hidden="1" customHeight="1">
      <c r="AB7686" s="9"/>
      <c r="AC7686" s="9"/>
      <c r="AD7686" s="9"/>
      <c r="AF7686" s="10"/>
      <c r="AG7686" s="10"/>
      <c r="AH7686" s="10"/>
      <c r="AI7686" s="10"/>
    </row>
    <row r="7687" spans="28:35" ht="15" hidden="1" customHeight="1">
      <c r="AB7687" s="9"/>
      <c r="AC7687" s="9"/>
      <c r="AD7687" s="9"/>
      <c r="AF7687" s="10"/>
      <c r="AG7687" s="10"/>
      <c r="AH7687" s="10"/>
      <c r="AI7687" s="10"/>
    </row>
    <row r="7688" spans="28:35" ht="15" hidden="1" customHeight="1">
      <c r="AB7688" s="9"/>
      <c r="AC7688" s="9"/>
      <c r="AD7688" s="9"/>
      <c r="AF7688" s="10"/>
      <c r="AG7688" s="10"/>
      <c r="AH7688" s="10"/>
      <c r="AI7688" s="10"/>
    </row>
    <row r="7689" spans="28:35" ht="15" hidden="1" customHeight="1">
      <c r="AB7689" s="9"/>
      <c r="AC7689" s="9"/>
      <c r="AD7689" s="9"/>
      <c r="AF7689" s="10"/>
      <c r="AG7689" s="10"/>
      <c r="AH7689" s="10"/>
      <c r="AI7689" s="10"/>
    </row>
    <row r="7690" spans="28:35" ht="15" hidden="1" customHeight="1">
      <c r="AB7690" s="9"/>
      <c r="AC7690" s="9"/>
      <c r="AD7690" s="9"/>
      <c r="AF7690" s="10"/>
      <c r="AG7690" s="10"/>
      <c r="AH7690" s="10"/>
      <c r="AI7690" s="10"/>
    </row>
    <row r="7691" spans="28:35" ht="15" hidden="1" customHeight="1">
      <c r="AB7691" s="9"/>
      <c r="AC7691" s="9"/>
      <c r="AD7691" s="9"/>
      <c r="AF7691" s="10"/>
      <c r="AG7691" s="10"/>
      <c r="AH7691" s="10"/>
      <c r="AI7691" s="10"/>
    </row>
    <row r="7692" spans="28:35" ht="15" hidden="1" customHeight="1">
      <c r="AB7692" s="9"/>
      <c r="AC7692" s="9"/>
      <c r="AD7692" s="9"/>
      <c r="AF7692" s="10"/>
      <c r="AG7692" s="10"/>
      <c r="AH7692" s="10"/>
      <c r="AI7692" s="10"/>
    </row>
    <row r="7693" spans="28:35" ht="15" hidden="1" customHeight="1">
      <c r="AB7693" s="9"/>
      <c r="AC7693" s="9"/>
      <c r="AD7693" s="9"/>
      <c r="AF7693" s="10"/>
      <c r="AG7693" s="10"/>
      <c r="AH7693" s="10"/>
      <c r="AI7693" s="10"/>
    </row>
    <row r="7694" spans="28:35" ht="15" hidden="1" customHeight="1">
      <c r="AB7694" s="9"/>
      <c r="AC7694" s="9"/>
      <c r="AD7694" s="9"/>
      <c r="AF7694" s="10"/>
      <c r="AG7694" s="10"/>
      <c r="AH7694" s="10"/>
      <c r="AI7694" s="10"/>
    </row>
    <row r="7695" spans="28:35" ht="15" hidden="1" customHeight="1">
      <c r="AB7695" s="9"/>
      <c r="AC7695" s="9"/>
      <c r="AD7695" s="9"/>
      <c r="AF7695" s="10"/>
      <c r="AG7695" s="10"/>
      <c r="AH7695" s="10"/>
      <c r="AI7695" s="10"/>
    </row>
    <row r="7696" spans="28:35" ht="15" hidden="1" customHeight="1">
      <c r="AB7696" s="9"/>
      <c r="AC7696" s="9"/>
      <c r="AD7696" s="9"/>
      <c r="AF7696" s="10"/>
      <c r="AG7696" s="10"/>
      <c r="AH7696" s="10"/>
      <c r="AI7696" s="10"/>
    </row>
    <row r="7697" spans="28:35" ht="15" hidden="1" customHeight="1">
      <c r="AB7697" s="9"/>
      <c r="AC7697" s="9"/>
      <c r="AD7697" s="9"/>
      <c r="AF7697" s="10"/>
      <c r="AG7697" s="10"/>
      <c r="AH7697" s="10"/>
      <c r="AI7697" s="10"/>
    </row>
    <row r="7698" spans="28:35" ht="15" hidden="1" customHeight="1">
      <c r="AB7698" s="9"/>
      <c r="AC7698" s="9"/>
      <c r="AD7698" s="9"/>
      <c r="AF7698" s="10"/>
      <c r="AG7698" s="10"/>
      <c r="AH7698" s="10"/>
      <c r="AI7698" s="10"/>
    </row>
    <row r="7699" spans="28:35" ht="15" hidden="1" customHeight="1">
      <c r="AB7699" s="9"/>
      <c r="AC7699" s="9"/>
      <c r="AD7699" s="9"/>
      <c r="AF7699" s="10"/>
      <c r="AG7699" s="10"/>
      <c r="AH7699" s="10"/>
      <c r="AI7699" s="10"/>
    </row>
    <row r="7700" spans="28:35" ht="15" hidden="1" customHeight="1">
      <c r="AB7700" s="9"/>
      <c r="AC7700" s="9"/>
      <c r="AD7700" s="9"/>
      <c r="AF7700" s="10"/>
      <c r="AG7700" s="10"/>
      <c r="AH7700" s="10"/>
      <c r="AI7700" s="10"/>
    </row>
    <row r="7701" spans="28:35" ht="15" hidden="1" customHeight="1">
      <c r="AB7701" s="9"/>
      <c r="AC7701" s="9"/>
      <c r="AD7701" s="9"/>
      <c r="AF7701" s="10"/>
      <c r="AG7701" s="10"/>
      <c r="AH7701" s="10"/>
      <c r="AI7701" s="10"/>
    </row>
    <row r="7702" spans="28:35" ht="15" hidden="1" customHeight="1">
      <c r="AB7702" s="9"/>
      <c r="AC7702" s="9"/>
      <c r="AD7702" s="9"/>
      <c r="AF7702" s="10"/>
      <c r="AG7702" s="10"/>
      <c r="AH7702" s="10"/>
      <c r="AI7702" s="10"/>
    </row>
    <row r="7703" spans="28:35" ht="15" hidden="1" customHeight="1">
      <c r="AB7703" s="9"/>
      <c r="AC7703" s="9"/>
      <c r="AD7703" s="9"/>
      <c r="AF7703" s="10"/>
      <c r="AG7703" s="10"/>
      <c r="AH7703" s="10"/>
      <c r="AI7703" s="10"/>
    </row>
    <row r="7704" spans="28:35" ht="15" hidden="1" customHeight="1">
      <c r="AB7704" s="9"/>
      <c r="AC7704" s="9"/>
      <c r="AD7704" s="9"/>
      <c r="AF7704" s="10"/>
      <c r="AG7704" s="10"/>
      <c r="AH7704" s="10"/>
      <c r="AI7704" s="10"/>
    </row>
    <row r="7705" spans="28:35" ht="15" hidden="1" customHeight="1">
      <c r="AB7705" s="9"/>
      <c r="AC7705" s="9"/>
      <c r="AD7705" s="9"/>
      <c r="AF7705" s="10"/>
      <c r="AG7705" s="10"/>
      <c r="AH7705" s="10"/>
      <c r="AI7705" s="10"/>
    </row>
    <row r="7706" spans="28:35" ht="15" hidden="1" customHeight="1">
      <c r="AB7706" s="9"/>
      <c r="AC7706" s="9"/>
      <c r="AD7706" s="9"/>
      <c r="AF7706" s="10"/>
      <c r="AG7706" s="10"/>
      <c r="AH7706" s="10"/>
      <c r="AI7706" s="10"/>
    </row>
    <row r="7707" spans="28:35" ht="15" hidden="1" customHeight="1">
      <c r="AB7707" s="9"/>
      <c r="AC7707" s="9"/>
      <c r="AD7707" s="9"/>
      <c r="AF7707" s="10"/>
      <c r="AG7707" s="10"/>
      <c r="AH7707" s="10"/>
      <c r="AI7707" s="10"/>
    </row>
    <row r="7708" spans="28:35" ht="15" hidden="1" customHeight="1">
      <c r="AB7708" s="9"/>
      <c r="AC7708" s="9"/>
      <c r="AD7708" s="9"/>
      <c r="AF7708" s="10"/>
      <c r="AG7708" s="10"/>
      <c r="AH7708" s="10"/>
      <c r="AI7708" s="10"/>
    </row>
    <row r="7709" spans="28:35" ht="15" hidden="1" customHeight="1">
      <c r="AB7709" s="9"/>
      <c r="AC7709" s="9"/>
      <c r="AD7709" s="9"/>
      <c r="AF7709" s="10"/>
      <c r="AG7709" s="10"/>
      <c r="AH7709" s="10"/>
      <c r="AI7709" s="10"/>
    </row>
    <row r="7710" spans="28:35" ht="15" hidden="1" customHeight="1">
      <c r="AB7710" s="9"/>
      <c r="AC7710" s="9"/>
      <c r="AD7710" s="9"/>
      <c r="AF7710" s="10"/>
      <c r="AG7710" s="10"/>
      <c r="AH7710" s="10"/>
      <c r="AI7710" s="10"/>
    </row>
    <row r="7711" spans="28:35" ht="15" hidden="1" customHeight="1">
      <c r="AB7711" s="9"/>
      <c r="AC7711" s="9"/>
      <c r="AD7711" s="9"/>
      <c r="AF7711" s="10"/>
      <c r="AG7711" s="10"/>
      <c r="AH7711" s="10"/>
      <c r="AI7711" s="10"/>
    </row>
    <row r="7712" spans="28:35" ht="15" hidden="1" customHeight="1">
      <c r="AB7712" s="9"/>
      <c r="AC7712" s="9"/>
      <c r="AD7712" s="9"/>
      <c r="AF7712" s="10"/>
      <c r="AG7712" s="10"/>
      <c r="AH7712" s="10"/>
      <c r="AI7712" s="10"/>
    </row>
    <row r="7713" spans="28:35" ht="15" hidden="1" customHeight="1">
      <c r="AB7713" s="9"/>
      <c r="AC7713" s="9"/>
      <c r="AD7713" s="9"/>
      <c r="AF7713" s="10"/>
      <c r="AG7713" s="10"/>
      <c r="AH7713" s="10"/>
      <c r="AI7713" s="10"/>
    </row>
    <row r="7714" spans="28:35" ht="15" hidden="1" customHeight="1">
      <c r="AB7714" s="9"/>
      <c r="AC7714" s="9"/>
      <c r="AD7714" s="9"/>
      <c r="AF7714" s="10"/>
      <c r="AG7714" s="10"/>
      <c r="AH7714" s="10"/>
      <c r="AI7714" s="10"/>
    </row>
    <row r="7715" spans="28:35" ht="15" hidden="1" customHeight="1">
      <c r="AB7715" s="9"/>
      <c r="AC7715" s="9"/>
      <c r="AD7715" s="9"/>
      <c r="AF7715" s="10"/>
      <c r="AG7715" s="10"/>
      <c r="AH7715" s="10"/>
      <c r="AI7715" s="10"/>
    </row>
    <row r="7716" spans="28:35" ht="15" hidden="1" customHeight="1">
      <c r="AB7716" s="9"/>
      <c r="AC7716" s="9"/>
      <c r="AD7716" s="9"/>
      <c r="AF7716" s="10"/>
      <c r="AG7716" s="10"/>
      <c r="AH7716" s="10"/>
      <c r="AI7716" s="10"/>
    </row>
    <row r="7717" spans="28:35" ht="15" hidden="1" customHeight="1">
      <c r="AB7717" s="9"/>
      <c r="AC7717" s="9"/>
      <c r="AD7717" s="9"/>
      <c r="AF7717" s="10"/>
      <c r="AG7717" s="10"/>
      <c r="AH7717" s="10"/>
      <c r="AI7717" s="10"/>
    </row>
    <row r="7718" spans="28:35" ht="15" hidden="1" customHeight="1">
      <c r="AB7718" s="9"/>
      <c r="AC7718" s="9"/>
      <c r="AD7718" s="9"/>
      <c r="AF7718" s="10"/>
      <c r="AG7718" s="10"/>
      <c r="AH7718" s="10"/>
      <c r="AI7718" s="10"/>
    </row>
    <row r="7719" spans="28:35" ht="15" hidden="1" customHeight="1">
      <c r="AB7719" s="9"/>
      <c r="AC7719" s="9"/>
      <c r="AD7719" s="9"/>
      <c r="AF7719" s="10"/>
      <c r="AG7719" s="10"/>
      <c r="AH7719" s="10"/>
      <c r="AI7719" s="10"/>
    </row>
    <row r="7720" spans="28:35" ht="15" hidden="1" customHeight="1">
      <c r="AB7720" s="9"/>
      <c r="AC7720" s="9"/>
      <c r="AD7720" s="9"/>
      <c r="AF7720" s="10"/>
      <c r="AG7720" s="10"/>
      <c r="AH7720" s="10"/>
      <c r="AI7720" s="10"/>
    </row>
    <row r="7721" spans="28:35" ht="15" hidden="1" customHeight="1">
      <c r="AB7721" s="9"/>
      <c r="AC7721" s="9"/>
      <c r="AD7721" s="9"/>
      <c r="AF7721" s="10"/>
      <c r="AG7721" s="10"/>
      <c r="AH7721" s="10"/>
      <c r="AI7721" s="10"/>
    </row>
    <row r="7722" spans="28:35" ht="15" hidden="1" customHeight="1">
      <c r="AB7722" s="9"/>
      <c r="AC7722" s="9"/>
      <c r="AD7722" s="9"/>
      <c r="AF7722" s="10"/>
      <c r="AG7722" s="10"/>
      <c r="AH7722" s="10"/>
      <c r="AI7722" s="10"/>
    </row>
    <row r="7723" spans="28:35" ht="15" hidden="1" customHeight="1">
      <c r="AB7723" s="9"/>
      <c r="AC7723" s="9"/>
      <c r="AD7723" s="9"/>
      <c r="AF7723" s="10"/>
      <c r="AG7723" s="10"/>
      <c r="AH7723" s="10"/>
      <c r="AI7723" s="10"/>
    </row>
    <row r="7724" spans="28:35" ht="15" hidden="1" customHeight="1">
      <c r="AB7724" s="9"/>
      <c r="AC7724" s="9"/>
      <c r="AD7724" s="9"/>
      <c r="AF7724" s="10"/>
      <c r="AG7724" s="10"/>
      <c r="AH7724" s="10"/>
      <c r="AI7724" s="10"/>
    </row>
    <row r="7725" spans="28:35" ht="15" hidden="1" customHeight="1">
      <c r="AB7725" s="9"/>
      <c r="AC7725" s="9"/>
      <c r="AD7725" s="9"/>
      <c r="AF7725" s="10"/>
      <c r="AG7725" s="10"/>
      <c r="AH7725" s="10"/>
      <c r="AI7725" s="10"/>
    </row>
    <row r="7726" spans="28:35" ht="15" hidden="1" customHeight="1">
      <c r="AB7726" s="9"/>
      <c r="AC7726" s="9"/>
      <c r="AD7726" s="9"/>
      <c r="AF7726" s="10"/>
      <c r="AG7726" s="10"/>
      <c r="AH7726" s="10"/>
      <c r="AI7726" s="10"/>
    </row>
    <row r="7727" spans="28:35" ht="15" hidden="1" customHeight="1">
      <c r="AB7727" s="9"/>
      <c r="AC7727" s="9"/>
      <c r="AD7727" s="9"/>
      <c r="AF7727" s="10"/>
      <c r="AG7727" s="10"/>
      <c r="AH7727" s="10"/>
      <c r="AI7727" s="10"/>
    </row>
    <row r="7728" spans="28:35" ht="15" hidden="1" customHeight="1">
      <c r="AB7728" s="9"/>
      <c r="AC7728" s="9"/>
      <c r="AD7728" s="9"/>
      <c r="AF7728" s="10"/>
      <c r="AG7728" s="10"/>
      <c r="AH7728" s="10"/>
      <c r="AI7728" s="10"/>
    </row>
    <row r="7729" spans="28:35" ht="15" hidden="1" customHeight="1">
      <c r="AB7729" s="9"/>
      <c r="AC7729" s="9"/>
      <c r="AD7729" s="9"/>
      <c r="AF7729" s="10"/>
      <c r="AG7729" s="10"/>
      <c r="AH7729" s="10"/>
      <c r="AI7729" s="10"/>
    </row>
    <row r="7730" spans="28:35" ht="15" hidden="1" customHeight="1">
      <c r="AB7730" s="9"/>
      <c r="AC7730" s="9"/>
      <c r="AD7730" s="9"/>
      <c r="AF7730" s="10"/>
      <c r="AG7730" s="10"/>
      <c r="AH7730" s="10"/>
      <c r="AI7730" s="10"/>
    </row>
    <row r="7731" spans="28:35" ht="15" hidden="1" customHeight="1">
      <c r="AB7731" s="9"/>
      <c r="AC7731" s="9"/>
      <c r="AD7731" s="9"/>
      <c r="AF7731" s="10"/>
      <c r="AG7731" s="10"/>
      <c r="AH7731" s="10"/>
      <c r="AI7731" s="10"/>
    </row>
    <row r="7732" spans="28:35" ht="15" hidden="1" customHeight="1">
      <c r="AB7732" s="9"/>
      <c r="AC7732" s="9"/>
      <c r="AD7732" s="9"/>
      <c r="AF7732" s="10"/>
      <c r="AG7732" s="10"/>
      <c r="AH7732" s="10"/>
      <c r="AI7732" s="10"/>
    </row>
    <row r="7733" spans="28:35" ht="15" hidden="1" customHeight="1">
      <c r="AB7733" s="9"/>
      <c r="AC7733" s="9"/>
      <c r="AD7733" s="9"/>
      <c r="AF7733" s="10"/>
      <c r="AG7733" s="10"/>
      <c r="AH7733" s="10"/>
      <c r="AI7733" s="10"/>
    </row>
    <row r="7734" spans="28:35" ht="15" hidden="1" customHeight="1">
      <c r="AB7734" s="9"/>
      <c r="AC7734" s="9"/>
      <c r="AD7734" s="9"/>
      <c r="AF7734" s="10"/>
      <c r="AG7734" s="10"/>
      <c r="AH7734" s="10"/>
      <c r="AI7734" s="10"/>
    </row>
    <row r="7735" spans="28:35" ht="15" hidden="1" customHeight="1">
      <c r="AB7735" s="9"/>
      <c r="AC7735" s="9"/>
      <c r="AD7735" s="9"/>
      <c r="AF7735" s="10"/>
      <c r="AG7735" s="10"/>
      <c r="AH7735" s="10"/>
      <c r="AI7735" s="10"/>
    </row>
    <row r="7736" spans="28:35" ht="15" hidden="1" customHeight="1">
      <c r="AB7736" s="9"/>
      <c r="AC7736" s="9"/>
      <c r="AD7736" s="9"/>
      <c r="AF7736" s="10"/>
      <c r="AG7736" s="10"/>
      <c r="AH7736" s="10"/>
      <c r="AI7736" s="10"/>
    </row>
    <row r="7737" spans="28:35" ht="15" hidden="1" customHeight="1">
      <c r="AB7737" s="9"/>
      <c r="AC7737" s="9"/>
      <c r="AD7737" s="9"/>
      <c r="AF7737" s="10"/>
      <c r="AG7737" s="10"/>
      <c r="AH7737" s="10"/>
      <c r="AI7737" s="10"/>
    </row>
    <row r="7738" spans="28:35" ht="15" hidden="1" customHeight="1">
      <c r="AB7738" s="9"/>
      <c r="AC7738" s="9"/>
      <c r="AD7738" s="9"/>
      <c r="AF7738" s="10"/>
      <c r="AG7738" s="10"/>
      <c r="AH7738" s="10"/>
      <c r="AI7738" s="10"/>
    </row>
    <row r="7739" spans="28:35" ht="15" hidden="1" customHeight="1">
      <c r="AB7739" s="9"/>
      <c r="AC7739" s="9"/>
      <c r="AD7739" s="9"/>
      <c r="AF7739" s="10"/>
      <c r="AG7739" s="10"/>
      <c r="AH7739" s="10"/>
      <c r="AI7739" s="10"/>
    </row>
    <row r="7740" spans="28:35" ht="15" hidden="1" customHeight="1">
      <c r="AB7740" s="9"/>
      <c r="AC7740" s="9"/>
      <c r="AD7740" s="9"/>
      <c r="AF7740" s="10"/>
      <c r="AG7740" s="10"/>
      <c r="AH7740" s="10"/>
      <c r="AI7740" s="10"/>
    </row>
    <row r="7741" spans="28:35" ht="15" hidden="1" customHeight="1">
      <c r="AB7741" s="9"/>
      <c r="AC7741" s="9"/>
      <c r="AD7741" s="9"/>
      <c r="AF7741" s="10"/>
      <c r="AG7741" s="10"/>
      <c r="AH7741" s="10"/>
      <c r="AI7741" s="10"/>
    </row>
    <row r="7742" spans="28:35" ht="15" hidden="1" customHeight="1">
      <c r="AB7742" s="9"/>
      <c r="AC7742" s="9"/>
      <c r="AD7742" s="9"/>
      <c r="AF7742" s="10"/>
      <c r="AG7742" s="10"/>
      <c r="AH7742" s="10"/>
      <c r="AI7742" s="10"/>
    </row>
    <row r="7743" spans="28:35" ht="15" hidden="1" customHeight="1">
      <c r="AB7743" s="9"/>
      <c r="AC7743" s="9"/>
      <c r="AD7743" s="9"/>
      <c r="AF7743" s="10"/>
      <c r="AG7743" s="10"/>
      <c r="AH7743" s="10"/>
      <c r="AI7743" s="10"/>
    </row>
    <row r="7744" spans="28:35" ht="15" hidden="1" customHeight="1">
      <c r="AB7744" s="9"/>
      <c r="AC7744" s="9"/>
      <c r="AD7744" s="9"/>
      <c r="AF7744" s="10"/>
      <c r="AG7744" s="10"/>
      <c r="AH7744" s="10"/>
      <c r="AI7744" s="10"/>
    </row>
    <row r="7745" spans="28:35" ht="15" hidden="1" customHeight="1">
      <c r="AB7745" s="9"/>
      <c r="AC7745" s="9"/>
      <c r="AD7745" s="9"/>
      <c r="AF7745" s="10"/>
      <c r="AG7745" s="10"/>
      <c r="AH7745" s="10"/>
      <c r="AI7745" s="10"/>
    </row>
    <row r="7746" spans="28:35" ht="15" hidden="1" customHeight="1">
      <c r="AB7746" s="9"/>
      <c r="AC7746" s="9"/>
      <c r="AD7746" s="9"/>
      <c r="AF7746" s="10"/>
      <c r="AG7746" s="10"/>
      <c r="AH7746" s="10"/>
      <c r="AI7746" s="10"/>
    </row>
    <row r="7747" spans="28:35" ht="15" hidden="1" customHeight="1">
      <c r="AB7747" s="9"/>
      <c r="AC7747" s="9"/>
      <c r="AD7747" s="9"/>
      <c r="AF7747" s="10"/>
      <c r="AG7747" s="10"/>
      <c r="AH7747" s="10"/>
      <c r="AI7747" s="10"/>
    </row>
    <row r="7748" spans="28:35" ht="15" hidden="1" customHeight="1">
      <c r="AB7748" s="9"/>
      <c r="AC7748" s="9"/>
      <c r="AD7748" s="9"/>
      <c r="AF7748" s="10"/>
      <c r="AG7748" s="10"/>
      <c r="AH7748" s="10"/>
      <c r="AI7748" s="10"/>
    </row>
    <row r="7749" spans="28:35" ht="15" hidden="1" customHeight="1">
      <c r="AB7749" s="9"/>
      <c r="AC7749" s="9"/>
      <c r="AD7749" s="9"/>
      <c r="AF7749" s="10"/>
      <c r="AG7749" s="10"/>
      <c r="AH7749" s="10"/>
      <c r="AI7749" s="10"/>
    </row>
    <row r="7750" spans="28:35" ht="15" hidden="1" customHeight="1">
      <c r="AB7750" s="9"/>
      <c r="AC7750" s="9"/>
      <c r="AD7750" s="9"/>
      <c r="AF7750" s="10"/>
      <c r="AG7750" s="10"/>
      <c r="AH7750" s="10"/>
      <c r="AI7750" s="10"/>
    </row>
    <row r="7751" spans="28:35" ht="15" hidden="1" customHeight="1">
      <c r="AB7751" s="9"/>
      <c r="AC7751" s="9"/>
      <c r="AD7751" s="9"/>
      <c r="AF7751" s="10"/>
      <c r="AG7751" s="10"/>
      <c r="AH7751" s="10"/>
      <c r="AI7751" s="10"/>
    </row>
    <row r="7752" spans="28:35" ht="15" hidden="1" customHeight="1">
      <c r="AB7752" s="9"/>
      <c r="AC7752" s="9"/>
      <c r="AD7752" s="9"/>
      <c r="AF7752" s="10"/>
      <c r="AG7752" s="10"/>
      <c r="AH7752" s="10"/>
      <c r="AI7752" s="10"/>
    </row>
    <row r="7753" spans="28:35" ht="15" hidden="1" customHeight="1">
      <c r="AB7753" s="9"/>
      <c r="AC7753" s="9"/>
      <c r="AD7753" s="9"/>
      <c r="AF7753" s="10"/>
      <c r="AG7753" s="10"/>
      <c r="AH7753" s="10"/>
      <c r="AI7753" s="10"/>
    </row>
    <row r="7754" spans="28:35" ht="15" hidden="1" customHeight="1">
      <c r="AB7754" s="9"/>
      <c r="AC7754" s="9"/>
      <c r="AD7754" s="9"/>
      <c r="AF7754" s="10"/>
      <c r="AG7754" s="10"/>
      <c r="AH7754" s="10"/>
      <c r="AI7754" s="10"/>
    </row>
    <row r="7755" spans="28:35" ht="15" hidden="1" customHeight="1">
      <c r="AB7755" s="9"/>
      <c r="AC7755" s="9"/>
      <c r="AD7755" s="9"/>
      <c r="AF7755" s="10"/>
      <c r="AG7755" s="10"/>
      <c r="AH7755" s="10"/>
      <c r="AI7755" s="10"/>
    </row>
    <row r="7756" spans="28:35" ht="15" hidden="1" customHeight="1">
      <c r="AB7756" s="9"/>
      <c r="AC7756" s="9"/>
      <c r="AD7756" s="9"/>
      <c r="AF7756" s="10"/>
      <c r="AG7756" s="10"/>
      <c r="AH7756" s="10"/>
      <c r="AI7756" s="10"/>
    </row>
    <row r="7757" spans="28:35" ht="15" hidden="1" customHeight="1">
      <c r="AB7757" s="9"/>
      <c r="AC7757" s="9"/>
      <c r="AD7757" s="9"/>
      <c r="AF7757" s="10"/>
      <c r="AG7757" s="10"/>
      <c r="AH7757" s="10"/>
      <c r="AI7757" s="10"/>
    </row>
    <row r="7758" spans="28:35" ht="15" hidden="1" customHeight="1">
      <c r="AB7758" s="9"/>
      <c r="AC7758" s="9"/>
      <c r="AD7758" s="9"/>
      <c r="AF7758" s="10"/>
      <c r="AG7758" s="10"/>
      <c r="AH7758" s="10"/>
      <c r="AI7758" s="10"/>
    </row>
    <row r="7759" spans="28:35" ht="15" hidden="1" customHeight="1">
      <c r="AB7759" s="9"/>
      <c r="AC7759" s="9"/>
      <c r="AD7759" s="9"/>
      <c r="AF7759" s="10"/>
      <c r="AG7759" s="10"/>
      <c r="AH7759" s="10"/>
      <c r="AI7759" s="10"/>
    </row>
    <row r="7760" spans="28:35" ht="15" hidden="1" customHeight="1">
      <c r="AB7760" s="9"/>
      <c r="AC7760" s="9"/>
      <c r="AD7760" s="9"/>
      <c r="AF7760" s="10"/>
      <c r="AG7760" s="10"/>
      <c r="AH7760" s="10"/>
      <c r="AI7760" s="10"/>
    </row>
    <row r="7761" spans="28:35" ht="15" hidden="1" customHeight="1">
      <c r="AB7761" s="9"/>
      <c r="AC7761" s="9"/>
      <c r="AD7761" s="9"/>
      <c r="AF7761" s="10"/>
      <c r="AG7761" s="10"/>
      <c r="AH7761" s="10"/>
      <c r="AI7761" s="10"/>
    </row>
    <row r="7762" spans="28:35" ht="15" hidden="1" customHeight="1">
      <c r="AB7762" s="9"/>
      <c r="AC7762" s="9"/>
      <c r="AD7762" s="9"/>
      <c r="AF7762" s="10"/>
      <c r="AG7762" s="10"/>
      <c r="AH7762" s="10"/>
      <c r="AI7762" s="10"/>
    </row>
    <row r="7763" spans="28:35" ht="15" hidden="1" customHeight="1">
      <c r="AB7763" s="9"/>
      <c r="AC7763" s="9"/>
      <c r="AD7763" s="9"/>
      <c r="AF7763" s="10"/>
      <c r="AG7763" s="10"/>
      <c r="AH7763" s="10"/>
      <c r="AI7763" s="10"/>
    </row>
    <row r="7764" spans="28:35" ht="15" hidden="1" customHeight="1">
      <c r="AB7764" s="9"/>
      <c r="AC7764" s="9"/>
      <c r="AD7764" s="9"/>
      <c r="AF7764" s="10"/>
      <c r="AG7764" s="10"/>
      <c r="AH7764" s="10"/>
      <c r="AI7764" s="10"/>
    </row>
    <row r="7765" spans="28:35" ht="15" hidden="1" customHeight="1">
      <c r="AB7765" s="9"/>
      <c r="AC7765" s="9"/>
      <c r="AD7765" s="9"/>
      <c r="AF7765" s="10"/>
      <c r="AG7765" s="10"/>
      <c r="AH7765" s="10"/>
      <c r="AI7765" s="10"/>
    </row>
    <row r="7766" spans="28:35" ht="15" hidden="1" customHeight="1">
      <c r="AB7766" s="9"/>
      <c r="AC7766" s="9"/>
      <c r="AD7766" s="9"/>
      <c r="AF7766" s="10"/>
      <c r="AG7766" s="10"/>
      <c r="AH7766" s="10"/>
      <c r="AI7766" s="10"/>
    </row>
    <row r="7767" spans="28:35" ht="15" hidden="1" customHeight="1">
      <c r="AB7767" s="9"/>
      <c r="AC7767" s="9"/>
      <c r="AD7767" s="9"/>
      <c r="AF7767" s="10"/>
      <c r="AG7767" s="10"/>
      <c r="AH7767" s="10"/>
      <c r="AI7767" s="10"/>
    </row>
    <row r="7768" spans="28:35" ht="15" hidden="1" customHeight="1">
      <c r="AB7768" s="9"/>
      <c r="AC7768" s="9"/>
      <c r="AD7768" s="9"/>
      <c r="AF7768" s="10"/>
      <c r="AG7768" s="10"/>
      <c r="AH7768" s="10"/>
      <c r="AI7768" s="10"/>
    </row>
    <row r="7769" spans="28:35" ht="15" hidden="1" customHeight="1">
      <c r="AB7769" s="9"/>
      <c r="AC7769" s="9"/>
      <c r="AD7769" s="9"/>
      <c r="AF7769" s="10"/>
      <c r="AG7769" s="10"/>
      <c r="AH7769" s="10"/>
      <c r="AI7769" s="10"/>
    </row>
    <row r="7770" spans="28:35" ht="15" hidden="1" customHeight="1">
      <c r="AB7770" s="9"/>
      <c r="AC7770" s="9"/>
      <c r="AD7770" s="9"/>
      <c r="AF7770" s="10"/>
      <c r="AG7770" s="10"/>
      <c r="AH7770" s="10"/>
      <c r="AI7770" s="10"/>
    </row>
    <row r="7771" spans="28:35" ht="15" hidden="1" customHeight="1">
      <c r="AB7771" s="9"/>
      <c r="AC7771" s="9"/>
      <c r="AD7771" s="9"/>
      <c r="AF7771" s="10"/>
      <c r="AG7771" s="10"/>
      <c r="AH7771" s="10"/>
      <c r="AI7771" s="10"/>
    </row>
    <row r="7772" spans="28:35" ht="15" hidden="1" customHeight="1">
      <c r="AB7772" s="9"/>
      <c r="AC7772" s="9"/>
      <c r="AD7772" s="9"/>
      <c r="AF7772" s="10"/>
      <c r="AG7772" s="10"/>
      <c r="AH7772" s="10"/>
      <c r="AI7772" s="10"/>
    </row>
    <row r="7773" spans="28:35" ht="15" hidden="1" customHeight="1">
      <c r="AB7773" s="9"/>
      <c r="AC7773" s="9"/>
      <c r="AD7773" s="9"/>
      <c r="AF7773" s="10"/>
      <c r="AG7773" s="10"/>
      <c r="AH7773" s="10"/>
      <c r="AI7773" s="10"/>
    </row>
    <row r="7774" spans="28:35" ht="15" hidden="1" customHeight="1">
      <c r="AB7774" s="9"/>
      <c r="AC7774" s="9"/>
      <c r="AD7774" s="9"/>
      <c r="AF7774" s="10"/>
      <c r="AG7774" s="10"/>
      <c r="AH7774" s="10"/>
      <c r="AI7774" s="10"/>
    </row>
    <row r="7775" spans="28:35" ht="15" hidden="1" customHeight="1">
      <c r="AB7775" s="9"/>
      <c r="AC7775" s="9"/>
      <c r="AD7775" s="9"/>
      <c r="AF7775" s="10"/>
      <c r="AG7775" s="10"/>
      <c r="AH7775" s="10"/>
      <c r="AI7775" s="10"/>
    </row>
    <row r="7776" spans="28:35" ht="15" hidden="1" customHeight="1">
      <c r="AB7776" s="9"/>
      <c r="AC7776" s="9"/>
      <c r="AD7776" s="9"/>
      <c r="AF7776" s="10"/>
      <c r="AG7776" s="10"/>
      <c r="AH7776" s="10"/>
      <c r="AI7776" s="10"/>
    </row>
    <row r="7777" spans="28:35" ht="15" hidden="1" customHeight="1">
      <c r="AB7777" s="9"/>
      <c r="AC7777" s="9"/>
      <c r="AD7777" s="9"/>
      <c r="AF7777" s="10"/>
      <c r="AG7777" s="10"/>
      <c r="AH7777" s="10"/>
      <c r="AI7777" s="10"/>
    </row>
    <row r="7778" spans="28:35" ht="15" hidden="1" customHeight="1">
      <c r="AB7778" s="9"/>
      <c r="AC7778" s="9"/>
      <c r="AD7778" s="9"/>
      <c r="AF7778" s="10"/>
      <c r="AG7778" s="10"/>
      <c r="AH7778" s="10"/>
      <c r="AI7778" s="10"/>
    </row>
    <row r="7779" spans="28:35" ht="15" hidden="1" customHeight="1">
      <c r="AB7779" s="9"/>
      <c r="AC7779" s="9"/>
      <c r="AD7779" s="9"/>
      <c r="AF7779" s="10"/>
      <c r="AG7779" s="10"/>
      <c r="AH7779" s="10"/>
      <c r="AI7779" s="10"/>
    </row>
    <row r="7780" spans="28:35" ht="15" hidden="1" customHeight="1">
      <c r="AB7780" s="9"/>
      <c r="AC7780" s="9"/>
      <c r="AD7780" s="9"/>
      <c r="AF7780" s="10"/>
      <c r="AG7780" s="10"/>
      <c r="AH7780" s="10"/>
      <c r="AI7780" s="10"/>
    </row>
    <row r="7781" spans="28:35" ht="15" hidden="1" customHeight="1">
      <c r="AB7781" s="9"/>
      <c r="AC7781" s="9"/>
      <c r="AD7781" s="9"/>
      <c r="AF7781" s="10"/>
      <c r="AG7781" s="10"/>
      <c r="AH7781" s="10"/>
      <c r="AI7781" s="10"/>
    </row>
    <row r="7782" spans="28:35" ht="15" hidden="1" customHeight="1">
      <c r="AB7782" s="9"/>
      <c r="AC7782" s="9"/>
      <c r="AD7782" s="9"/>
      <c r="AF7782" s="10"/>
      <c r="AG7782" s="10"/>
      <c r="AH7782" s="10"/>
      <c r="AI7782" s="10"/>
    </row>
    <row r="7783" spans="28:35" ht="15" hidden="1" customHeight="1">
      <c r="AB7783" s="9"/>
      <c r="AC7783" s="9"/>
      <c r="AD7783" s="9"/>
      <c r="AF7783" s="10"/>
      <c r="AG7783" s="10"/>
      <c r="AH7783" s="10"/>
      <c r="AI7783" s="10"/>
    </row>
    <row r="7784" spans="28:35" ht="15" hidden="1" customHeight="1">
      <c r="AB7784" s="9"/>
      <c r="AC7784" s="9"/>
      <c r="AD7784" s="9"/>
      <c r="AF7784" s="10"/>
      <c r="AG7784" s="10"/>
      <c r="AH7784" s="10"/>
      <c r="AI7784" s="10"/>
    </row>
    <row r="7785" spans="28:35" ht="15" hidden="1" customHeight="1">
      <c r="AB7785" s="9"/>
      <c r="AC7785" s="9"/>
      <c r="AD7785" s="9"/>
      <c r="AF7785" s="10"/>
      <c r="AG7785" s="10"/>
      <c r="AH7785" s="10"/>
      <c r="AI7785" s="10"/>
    </row>
    <row r="7786" spans="28:35" ht="15" hidden="1" customHeight="1">
      <c r="AB7786" s="9"/>
      <c r="AC7786" s="9"/>
      <c r="AD7786" s="9"/>
      <c r="AF7786" s="10"/>
      <c r="AG7786" s="10"/>
      <c r="AH7786" s="10"/>
      <c r="AI7786" s="10"/>
    </row>
    <row r="7787" spans="28:35" ht="15" hidden="1" customHeight="1">
      <c r="AB7787" s="9"/>
      <c r="AC7787" s="9"/>
      <c r="AD7787" s="9"/>
      <c r="AF7787" s="10"/>
      <c r="AG7787" s="10"/>
      <c r="AH7787" s="10"/>
      <c r="AI7787" s="10"/>
    </row>
    <row r="7788" spans="28:35" ht="15" hidden="1" customHeight="1">
      <c r="AB7788" s="9"/>
      <c r="AC7788" s="9"/>
      <c r="AD7788" s="9"/>
      <c r="AF7788" s="10"/>
      <c r="AG7788" s="10"/>
      <c r="AH7788" s="10"/>
      <c r="AI7788" s="10"/>
    </row>
    <row r="7789" spans="28:35" ht="15" hidden="1" customHeight="1">
      <c r="AB7789" s="9"/>
      <c r="AC7789" s="9"/>
      <c r="AD7789" s="9"/>
      <c r="AF7789" s="10"/>
      <c r="AG7789" s="10"/>
      <c r="AH7789" s="10"/>
      <c r="AI7789" s="10"/>
    </row>
    <row r="7790" spans="28:35" ht="15" hidden="1" customHeight="1">
      <c r="AB7790" s="9"/>
      <c r="AC7790" s="9"/>
      <c r="AD7790" s="9"/>
      <c r="AF7790" s="10"/>
      <c r="AG7790" s="10"/>
      <c r="AH7790" s="10"/>
      <c r="AI7790" s="10"/>
    </row>
    <row r="7791" spans="28:35" ht="15" hidden="1" customHeight="1">
      <c r="AB7791" s="9"/>
      <c r="AC7791" s="9"/>
      <c r="AD7791" s="9"/>
      <c r="AF7791" s="10"/>
      <c r="AG7791" s="10"/>
      <c r="AH7791" s="10"/>
      <c r="AI7791" s="10"/>
    </row>
    <row r="7792" spans="28:35" ht="15" hidden="1" customHeight="1">
      <c r="AB7792" s="9"/>
      <c r="AC7792" s="9"/>
      <c r="AD7792" s="9"/>
      <c r="AF7792" s="10"/>
      <c r="AG7792" s="10"/>
      <c r="AH7792" s="10"/>
      <c r="AI7792" s="10"/>
    </row>
    <row r="7793" spans="28:35" ht="15" hidden="1" customHeight="1">
      <c r="AB7793" s="9"/>
      <c r="AC7793" s="9"/>
      <c r="AD7793" s="9"/>
      <c r="AF7793" s="10"/>
      <c r="AG7793" s="10"/>
      <c r="AH7793" s="10"/>
      <c r="AI7793" s="10"/>
    </row>
    <row r="7794" spans="28:35" ht="15" hidden="1" customHeight="1">
      <c r="AB7794" s="9"/>
      <c r="AC7794" s="9"/>
      <c r="AD7794" s="9"/>
      <c r="AF7794" s="10"/>
      <c r="AG7794" s="10"/>
      <c r="AH7794" s="10"/>
      <c r="AI7794" s="10"/>
    </row>
    <row r="7795" spans="28:35" ht="15" hidden="1" customHeight="1">
      <c r="AB7795" s="9"/>
      <c r="AC7795" s="9"/>
      <c r="AD7795" s="9"/>
      <c r="AF7795" s="10"/>
      <c r="AG7795" s="10"/>
      <c r="AH7795" s="10"/>
      <c r="AI7795" s="10"/>
    </row>
    <row r="7796" spans="28:35" ht="15" hidden="1" customHeight="1">
      <c r="AB7796" s="9"/>
      <c r="AC7796" s="9"/>
      <c r="AD7796" s="9"/>
      <c r="AF7796" s="10"/>
      <c r="AG7796" s="10"/>
      <c r="AH7796" s="10"/>
      <c r="AI7796" s="10"/>
    </row>
    <row r="7797" spans="28:35" ht="15" hidden="1" customHeight="1">
      <c r="AB7797" s="9"/>
      <c r="AC7797" s="9"/>
      <c r="AD7797" s="9"/>
      <c r="AF7797" s="10"/>
      <c r="AG7797" s="10"/>
      <c r="AH7797" s="10"/>
      <c r="AI7797" s="10"/>
    </row>
    <row r="7798" spans="28:35" ht="15" hidden="1" customHeight="1">
      <c r="AB7798" s="9"/>
      <c r="AC7798" s="9"/>
      <c r="AD7798" s="9"/>
      <c r="AF7798" s="10"/>
      <c r="AG7798" s="10"/>
      <c r="AH7798" s="10"/>
      <c r="AI7798" s="10"/>
    </row>
    <row r="7799" spans="28:35" ht="15" hidden="1" customHeight="1">
      <c r="AB7799" s="9"/>
      <c r="AC7799" s="9"/>
      <c r="AD7799" s="9"/>
      <c r="AF7799" s="10"/>
      <c r="AG7799" s="10"/>
      <c r="AH7799" s="10"/>
      <c r="AI7799" s="10"/>
    </row>
    <row r="7800" spans="28:35" ht="15" hidden="1" customHeight="1">
      <c r="AB7800" s="9"/>
      <c r="AC7800" s="9"/>
      <c r="AD7800" s="9"/>
      <c r="AF7800" s="10"/>
      <c r="AG7800" s="10"/>
      <c r="AH7800" s="10"/>
      <c r="AI7800" s="10"/>
    </row>
    <row r="7801" spans="28:35" ht="15" hidden="1" customHeight="1">
      <c r="AB7801" s="9"/>
      <c r="AC7801" s="9"/>
      <c r="AD7801" s="9"/>
      <c r="AF7801" s="10"/>
      <c r="AG7801" s="10"/>
      <c r="AH7801" s="10"/>
      <c r="AI7801" s="10"/>
    </row>
    <row r="7802" spans="28:35" ht="15" hidden="1" customHeight="1">
      <c r="AB7802" s="9"/>
      <c r="AC7802" s="9"/>
      <c r="AD7802" s="9"/>
      <c r="AF7802" s="10"/>
      <c r="AG7802" s="10"/>
      <c r="AH7802" s="10"/>
      <c r="AI7802" s="10"/>
    </row>
    <row r="7803" spans="28:35" ht="15" hidden="1" customHeight="1">
      <c r="AB7803" s="9"/>
      <c r="AC7803" s="9"/>
      <c r="AD7803" s="9"/>
      <c r="AF7803" s="10"/>
      <c r="AG7803" s="10"/>
      <c r="AH7803" s="10"/>
      <c r="AI7803" s="10"/>
    </row>
    <row r="7804" spans="28:35" ht="15" hidden="1" customHeight="1">
      <c r="AB7804" s="9"/>
      <c r="AC7804" s="9"/>
      <c r="AD7804" s="9"/>
      <c r="AF7804" s="10"/>
      <c r="AG7804" s="10"/>
      <c r="AH7804" s="10"/>
      <c r="AI7804" s="10"/>
    </row>
    <row r="7805" spans="28:35" ht="15" hidden="1" customHeight="1">
      <c r="AB7805" s="9"/>
      <c r="AC7805" s="9"/>
      <c r="AD7805" s="9"/>
      <c r="AF7805" s="10"/>
      <c r="AG7805" s="10"/>
      <c r="AH7805" s="10"/>
      <c r="AI7805" s="10"/>
    </row>
    <row r="7806" spans="28:35" ht="15" hidden="1" customHeight="1">
      <c r="AB7806" s="9"/>
      <c r="AC7806" s="9"/>
      <c r="AD7806" s="9"/>
      <c r="AF7806" s="10"/>
      <c r="AG7806" s="10"/>
      <c r="AH7806" s="10"/>
      <c r="AI7806" s="10"/>
    </row>
    <row r="7807" spans="28:35" ht="15" hidden="1" customHeight="1">
      <c r="AB7807" s="9"/>
      <c r="AC7807" s="9"/>
      <c r="AD7807" s="9"/>
      <c r="AF7807" s="10"/>
      <c r="AG7807" s="10"/>
      <c r="AH7807" s="10"/>
      <c r="AI7807" s="10"/>
    </row>
    <row r="7808" spans="28:35" ht="15" hidden="1" customHeight="1">
      <c r="AB7808" s="9"/>
      <c r="AC7808" s="9"/>
      <c r="AD7808" s="9"/>
      <c r="AF7808" s="10"/>
      <c r="AG7808" s="10"/>
      <c r="AH7808" s="10"/>
      <c r="AI7808" s="10"/>
    </row>
    <row r="7809" spans="28:35" ht="15" hidden="1" customHeight="1">
      <c r="AB7809" s="9"/>
      <c r="AC7809" s="9"/>
      <c r="AD7809" s="9"/>
      <c r="AF7809" s="10"/>
      <c r="AG7809" s="10"/>
      <c r="AH7809" s="10"/>
      <c r="AI7809" s="10"/>
    </row>
    <row r="7810" spans="28:35" ht="15" hidden="1" customHeight="1">
      <c r="AB7810" s="9"/>
      <c r="AC7810" s="9"/>
      <c r="AD7810" s="9"/>
      <c r="AF7810" s="10"/>
      <c r="AG7810" s="10"/>
      <c r="AH7810" s="10"/>
      <c r="AI7810" s="10"/>
    </row>
    <row r="7811" spans="28:35" ht="15" hidden="1" customHeight="1">
      <c r="AB7811" s="9"/>
      <c r="AC7811" s="9"/>
      <c r="AD7811" s="9"/>
      <c r="AF7811" s="10"/>
      <c r="AG7811" s="10"/>
      <c r="AH7811" s="10"/>
      <c r="AI7811" s="10"/>
    </row>
    <row r="7812" spans="28:35" ht="15" hidden="1" customHeight="1">
      <c r="AB7812" s="9"/>
      <c r="AC7812" s="9"/>
      <c r="AD7812" s="9"/>
      <c r="AF7812" s="10"/>
      <c r="AG7812" s="10"/>
      <c r="AH7812" s="10"/>
      <c r="AI7812" s="10"/>
    </row>
    <row r="7813" spans="28:35" ht="15" hidden="1" customHeight="1">
      <c r="AB7813" s="9"/>
      <c r="AC7813" s="9"/>
      <c r="AD7813" s="9"/>
      <c r="AF7813" s="10"/>
      <c r="AG7813" s="10"/>
      <c r="AH7813" s="10"/>
      <c r="AI7813" s="10"/>
    </row>
    <row r="7814" spans="28:35" ht="15" hidden="1" customHeight="1">
      <c r="AB7814" s="9"/>
      <c r="AC7814" s="9"/>
      <c r="AD7814" s="9"/>
      <c r="AF7814" s="10"/>
      <c r="AG7814" s="10"/>
      <c r="AH7814" s="10"/>
      <c r="AI7814" s="10"/>
    </row>
    <row r="7815" spans="28:35" ht="15" hidden="1" customHeight="1">
      <c r="AB7815" s="9"/>
      <c r="AC7815" s="9"/>
      <c r="AD7815" s="9"/>
      <c r="AF7815" s="10"/>
      <c r="AG7815" s="10"/>
      <c r="AH7815" s="10"/>
      <c r="AI7815" s="10"/>
    </row>
    <row r="7816" spans="28:35" ht="15" hidden="1" customHeight="1">
      <c r="AB7816" s="9"/>
      <c r="AC7816" s="9"/>
      <c r="AD7816" s="9"/>
      <c r="AF7816" s="10"/>
      <c r="AG7816" s="10"/>
      <c r="AH7816" s="10"/>
      <c r="AI7816" s="10"/>
    </row>
    <row r="7817" spans="28:35" ht="15" hidden="1" customHeight="1">
      <c r="AB7817" s="9"/>
      <c r="AC7817" s="9"/>
      <c r="AD7817" s="9"/>
      <c r="AF7817" s="10"/>
      <c r="AG7817" s="10"/>
      <c r="AH7817" s="10"/>
      <c r="AI7817" s="10"/>
    </row>
    <row r="7818" spans="28:35" ht="15" hidden="1" customHeight="1">
      <c r="AB7818" s="9"/>
      <c r="AC7818" s="9"/>
      <c r="AD7818" s="9"/>
      <c r="AF7818" s="10"/>
      <c r="AG7818" s="10"/>
      <c r="AH7818" s="10"/>
      <c r="AI7818" s="10"/>
    </row>
    <row r="7819" spans="28:35" ht="15" hidden="1" customHeight="1">
      <c r="AB7819" s="9"/>
      <c r="AC7819" s="9"/>
      <c r="AD7819" s="9"/>
      <c r="AF7819" s="10"/>
      <c r="AG7819" s="10"/>
      <c r="AH7819" s="10"/>
      <c r="AI7819" s="10"/>
    </row>
    <row r="7820" spans="28:35" ht="15" hidden="1" customHeight="1">
      <c r="AB7820" s="9"/>
      <c r="AC7820" s="9"/>
      <c r="AD7820" s="9"/>
      <c r="AF7820" s="10"/>
      <c r="AG7820" s="10"/>
      <c r="AH7820" s="10"/>
      <c r="AI7820" s="10"/>
    </row>
    <row r="7821" spans="28:35" ht="15" hidden="1" customHeight="1">
      <c r="AB7821" s="9"/>
      <c r="AC7821" s="9"/>
      <c r="AD7821" s="9"/>
      <c r="AF7821" s="10"/>
      <c r="AG7821" s="10"/>
      <c r="AH7821" s="10"/>
      <c r="AI7821" s="10"/>
    </row>
    <row r="7822" spans="28:35" ht="15" hidden="1" customHeight="1">
      <c r="AB7822" s="9"/>
      <c r="AC7822" s="9"/>
      <c r="AD7822" s="9"/>
      <c r="AF7822" s="10"/>
      <c r="AG7822" s="10"/>
      <c r="AH7822" s="10"/>
      <c r="AI7822" s="10"/>
    </row>
    <row r="7823" spans="28:35" ht="15" hidden="1" customHeight="1">
      <c r="AB7823" s="9"/>
      <c r="AC7823" s="9"/>
      <c r="AD7823" s="9"/>
      <c r="AF7823" s="10"/>
      <c r="AG7823" s="10"/>
      <c r="AH7823" s="10"/>
      <c r="AI7823" s="10"/>
    </row>
    <row r="7824" spans="28:35" ht="15" hidden="1" customHeight="1">
      <c r="AB7824" s="9"/>
      <c r="AC7824" s="9"/>
      <c r="AD7824" s="9"/>
      <c r="AF7824" s="10"/>
      <c r="AG7824" s="10"/>
      <c r="AH7824" s="10"/>
      <c r="AI7824" s="10"/>
    </row>
    <row r="7825" spans="28:35" ht="15" hidden="1" customHeight="1">
      <c r="AB7825" s="9"/>
      <c r="AC7825" s="9"/>
      <c r="AD7825" s="9"/>
      <c r="AF7825" s="10"/>
      <c r="AG7825" s="10"/>
      <c r="AH7825" s="10"/>
      <c r="AI7825" s="10"/>
    </row>
    <row r="7826" spans="28:35" ht="15" hidden="1" customHeight="1">
      <c r="AB7826" s="9"/>
      <c r="AC7826" s="9"/>
      <c r="AD7826" s="9"/>
      <c r="AF7826" s="10"/>
      <c r="AG7826" s="10"/>
      <c r="AH7826" s="10"/>
      <c r="AI7826" s="10"/>
    </row>
    <row r="7827" spans="28:35" ht="15" hidden="1" customHeight="1">
      <c r="AB7827" s="9"/>
      <c r="AC7827" s="9"/>
      <c r="AD7827" s="9"/>
      <c r="AF7827" s="10"/>
      <c r="AG7827" s="10"/>
      <c r="AH7827" s="10"/>
      <c r="AI7827" s="10"/>
    </row>
    <row r="7828" spans="28:35" ht="15" hidden="1" customHeight="1">
      <c r="AB7828" s="9"/>
      <c r="AC7828" s="9"/>
      <c r="AD7828" s="9"/>
      <c r="AF7828" s="10"/>
      <c r="AG7828" s="10"/>
      <c r="AH7828" s="10"/>
      <c r="AI7828" s="10"/>
    </row>
    <row r="7829" spans="28:35" ht="15" hidden="1" customHeight="1">
      <c r="AB7829" s="9"/>
      <c r="AC7829" s="9"/>
      <c r="AD7829" s="9"/>
      <c r="AF7829" s="10"/>
      <c r="AG7829" s="10"/>
      <c r="AH7829" s="10"/>
      <c r="AI7829" s="10"/>
    </row>
    <row r="7830" spans="28:35" ht="15" hidden="1" customHeight="1">
      <c r="AB7830" s="9"/>
      <c r="AC7830" s="9"/>
      <c r="AD7830" s="9"/>
      <c r="AF7830" s="10"/>
      <c r="AG7830" s="10"/>
      <c r="AH7830" s="10"/>
      <c r="AI7830" s="10"/>
    </row>
    <row r="7831" spans="28:35" ht="15" hidden="1" customHeight="1">
      <c r="AB7831" s="9"/>
      <c r="AC7831" s="9"/>
      <c r="AD7831" s="9"/>
      <c r="AF7831" s="10"/>
      <c r="AG7831" s="10"/>
      <c r="AH7831" s="10"/>
      <c r="AI7831" s="10"/>
    </row>
    <row r="7832" spans="28:35" ht="15" hidden="1" customHeight="1">
      <c r="AB7832" s="9"/>
      <c r="AC7832" s="9"/>
      <c r="AD7832" s="9"/>
      <c r="AF7832" s="10"/>
      <c r="AG7832" s="10"/>
      <c r="AH7832" s="10"/>
      <c r="AI7832" s="10"/>
    </row>
    <row r="7833" spans="28:35" ht="15" hidden="1" customHeight="1">
      <c r="AB7833" s="9"/>
      <c r="AC7833" s="9"/>
      <c r="AD7833" s="9"/>
      <c r="AF7833" s="10"/>
      <c r="AG7833" s="10"/>
      <c r="AH7833" s="10"/>
      <c r="AI7833" s="10"/>
    </row>
    <row r="7834" spans="28:35" ht="15" hidden="1" customHeight="1">
      <c r="AB7834" s="9"/>
      <c r="AC7834" s="9"/>
      <c r="AD7834" s="9"/>
      <c r="AF7834" s="10"/>
      <c r="AG7834" s="10"/>
      <c r="AH7834" s="10"/>
      <c r="AI7834" s="10"/>
    </row>
    <row r="7835" spans="28:35" ht="15" hidden="1" customHeight="1">
      <c r="AB7835" s="9"/>
      <c r="AC7835" s="9"/>
      <c r="AD7835" s="9"/>
      <c r="AF7835" s="10"/>
      <c r="AG7835" s="10"/>
      <c r="AH7835" s="10"/>
      <c r="AI7835" s="10"/>
    </row>
    <row r="7836" spans="28:35" ht="15" hidden="1" customHeight="1">
      <c r="AB7836" s="9"/>
      <c r="AC7836" s="9"/>
      <c r="AD7836" s="9"/>
      <c r="AF7836" s="10"/>
      <c r="AG7836" s="10"/>
      <c r="AH7836" s="10"/>
      <c r="AI7836" s="10"/>
    </row>
    <row r="7837" spans="28:35" ht="15" hidden="1" customHeight="1">
      <c r="AB7837" s="9"/>
      <c r="AC7837" s="9"/>
      <c r="AD7837" s="9"/>
      <c r="AF7837" s="10"/>
      <c r="AG7837" s="10"/>
      <c r="AH7837" s="10"/>
      <c r="AI7837" s="10"/>
    </row>
    <row r="7838" spans="28:35" ht="15" hidden="1" customHeight="1">
      <c r="AB7838" s="9"/>
      <c r="AC7838" s="9"/>
      <c r="AD7838" s="9"/>
      <c r="AF7838" s="10"/>
      <c r="AG7838" s="10"/>
      <c r="AH7838" s="10"/>
      <c r="AI7838" s="10"/>
    </row>
    <row r="7839" spans="28:35" ht="15" hidden="1" customHeight="1">
      <c r="AB7839" s="9"/>
      <c r="AC7839" s="9"/>
      <c r="AD7839" s="9"/>
      <c r="AF7839" s="10"/>
      <c r="AG7839" s="10"/>
      <c r="AH7839" s="10"/>
      <c r="AI7839" s="10"/>
    </row>
    <row r="7840" spans="28:35" ht="15" hidden="1" customHeight="1">
      <c r="AB7840" s="9"/>
      <c r="AC7840" s="9"/>
      <c r="AD7840" s="9"/>
      <c r="AF7840" s="10"/>
      <c r="AG7840" s="10"/>
      <c r="AH7840" s="10"/>
      <c r="AI7840" s="10"/>
    </row>
    <row r="7841" spans="28:35" ht="15" hidden="1" customHeight="1">
      <c r="AB7841" s="9"/>
      <c r="AC7841" s="9"/>
      <c r="AD7841" s="9"/>
      <c r="AF7841" s="10"/>
      <c r="AG7841" s="10"/>
      <c r="AH7841" s="10"/>
      <c r="AI7841" s="10"/>
    </row>
    <row r="7842" spans="28:35" ht="15" hidden="1" customHeight="1">
      <c r="AB7842" s="9"/>
      <c r="AC7842" s="9"/>
      <c r="AD7842" s="9"/>
      <c r="AF7842" s="10"/>
      <c r="AG7842" s="10"/>
      <c r="AH7842" s="10"/>
      <c r="AI7842" s="10"/>
    </row>
    <row r="7843" spans="28:35" ht="15" hidden="1" customHeight="1">
      <c r="AB7843" s="9"/>
      <c r="AC7843" s="9"/>
      <c r="AD7843" s="9"/>
      <c r="AF7843" s="10"/>
      <c r="AG7843" s="10"/>
      <c r="AH7843" s="10"/>
      <c r="AI7843" s="10"/>
    </row>
    <row r="7844" spans="28:35" ht="15" hidden="1" customHeight="1">
      <c r="AB7844" s="9"/>
      <c r="AC7844" s="9"/>
      <c r="AD7844" s="9"/>
      <c r="AF7844" s="10"/>
      <c r="AG7844" s="10"/>
      <c r="AH7844" s="10"/>
      <c r="AI7844" s="10"/>
    </row>
    <row r="7845" spans="28:35" ht="15" hidden="1" customHeight="1">
      <c r="AB7845" s="9"/>
      <c r="AC7845" s="9"/>
      <c r="AD7845" s="9"/>
      <c r="AF7845" s="10"/>
      <c r="AG7845" s="10"/>
      <c r="AH7845" s="10"/>
      <c r="AI7845" s="10"/>
    </row>
    <row r="7846" spans="28:35" ht="15" hidden="1" customHeight="1">
      <c r="AB7846" s="9"/>
      <c r="AC7846" s="9"/>
      <c r="AD7846" s="9"/>
      <c r="AF7846" s="10"/>
      <c r="AG7846" s="10"/>
      <c r="AH7846" s="10"/>
      <c r="AI7846" s="10"/>
    </row>
    <row r="7847" spans="28:35" ht="15" hidden="1" customHeight="1">
      <c r="AB7847" s="9"/>
      <c r="AC7847" s="9"/>
      <c r="AD7847" s="9"/>
      <c r="AF7847" s="10"/>
      <c r="AG7847" s="10"/>
      <c r="AH7847" s="10"/>
      <c r="AI7847" s="10"/>
    </row>
    <row r="7848" spans="28:35" ht="15" hidden="1" customHeight="1">
      <c r="AB7848" s="9"/>
      <c r="AC7848" s="9"/>
      <c r="AD7848" s="9"/>
      <c r="AF7848" s="10"/>
      <c r="AG7848" s="10"/>
      <c r="AH7848" s="10"/>
      <c r="AI7848" s="10"/>
    </row>
    <row r="7849" spans="28:35" ht="15" hidden="1" customHeight="1">
      <c r="AB7849" s="9"/>
      <c r="AC7849" s="9"/>
      <c r="AD7849" s="9"/>
      <c r="AF7849" s="10"/>
      <c r="AG7849" s="10"/>
      <c r="AH7849" s="10"/>
      <c r="AI7849" s="10"/>
    </row>
    <row r="7850" spans="28:35" ht="15" hidden="1" customHeight="1">
      <c r="AB7850" s="9"/>
      <c r="AC7850" s="9"/>
      <c r="AD7850" s="9"/>
      <c r="AF7850" s="10"/>
      <c r="AG7850" s="10"/>
      <c r="AH7850" s="10"/>
      <c r="AI7850" s="10"/>
    </row>
    <row r="7851" spans="28:35" ht="15" hidden="1" customHeight="1">
      <c r="AB7851" s="9"/>
      <c r="AC7851" s="9"/>
      <c r="AD7851" s="9"/>
      <c r="AF7851" s="10"/>
      <c r="AG7851" s="10"/>
      <c r="AH7851" s="10"/>
      <c r="AI7851" s="10"/>
    </row>
    <row r="7852" spans="28:35" ht="15" hidden="1" customHeight="1">
      <c r="AB7852" s="9"/>
      <c r="AC7852" s="9"/>
      <c r="AD7852" s="9"/>
      <c r="AF7852" s="10"/>
      <c r="AG7852" s="10"/>
      <c r="AH7852" s="10"/>
      <c r="AI7852" s="10"/>
    </row>
    <row r="7853" spans="28:35" ht="15" hidden="1" customHeight="1">
      <c r="AB7853" s="9"/>
      <c r="AC7853" s="9"/>
      <c r="AD7853" s="9"/>
      <c r="AF7853" s="10"/>
      <c r="AG7853" s="10"/>
      <c r="AH7853" s="10"/>
      <c r="AI7853" s="10"/>
    </row>
    <row r="7854" spans="28:35" ht="15" hidden="1" customHeight="1">
      <c r="AB7854" s="9"/>
      <c r="AC7854" s="9"/>
      <c r="AD7854" s="9"/>
      <c r="AF7854" s="10"/>
      <c r="AG7854" s="10"/>
      <c r="AH7854" s="10"/>
      <c r="AI7854" s="10"/>
    </row>
    <row r="7855" spans="28:35" ht="15" hidden="1" customHeight="1">
      <c r="AB7855" s="9"/>
      <c r="AC7855" s="9"/>
      <c r="AD7855" s="9"/>
      <c r="AF7855" s="10"/>
      <c r="AG7855" s="10"/>
      <c r="AH7855" s="10"/>
      <c r="AI7855" s="10"/>
    </row>
    <row r="7856" spans="28:35" ht="15" hidden="1" customHeight="1">
      <c r="AB7856" s="9"/>
      <c r="AC7856" s="9"/>
      <c r="AD7856" s="9"/>
      <c r="AF7856" s="10"/>
      <c r="AG7856" s="10"/>
      <c r="AH7856" s="10"/>
      <c r="AI7856" s="10"/>
    </row>
    <row r="7857" spans="28:35" ht="15" hidden="1" customHeight="1">
      <c r="AB7857" s="9"/>
      <c r="AC7857" s="9"/>
      <c r="AD7857" s="9"/>
      <c r="AF7857" s="10"/>
      <c r="AG7857" s="10"/>
      <c r="AH7857" s="10"/>
      <c r="AI7857" s="10"/>
    </row>
    <row r="7858" spans="28:35" ht="15" hidden="1" customHeight="1">
      <c r="AB7858" s="9"/>
      <c r="AC7858" s="9"/>
      <c r="AD7858" s="9"/>
      <c r="AF7858" s="10"/>
      <c r="AG7858" s="10"/>
      <c r="AH7858" s="10"/>
      <c r="AI7858" s="10"/>
    </row>
    <row r="7859" spans="28:35" ht="15" hidden="1" customHeight="1">
      <c r="AB7859" s="9"/>
      <c r="AC7859" s="9"/>
      <c r="AD7859" s="9"/>
      <c r="AF7859" s="10"/>
      <c r="AG7859" s="10"/>
      <c r="AH7859" s="10"/>
      <c r="AI7859" s="10"/>
    </row>
    <row r="7860" spans="28:35" ht="15" hidden="1" customHeight="1">
      <c r="AB7860" s="9"/>
      <c r="AC7860" s="9"/>
      <c r="AD7860" s="9"/>
      <c r="AF7860" s="10"/>
      <c r="AG7860" s="10"/>
      <c r="AH7860" s="10"/>
      <c r="AI7860" s="10"/>
    </row>
    <row r="7861" spans="28:35" ht="15" hidden="1" customHeight="1">
      <c r="AB7861" s="9"/>
      <c r="AC7861" s="9"/>
      <c r="AD7861" s="9"/>
      <c r="AF7861" s="10"/>
      <c r="AG7861" s="10"/>
      <c r="AH7861" s="10"/>
      <c r="AI7861" s="10"/>
    </row>
    <row r="7862" spans="28:35" ht="15" hidden="1" customHeight="1">
      <c r="AB7862" s="9"/>
      <c r="AC7862" s="9"/>
      <c r="AD7862" s="9"/>
      <c r="AF7862" s="10"/>
      <c r="AG7862" s="10"/>
      <c r="AH7862" s="10"/>
      <c r="AI7862" s="10"/>
    </row>
    <row r="7863" spans="28:35" ht="15" hidden="1" customHeight="1">
      <c r="AB7863" s="9"/>
      <c r="AC7863" s="9"/>
      <c r="AD7863" s="9"/>
      <c r="AF7863" s="10"/>
      <c r="AG7863" s="10"/>
      <c r="AH7863" s="10"/>
      <c r="AI7863" s="10"/>
    </row>
    <row r="7864" spans="28:35" ht="15" hidden="1" customHeight="1">
      <c r="AB7864" s="9"/>
      <c r="AC7864" s="9"/>
      <c r="AD7864" s="9"/>
      <c r="AF7864" s="10"/>
      <c r="AG7864" s="10"/>
      <c r="AH7864" s="10"/>
      <c r="AI7864" s="10"/>
    </row>
    <row r="7865" spans="28:35" ht="15" hidden="1" customHeight="1">
      <c r="AB7865" s="9"/>
      <c r="AC7865" s="9"/>
      <c r="AD7865" s="9"/>
      <c r="AF7865" s="10"/>
      <c r="AG7865" s="10"/>
      <c r="AH7865" s="10"/>
      <c r="AI7865" s="10"/>
    </row>
    <row r="7866" spans="28:35" ht="15" hidden="1" customHeight="1">
      <c r="AB7866" s="9"/>
      <c r="AC7866" s="9"/>
      <c r="AD7866" s="9"/>
      <c r="AF7866" s="10"/>
      <c r="AG7866" s="10"/>
      <c r="AH7866" s="10"/>
      <c r="AI7866" s="10"/>
    </row>
    <row r="7867" spans="28:35" ht="15" hidden="1" customHeight="1">
      <c r="AB7867" s="9"/>
      <c r="AC7867" s="9"/>
      <c r="AD7867" s="9"/>
      <c r="AF7867" s="10"/>
      <c r="AG7867" s="10"/>
      <c r="AH7867" s="10"/>
      <c r="AI7867" s="10"/>
    </row>
    <row r="7868" spans="28:35" ht="15" hidden="1" customHeight="1">
      <c r="AB7868" s="9"/>
      <c r="AC7868" s="9"/>
      <c r="AD7868" s="9"/>
      <c r="AF7868" s="10"/>
      <c r="AG7868" s="10"/>
      <c r="AH7868" s="10"/>
      <c r="AI7868" s="10"/>
    </row>
    <row r="7869" spans="28:35" ht="15" hidden="1" customHeight="1">
      <c r="AB7869" s="9"/>
      <c r="AC7869" s="9"/>
      <c r="AD7869" s="9"/>
      <c r="AF7869" s="10"/>
      <c r="AG7869" s="10"/>
      <c r="AH7869" s="10"/>
      <c r="AI7869" s="10"/>
    </row>
    <row r="7870" spans="28:35" ht="15" hidden="1" customHeight="1">
      <c r="AB7870" s="9"/>
      <c r="AC7870" s="9"/>
      <c r="AD7870" s="9"/>
      <c r="AF7870" s="10"/>
      <c r="AG7870" s="10"/>
      <c r="AH7870" s="10"/>
      <c r="AI7870" s="10"/>
    </row>
    <row r="7871" spans="28:35" ht="15" hidden="1" customHeight="1">
      <c r="AB7871" s="9"/>
      <c r="AC7871" s="9"/>
      <c r="AD7871" s="9"/>
      <c r="AF7871" s="10"/>
      <c r="AG7871" s="10"/>
      <c r="AH7871" s="10"/>
      <c r="AI7871" s="10"/>
    </row>
    <row r="7872" spans="28:35" ht="15" hidden="1" customHeight="1">
      <c r="AB7872" s="9"/>
      <c r="AC7872" s="9"/>
      <c r="AD7872" s="9"/>
      <c r="AF7872" s="10"/>
      <c r="AG7872" s="10"/>
      <c r="AH7872" s="10"/>
      <c r="AI7872" s="10"/>
    </row>
    <row r="7873" spans="28:35" ht="15" hidden="1" customHeight="1">
      <c r="AB7873" s="9"/>
      <c r="AC7873" s="9"/>
      <c r="AD7873" s="9"/>
      <c r="AF7873" s="10"/>
      <c r="AG7873" s="10"/>
      <c r="AH7873" s="10"/>
      <c r="AI7873" s="10"/>
    </row>
    <row r="7874" spans="28:35" ht="15" hidden="1" customHeight="1">
      <c r="AB7874" s="9"/>
      <c r="AC7874" s="9"/>
      <c r="AD7874" s="9"/>
      <c r="AF7874" s="10"/>
      <c r="AG7874" s="10"/>
      <c r="AH7874" s="10"/>
      <c r="AI7874" s="10"/>
    </row>
    <row r="7875" spans="28:35" ht="15" hidden="1" customHeight="1">
      <c r="AB7875" s="9"/>
      <c r="AC7875" s="9"/>
      <c r="AD7875" s="9"/>
      <c r="AF7875" s="10"/>
      <c r="AG7875" s="10"/>
      <c r="AH7875" s="10"/>
      <c r="AI7875" s="10"/>
    </row>
    <row r="7876" spans="28:35" ht="15" hidden="1" customHeight="1">
      <c r="AB7876" s="9"/>
      <c r="AC7876" s="9"/>
      <c r="AD7876" s="9"/>
      <c r="AF7876" s="10"/>
      <c r="AG7876" s="10"/>
      <c r="AH7876" s="10"/>
      <c r="AI7876" s="10"/>
    </row>
    <row r="7877" spans="28:35" ht="15" hidden="1" customHeight="1">
      <c r="AB7877" s="9"/>
      <c r="AC7877" s="9"/>
      <c r="AD7877" s="9"/>
      <c r="AF7877" s="10"/>
      <c r="AG7877" s="10"/>
      <c r="AH7877" s="10"/>
      <c r="AI7877" s="10"/>
    </row>
    <row r="7878" spans="28:35" ht="15" hidden="1" customHeight="1">
      <c r="AB7878" s="9"/>
      <c r="AC7878" s="9"/>
      <c r="AD7878" s="9"/>
      <c r="AF7878" s="10"/>
      <c r="AG7878" s="10"/>
      <c r="AH7878" s="10"/>
      <c r="AI7878" s="10"/>
    </row>
    <row r="7879" spans="28:35" ht="15" hidden="1" customHeight="1">
      <c r="AB7879" s="9"/>
      <c r="AC7879" s="9"/>
      <c r="AD7879" s="9"/>
      <c r="AF7879" s="10"/>
      <c r="AG7879" s="10"/>
      <c r="AH7879" s="10"/>
      <c r="AI7879" s="10"/>
    </row>
    <row r="7880" spans="28:35" ht="15" hidden="1" customHeight="1">
      <c r="AB7880" s="9"/>
      <c r="AC7880" s="9"/>
      <c r="AD7880" s="9"/>
      <c r="AF7880" s="10"/>
      <c r="AG7880" s="10"/>
      <c r="AH7880" s="10"/>
      <c r="AI7880" s="10"/>
    </row>
    <row r="7881" spans="28:35" ht="15" hidden="1" customHeight="1">
      <c r="AB7881" s="9"/>
      <c r="AC7881" s="9"/>
      <c r="AD7881" s="9"/>
      <c r="AF7881" s="10"/>
      <c r="AG7881" s="10"/>
      <c r="AH7881" s="10"/>
      <c r="AI7881" s="10"/>
    </row>
    <row r="7882" spans="28:35" ht="15" hidden="1" customHeight="1">
      <c r="AB7882" s="9"/>
      <c r="AC7882" s="9"/>
      <c r="AD7882" s="9"/>
      <c r="AF7882" s="10"/>
      <c r="AG7882" s="10"/>
      <c r="AH7882" s="10"/>
      <c r="AI7882" s="10"/>
    </row>
    <row r="7883" spans="28:35" ht="15" hidden="1" customHeight="1">
      <c r="AB7883" s="9"/>
      <c r="AC7883" s="9"/>
      <c r="AD7883" s="9"/>
      <c r="AF7883" s="10"/>
      <c r="AG7883" s="10"/>
      <c r="AH7883" s="10"/>
      <c r="AI7883" s="10"/>
    </row>
    <row r="7884" spans="28:35" ht="15" hidden="1" customHeight="1">
      <c r="AB7884" s="9"/>
      <c r="AC7884" s="9"/>
      <c r="AD7884" s="9"/>
      <c r="AF7884" s="10"/>
      <c r="AG7884" s="10"/>
      <c r="AH7884" s="10"/>
      <c r="AI7884" s="10"/>
    </row>
    <row r="7885" spans="28:35" ht="15" hidden="1" customHeight="1">
      <c r="AB7885" s="9"/>
      <c r="AC7885" s="9"/>
      <c r="AD7885" s="9"/>
      <c r="AF7885" s="10"/>
      <c r="AG7885" s="10"/>
      <c r="AH7885" s="10"/>
      <c r="AI7885" s="10"/>
    </row>
    <row r="7886" spans="28:35" ht="15" hidden="1" customHeight="1">
      <c r="AB7886" s="9"/>
      <c r="AC7886" s="9"/>
      <c r="AD7886" s="9"/>
      <c r="AF7886" s="10"/>
      <c r="AG7886" s="10"/>
      <c r="AH7886" s="10"/>
      <c r="AI7886" s="10"/>
    </row>
    <row r="7887" spans="28:35" ht="15" hidden="1" customHeight="1">
      <c r="AB7887" s="9"/>
      <c r="AC7887" s="9"/>
      <c r="AD7887" s="9"/>
      <c r="AF7887" s="10"/>
      <c r="AG7887" s="10"/>
      <c r="AH7887" s="10"/>
      <c r="AI7887" s="10"/>
    </row>
    <row r="7888" spans="28:35" ht="15" hidden="1" customHeight="1">
      <c r="AB7888" s="9"/>
      <c r="AC7888" s="9"/>
      <c r="AD7888" s="9"/>
      <c r="AF7888" s="10"/>
      <c r="AG7888" s="10"/>
      <c r="AH7888" s="10"/>
      <c r="AI7888" s="10"/>
    </row>
    <row r="7889" spans="28:35" ht="15" hidden="1" customHeight="1">
      <c r="AB7889" s="9"/>
      <c r="AC7889" s="9"/>
      <c r="AD7889" s="9"/>
      <c r="AF7889" s="10"/>
      <c r="AG7889" s="10"/>
      <c r="AH7889" s="10"/>
      <c r="AI7889" s="10"/>
    </row>
    <row r="7890" spans="28:35" ht="15" hidden="1" customHeight="1">
      <c r="AB7890" s="9"/>
      <c r="AC7890" s="9"/>
      <c r="AD7890" s="9"/>
      <c r="AF7890" s="10"/>
      <c r="AG7890" s="10"/>
      <c r="AH7890" s="10"/>
      <c r="AI7890" s="10"/>
    </row>
    <row r="7891" spans="28:35" ht="15" hidden="1" customHeight="1">
      <c r="AB7891" s="9"/>
      <c r="AC7891" s="9"/>
      <c r="AD7891" s="9"/>
      <c r="AF7891" s="10"/>
      <c r="AG7891" s="10"/>
      <c r="AH7891" s="10"/>
      <c r="AI7891" s="10"/>
    </row>
    <row r="7892" spans="28:35" ht="15" hidden="1" customHeight="1">
      <c r="AB7892" s="9"/>
      <c r="AC7892" s="9"/>
      <c r="AD7892" s="9"/>
      <c r="AF7892" s="10"/>
      <c r="AG7892" s="10"/>
      <c r="AH7892" s="10"/>
      <c r="AI7892" s="10"/>
    </row>
    <row r="7893" spans="28:35" ht="15" hidden="1" customHeight="1">
      <c r="AB7893" s="9"/>
      <c r="AC7893" s="9"/>
      <c r="AD7893" s="9"/>
      <c r="AF7893" s="10"/>
      <c r="AG7893" s="10"/>
      <c r="AH7893" s="10"/>
      <c r="AI7893" s="10"/>
    </row>
    <row r="7894" spans="28:35" ht="15" hidden="1" customHeight="1">
      <c r="AB7894" s="9"/>
      <c r="AC7894" s="9"/>
      <c r="AD7894" s="9"/>
      <c r="AF7894" s="10"/>
      <c r="AG7894" s="10"/>
      <c r="AH7894" s="10"/>
      <c r="AI7894" s="10"/>
    </row>
    <row r="7895" spans="28:35" ht="15" hidden="1" customHeight="1">
      <c r="AB7895" s="9"/>
      <c r="AC7895" s="9"/>
      <c r="AD7895" s="9"/>
      <c r="AF7895" s="10"/>
      <c r="AG7895" s="10"/>
      <c r="AH7895" s="10"/>
      <c r="AI7895" s="10"/>
    </row>
    <row r="7896" spans="28:35" ht="15" hidden="1" customHeight="1">
      <c r="AB7896" s="9"/>
      <c r="AC7896" s="9"/>
      <c r="AD7896" s="9"/>
      <c r="AF7896" s="10"/>
      <c r="AG7896" s="10"/>
      <c r="AH7896" s="10"/>
      <c r="AI7896" s="10"/>
    </row>
    <row r="7897" spans="28:35" ht="15" hidden="1" customHeight="1">
      <c r="AB7897" s="9"/>
      <c r="AC7897" s="9"/>
      <c r="AD7897" s="9"/>
      <c r="AF7897" s="10"/>
      <c r="AG7897" s="10"/>
      <c r="AH7897" s="10"/>
      <c r="AI7897" s="10"/>
    </row>
    <row r="7898" spans="28:35" ht="15" hidden="1" customHeight="1">
      <c r="AB7898" s="9"/>
      <c r="AC7898" s="9"/>
      <c r="AD7898" s="9"/>
      <c r="AF7898" s="10"/>
      <c r="AG7898" s="10"/>
      <c r="AH7898" s="10"/>
      <c r="AI7898" s="10"/>
    </row>
    <row r="7899" spans="28:35" ht="15" hidden="1" customHeight="1">
      <c r="AB7899" s="9"/>
      <c r="AC7899" s="9"/>
      <c r="AD7899" s="9"/>
      <c r="AF7899" s="10"/>
      <c r="AG7899" s="10"/>
      <c r="AH7899" s="10"/>
      <c r="AI7899" s="10"/>
    </row>
    <row r="7900" spans="28:35" ht="15" hidden="1" customHeight="1">
      <c r="AB7900" s="9"/>
      <c r="AC7900" s="9"/>
      <c r="AD7900" s="9"/>
      <c r="AF7900" s="10"/>
      <c r="AG7900" s="10"/>
      <c r="AH7900" s="10"/>
      <c r="AI7900" s="10"/>
    </row>
    <row r="7901" spans="28:35" ht="15" hidden="1" customHeight="1">
      <c r="AB7901" s="9"/>
      <c r="AC7901" s="9"/>
      <c r="AD7901" s="9"/>
      <c r="AF7901" s="10"/>
      <c r="AG7901" s="10"/>
      <c r="AH7901" s="10"/>
      <c r="AI7901" s="10"/>
    </row>
    <row r="7902" spans="28:35" ht="15" hidden="1" customHeight="1">
      <c r="AB7902" s="9"/>
      <c r="AC7902" s="9"/>
      <c r="AD7902" s="9"/>
      <c r="AF7902" s="10"/>
      <c r="AG7902" s="10"/>
      <c r="AH7902" s="10"/>
      <c r="AI7902" s="10"/>
    </row>
    <row r="7903" spans="28:35" ht="15" hidden="1" customHeight="1">
      <c r="AB7903" s="9"/>
      <c r="AC7903" s="9"/>
      <c r="AD7903" s="9"/>
      <c r="AF7903" s="10"/>
      <c r="AG7903" s="10"/>
      <c r="AH7903" s="10"/>
      <c r="AI7903" s="10"/>
    </row>
    <row r="7904" spans="28:35" ht="15" hidden="1" customHeight="1">
      <c r="AB7904" s="9"/>
      <c r="AC7904" s="9"/>
      <c r="AD7904" s="9"/>
      <c r="AF7904" s="10"/>
      <c r="AG7904" s="10"/>
      <c r="AH7904" s="10"/>
      <c r="AI7904" s="10"/>
    </row>
    <row r="7905" spans="28:35" ht="15" hidden="1" customHeight="1">
      <c r="AB7905" s="9"/>
      <c r="AC7905" s="9"/>
      <c r="AD7905" s="9"/>
      <c r="AF7905" s="10"/>
      <c r="AG7905" s="10"/>
      <c r="AH7905" s="10"/>
      <c r="AI7905" s="10"/>
    </row>
    <row r="7906" spans="28:35" ht="15" hidden="1" customHeight="1">
      <c r="AB7906" s="9"/>
      <c r="AC7906" s="9"/>
      <c r="AD7906" s="9"/>
      <c r="AF7906" s="10"/>
      <c r="AG7906" s="10"/>
      <c r="AH7906" s="10"/>
      <c r="AI7906" s="10"/>
    </row>
    <row r="7907" spans="28:35" ht="15" hidden="1" customHeight="1">
      <c r="AB7907" s="9"/>
      <c r="AC7907" s="9"/>
      <c r="AD7907" s="9"/>
      <c r="AF7907" s="10"/>
      <c r="AG7907" s="10"/>
      <c r="AH7907" s="10"/>
      <c r="AI7907" s="10"/>
    </row>
    <row r="7908" spans="28:35" ht="15" hidden="1" customHeight="1">
      <c r="AB7908" s="9"/>
      <c r="AC7908" s="9"/>
      <c r="AD7908" s="9"/>
      <c r="AF7908" s="10"/>
      <c r="AG7908" s="10"/>
      <c r="AH7908" s="10"/>
      <c r="AI7908" s="10"/>
    </row>
    <row r="7909" spans="28:35" ht="15" hidden="1" customHeight="1">
      <c r="AB7909" s="9"/>
      <c r="AC7909" s="9"/>
      <c r="AD7909" s="9"/>
      <c r="AF7909" s="10"/>
      <c r="AG7909" s="10"/>
      <c r="AH7909" s="10"/>
      <c r="AI7909" s="10"/>
    </row>
    <row r="7910" spans="28:35" ht="15" hidden="1" customHeight="1">
      <c r="AB7910" s="9"/>
      <c r="AC7910" s="9"/>
      <c r="AD7910" s="9"/>
      <c r="AF7910" s="10"/>
      <c r="AG7910" s="10"/>
      <c r="AH7910" s="10"/>
      <c r="AI7910" s="10"/>
    </row>
    <row r="7911" spans="28:35" ht="15" hidden="1" customHeight="1">
      <c r="AB7911" s="9"/>
      <c r="AC7911" s="9"/>
      <c r="AD7911" s="9"/>
      <c r="AF7911" s="10"/>
      <c r="AG7911" s="10"/>
      <c r="AH7911" s="10"/>
      <c r="AI7911" s="10"/>
    </row>
    <row r="7912" spans="28:35" ht="15" hidden="1" customHeight="1">
      <c r="AB7912" s="9"/>
      <c r="AC7912" s="9"/>
      <c r="AD7912" s="9"/>
      <c r="AF7912" s="10"/>
      <c r="AG7912" s="10"/>
      <c r="AH7912" s="10"/>
      <c r="AI7912" s="10"/>
    </row>
    <row r="7913" spans="28:35" ht="15" hidden="1" customHeight="1">
      <c r="AB7913" s="9"/>
      <c r="AC7913" s="9"/>
      <c r="AD7913" s="9"/>
      <c r="AF7913" s="10"/>
      <c r="AG7913" s="10"/>
      <c r="AH7913" s="10"/>
      <c r="AI7913" s="10"/>
    </row>
    <row r="7914" spans="28:35" ht="15" hidden="1" customHeight="1">
      <c r="AB7914" s="9"/>
      <c r="AC7914" s="9"/>
      <c r="AD7914" s="9"/>
      <c r="AF7914" s="10"/>
      <c r="AG7914" s="10"/>
      <c r="AH7914" s="10"/>
      <c r="AI7914" s="10"/>
    </row>
    <row r="7915" spans="28:35" ht="15" hidden="1" customHeight="1">
      <c r="AB7915" s="9"/>
      <c r="AC7915" s="9"/>
      <c r="AD7915" s="9"/>
      <c r="AF7915" s="10"/>
      <c r="AG7915" s="10"/>
      <c r="AH7915" s="10"/>
      <c r="AI7915" s="10"/>
    </row>
    <row r="7916" spans="28:35" ht="15" hidden="1" customHeight="1">
      <c r="AB7916" s="9"/>
      <c r="AC7916" s="9"/>
      <c r="AD7916" s="9"/>
      <c r="AF7916" s="10"/>
      <c r="AG7916" s="10"/>
      <c r="AH7916" s="10"/>
      <c r="AI7916" s="10"/>
    </row>
    <row r="7917" spans="28:35" ht="15" hidden="1" customHeight="1">
      <c r="AB7917" s="9"/>
      <c r="AC7917" s="9"/>
      <c r="AD7917" s="9"/>
      <c r="AF7917" s="10"/>
      <c r="AG7917" s="10"/>
      <c r="AH7917" s="10"/>
      <c r="AI7917" s="10"/>
    </row>
    <row r="7918" spans="28:35" ht="15" hidden="1" customHeight="1">
      <c r="AB7918" s="9"/>
      <c r="AC7918" s="9"/>
      <c r="AD7918" s="9"/>
      <c r="AF7918" s="10"/>
      <c r="AG7918" s="10"/>
      <c r="AH7918" s="10"/>
      <c r="AI7918" s="10"/>
    </row>
    <row r="7919" spans="28:35" ht="15" hidden="1" customHeight="1">
      <c r="AB7919" s="9"/>
      <c r="AC7919" s="9"/>
      <c r="AD7919" s="9"/>
      <c r="AF7919" s="10"/>
      <c r="AG7919" s="10"/>
      <c r="AH7919" s="10"/>
      <c r="AI7919" s="10"/>
    </row>
    <row r="7920" spans="28:35" ht="15" hidden="1" customHeight="1">
      <c r="AB7920" s="9"/>
      <c r="AC7920" s="9"/>
      <c r="AD7920" s="9"/>
      <c r="AF7920" s="10"/>
      <c r="AG7920" s="10"/>
      <c r="AH7920" s="10"/>
      <c r="AI7920" s="10"/>
    </row>
    <row r="7921" spans="28:35" ht="15" hidden="1" customHeight="1">
      <c r="AB7921" s="9"/>
      <c r="AC7921" s="9"/>
      <c r="AD7921" s="9"/>
      <c r="AF7921" s="10"/>
      <c r="AG7921" s="10"/>
      <c r="AH7921" s="10"/>
      <c r="AI7921" s="10"/>
    </row>
    <row r="7922" spans="28:35" ht="15" hidden="1" customHeight="1">
      <c r="AB7922" s="9"/>
      <c r="AC7922" s="9"/>
      <c r="AD7922" s="9"/>
      <c r="AF7922" s="10"/>
      <c r="AG7922" s="10"/>
      <c r="AH7922" s="10"/>
      <c r="AI7922" s="10"/>
    </row>
    <row r="7923" spans="28:35" ht="15" hidden="1" customHeight="1">
      <c r="AB7923" s="9"/>
      <c r="AC7923" s="9"/>
      <c r="AD7923" s="9"/>
      <c r="AF7923" s="10"/>
      <c r="AG7923" s="10"/>
      <c r="AH7923" s="10"/>
      <c r="AI7923" s="10"/>
    </row>
    <row r="7924" spans="28:35" ht="15" hidden="1" customHeight="1">
      <c r="AB7924" s="9"/>
      <c r="AC7924" s="9"/>
      <c r="AD7924" s="9"/>
      <c r="AF7924" s="10"/>
      <c r="AG7924" s="10"/>
      <c r="AH7924" s="10"/>
      <c r="AI7924" s="10"/>
    </row>
    <row r="7925" spans="28:35" ht="15" hidden="1" customHeight="1">
      <c r="AB7925" s="9"/>
      <c r="AC7925" s="9"/>
      <c r="AD7925" s="9"/>
      <c r="AF7925" s="10"/>
      <c r="AG7925" s="10"/>
      <c r="AH7925" s="10"/>
      <c r="AI7925" s="10"/>
    </row>
    <row r="7926" spans="28:35" ht="15" hidden="1" customHeight="1">
      <c r="AB7926" s="9"/>
      <c r="AC7926" s="9"/>
      <c r="AD7926" s="9"/>
      <c r="AF7926" s="10"/>
      <c r="AG7926" s="10"/>
      <c r="AH7926" s="10"/>
      <c r="AI7926" s="10"/>
    </row>
    <row r="7927" spans="28:35" ht="15" hidden="1" customHeight="1">
      <c r="AB7927" s="9"/>
      <c r="AC7927" s="9"/>
      <c r="AD7927" s="9"/>
      <c r="AF7927" s="10"/>
      <c r="AG7927" s="10"/>
      <c r="AH7927" s="10"/>
      <c r="AI7927" s="10"/>
    </row>
    <row r="7928" spans="28:35" ht="15" hidden="1" customHeight="1">
      <c r="AB7928" s="9"/>
      <c r="AC7928" s="9"/>
      <c r="AD7928" s="9"/>
      <c r="AF7928" s="10"/>
      <c r="AG7928" s="10"/>
      <c r="AH7928" s="10"/>
      <c r="AI7928" s="10"/>
    </row>
    <row r="7929" spans="28:35" ht="15" hidden="1" customHeight="1">
      <c r="AB7929" s="9"/>
      <c r="AC7929" s="9"/>
      <c r="AD7929" s="9"/>
      <c r="AF7929" s="10"/>
      <c r="AG7929" s="10"/>
      <c r="AH7929" s="10"/>
      <c r="AI7929" s="10"/>
    </row>
    <row r="7930" spans="28:35" ht="15" hidden="1" customHeight="1">
      <c r="AB7930" s="9"/>
      <c r="AC7930" s="9"/>
      <c r="AD7930" s="9"/>
      <c r="AF7930" s="10"/>
      <c r="AG7930" s="10"/>
      <c r="AH7930" s="10"/>
      <c r="AI7930" s="10"/>
    </row>
    <row r="7931" spans="28:35" ht="15" hidden="1" customHeight="1">
      <c r="AB7931" s="9"/>
      <c r="AC7931" s="9"/>
      <c r="AD7931" s="9"/>
      <c r="AF7931" s="10"/>
      <c r="AG7931" s="10"/>
      <c r="AH7931" s="10"/>
      <c r="AI7931" s="10"/>
    </row>
    <row r="7932" spans="28:35" ht="15" hidden="1" customHeight="1">
      <c r="AB7932" s="9"/>
      <c r="AC7932" s="9"/>
      <c r="AD7932" s="9"/>
      <c r="AF7932" s="10"/>
      <c r="AG7932" s="10"/>
      <c r="AH7932" s="10"/>
      <c r="AI7932" s="10"/>
    </row>
    <row r="7933" spans="28:35" ht="15" hidden="1" customHeight="1">
      <c r="AB7933" s="9"/>
      <c r="AC7933" s="9"/>
      <c r="AD7933" s="9"/>
      <c r="AF7933" s="10"/>
      <c r="AG7933" s="10"/>
      <c r="AH7933" s="10"/>
      <c r="AI7933" s="10"/>
    </row>
    <row r="7934" spans="28:35" ht="15" hidden="1" customHeight="1">
      <c r="AB7934" s="9"/>
      <c r="AC7934" s="9"/>
      <c r="AD7934" s="9"/>
      <c r="AF7934" s="10"/>
      <c r="AG7934" s="10"/>
      <c r="AH7934" s="10"/>
      <c r="AI7934" s="10"/>
    </row>
    <row r="7935" spans="28:35" ht="15" hidden="1" customHeight="1">
      <c r="AB7935" s="9"/>
      <c r="AC7935" s="9"/>
      <c r="AD7935" s="9"/>
      <c r="AF7935" s="10"/>
      <c r="AG7935" s="10"/>
      <c r="AH7935" s="10"/>
      <c r="AI7935" s="10"/>
    </row>
    <row r="7936" spans="28:35" ht="15" hidden="1" customHeight="1">
      <c r="AB7936" s="9"/>
      <c r="AC7936" s="9"/>
      <c r="AD7936" s="9"/>
      <c r="AF7936" s="10"/>
      <c r="AG7936" s="10"/>
      <c r="AH7936" s="10"/>
      <c r="AI7936" s="10"/>
    </row>
    <row r="7937" spans="28:35" ht="15" hidden="1" customHeight="1">
      <c r="AB7937" s="9"/>
      <c r="AC7937" s="9"/>
      <c r="AD7937" s="9"/>
      <c r="AF7937" s="10"/>
      <c r="AG7937" s="10"/>
      <c r="AH7937" s="10"/>
      <c r="AI7937" s="10"/>
    </row>
    <row r="7938" spans="28:35" ht="15" hidden="1" customHeight="1">
      <c r="AB7938" s="9"/>
      <c r="AC7938" s="9"/>
      <c r="AD7938" s="9"/>
      <c r="AF7938" s="10"/>
      <c r="AG7938" s="10"/>
      <c r="AH7938" s="10"/>
      <c r="AI7938" s="10"/>
    </row>
    <row r="7939" spans="28:35" ht="15" hidden="1" customHeight="1">
      <c r="AB7939" s="9"/>
      <c r="AC7939" s="9"/>
      <c r="AD7939" s="9"/>
      <c r="AF7939" s="10"/>
      <c r="AG7939" s="10"/>
      <c r="AH7939" s="10"/>
      <c r="AI7939" s="10"/>
    </row>
    <row r="7940" spans="28:35" ht="15" hidden="1" customHeight="1">
      <c r="AB7940" s="9"/>
      <c r="AC7940" s="9"/>
      <c r="AD7940" s="9"/>
      <c r="AF7940" s="10"/>
      <c r="AG7940" s="10"/>
      <c r="AH7940" s="10"/>
      <c r="AI7940" s="10"/>
    </row>
    <row r="7941" spans="28:35" ht="15" hidden="1" customHeight="1">
      <c r="AB7941" s="9"/>
      <c r="AC7941" s="9"/>
      <c r="AD7941" s="9"/>
      <c r="AF7941" s="10"/>
      <c r="AG7941" s="10"/>
      <c r="AH7941" s="10"/>
      <c r="AI7941" s="10"/>
    </row>
    <row r="7942" spans="28:35" ht="15" hidden="1" customHeight="1">
      <c r="AB7942" s="9"/>
      <c r="AC7942" s="9"/>
      <c r="AD7942" s="9"/>
      <c r="AF7942" s="10"/>
      <c r="AG7942" s="10"/>
      <c r="AH7942" s="10"/>
      <c r="AI7942" s="10"/>
    </row>
    <row r="7943" spans="28:35" ht="15" hidden="1" customHeight="1">
      <c r="AB7943" s="9"/>
      <c r="AC7943" s="9"/>
      <c r="AD7943" s="9"/>
      <c r="AF7943" s="10"/>
      <c r="AG7943" s="10"/>
      <c r="AH7943" s="10"/>
      <c r="AI7943" s="10"/>
    </row>
    <row r="7944" spans="28:35" ht="15" hidden="1" customHeight="1">
      <c r="AB7944" s="9"/>
      <c r="AC7944" s="9"/>
      <c r="AD7944" s="9"/>
      <c r="AF7944" s="10"/>
      <c r="AG7944" s="10"/>
      <c r="AH7944" s="10"/>
      <c r="AI7944" s="10"/>
    </row>
    <row r="7945" spans="28:35" ht="15" hidden="1" customHeight="1">
      <c r="AB7945" s="9"/>
      <c r="AC7945" s="9"/>
      <c r="AD7945" s="9"/>
      <c r="AF7945" s="10"/>
      <c r="AG7945" s="10"/>
      <c r="AH7945" s="10"/>
      <c r="AI7945" s="10"/>
    </row>
    <row r="7946" spans="28:35" ht="15" hidden="1" customHeight="1">
      <c r="AB7946" s="9"/>
      <c r="AC7946" s="9"/>
      <c r="AD7946" s="9"/>
      <c r="AF7946" s="10"/>
      <c r="AG7946" s="10"/>
      <c r="AH7946" s="10"/>
      <c r="AI7946" s="10"/>
    </row>
    <row r="7947" spans="28:35" ht="15" hidden="1" customHeight="1">
      <c r="AB7947" s="9"/>
      <c r="AC7947" s="9"/>
      <c r="AD7947" s="9"/>
      <c r="AF7947" s="10"/>
      <c r="AG7947" s="10"/>
      <c r="AH7947" s="10"/>
      <c r="AI7947" s="10"/>
    </row>
    <row r="7948" spans="28:35" ht="15" hidden="1" customHeight="1">
      <c r="AB7948" s="9"/>
      <c r="AC7948" s="9"/>
      <c r="AD7948" s="9"/>
      <c r="AF7948" s="10"/>
      <c r="AG7948" s="10"/>
      <c r="AH7948" s="10"/>
      <c r="AI7948" s="10"/>
    </row>
    <row r="7949" spans="28:35" ht="15" hidden="1" customHeight="1">
      <c r="AB7949" s="9"/>
      <c r="AC7949" s="9"/>
      <c r="AD7949" s="9"/>
      <c r="AF7949" s="10"/>
      <c r="AG7949" s="10"/>
      <c r="AH7949" s="10"/>
      <c r="AI7949" s="10"/>
    </row>
    <row r="7950" spans="28:35" ht="15" hidden="1" customHeight="1">
      <c r="AB7950" s="9"/>
      <c r="AC7950" s="9"/>
      <c r="AD7950" s="9"/>
      <c r="AF7950" s="10"/>
      <c r="AG7950" s="10"/>
      <c r="AH7950" s="10"/>
      <c r="AI7950" s="10"/>
    </row>
    <row r="7951" spans="28:35" ht="15" hidden="1" customHeight="1">
      <c r="AB7951" s="9"/>
      <c r="AC7951" s="9"/>
      <c r="AD7951" s="9"/>
      <c r="AF7951" s="10"/>
      <c r="AG7951" s="10"/>
      <c r="AH7951" s="10"/>
      <c r="AI7951" s="10"/>
    </row>
    <row r="7952" spans="28:35" ht="15" hidden="1" customHeight="1">
      <c r="AB7952" s="9"/>
      <c r="AC7952" s="9"/>
      <c r="AD7952" s="9"/>
      <c r="AF7952" s="10"/>
      <c r="AG7952" s="10"/>
      <c r="AH7952" s="10"/>
      <c r="AI7952" s="10"/>
    </row>
    <row r="7953" spans="28:35" ht="15" hidden="1" customHeight="1">
      <c r="AB7953" s="9"/>
      <c r="AC7953" s="9"/>
      <c r="AD7953" s="9"/>
      <c r="AF7953" s="10"/>
      <c r="AG7953" s="10"/>
      <c r="AH7953" s="10"/>
      <c r="AI7953" s="10"/>
    </row>
    <row r="7954" spans="28:35" ht="15" hidden="1" customHeight="1">
      <c r="AB7954" s="9"/>
      <c r="AC7954" s="9"/>
      <c r="AD7954" s="9"/>
      <c r="AF7954" s="10"/>
      <c r="AG7954" s="10"/>
      <c r="AH7954" s="10"/>
      <c r="AI7954" s="10"/>
    </row>
    <row r="7955" spans="28:35" ht="15" hidden="1" customHeight="1">
      <c r="AB7955" s="9"/>
      <c r="AC7955" s="9"/>
      <c r="AD7955" s="9"/>
      <c r="AF7955" s="10"/>
      <c r="AG7955" s="10"/>
      <c r="AH7955" s="10"/>
      <c r="AI7955" s="10"/>
    </row>
    <row r="7956" spans="28:35" ht="15" hidden="1" customHeight="1">
      <c r="AB7956" s="9"/>
      <c r="AC7956" s="9"/>
      <c r="AD7956" s="9"/>
      <c r="AF7956" s="10"/>
      <c r="AG7956" s="10"/>
      <c r="AH7956" s="10"/>
      <c r="AI7956" s="10"/>
    </row>
    <row r="7957" spans="28:35" ht="15" hidden="1" customHeight="1">
      <c r="AB7957" s="9"/>
      <c r="AC7957" s="9"/>
      <c r="AD7957" s="9"/>
      <c r="AF7957" s="10"/>
      <c r="AG7957" s="10"/>
      <c r="AH7957" s="10"/>
      <c r="AI7957" s="10"/>
    </row>
    <row r="7958" spans="28:35" ht="15" hidden="1" customHeight="1">
      <c r="AB7958" s="9"/>
      <c r="AC7958" s="9"/>
      <c r="AD7958" s="9"/>
      <c r="AF7958" s="10"/>
      <c r="AG7958" s="10"/>
      <c r="AH7958" s="10"/>
      <c r="AI7958" s="10"/>
    </row>
    <row r="7959" spans="28:35" ht="15" hidden="1" customHeight="1">
      <c r="AB7959" s="9"/>
      <c r="AC7959" s="9"/>
      <c r="AD7959" s="9"/>
      <c r="AF7959" s="10"/>
      <c r="AG7959" s="10"/>
      <c r="AH7959" s="10"/>
      <c r="AI7959" s="10"/>
    </row>
    <row r="7960" spans="28:35" ht="15" hidden="1" customHeight="1">
      <c r="AB7960" s="9"/>
      <c r="AC7960" s="9"/>
      <c r="AD7960" s="9"/>
      <c r="AF7960" s="10"/>
      <c r="AG7960" s="10"/>
      <c r="AH7960" s="10"/>
      <c r="AI7960" s="10"/>
    </row>
    <row r="7961" spans="28:35" ht="15" hidden="1" customHeight="1">
      <c r="AB7961" s="9"/>
      <c r="AC7961" s="9"/>
      <c r="AD7961" s="9"/>
      <c r="AF7961" s="10"/>
      <c r="AG7961" s="10"/>
      <c r="AH7961" s="10"/>
      <c r="AI7961" s="10"/>
    </row>
    <row r="7962" spans="28:35" ht="15" hidden="1" customHeight="1">
      <c r="AB7962" s="9"/>
      <c r="AC7962" s="9"/>
      <c r="AD7962" s="9"/>
      <c r="AF7962" s="10"/>
      <c r="AG7962" s="10"/>
      <c r="AH7962" s="10"/>
      <c r="AI7962" s="10"/>
    </row>
    <row r="7963" spans="28:35" ht="15" hidden="1" customHeight="1">
      <c r="AB7963" s="9"/>
      <c r="AC7963" s="9"/>
      <c r="AD7963" s="9"/>
      <c r="AF7963" s="10"/>
      <c r="AG7963" s="10"/>
      <c r="AH7963" s="10"/>
      <c r="AI7963" s="10"/>
    </row>
    <row r="7964" spans="28:35" ht="15" hidden="1" customHeight="1">
      <c r="AB7964" s="9"/>
      <c r="AC7964" s="9"/>
      <c r="AD7964" s="9"/>
      <c r="AF7964" s="10"/>
      <c r="AG7964" s="10"/>
      <c r="AH7964" s="10"/>
      <c r="AI7964" s="10"/>
    </row>
    <row r="7965" spans="28:35" ht="15" hidden="1" customHeight="1">
      <c r="AB7965" s="9"/>
      <c r="AC7965" s="9"/>
      <c r="AD7965" s="9"/>
      <c r="AF7965" s="10"/>
      <c r="AG7965" s="10"/>
      <c r="AH7965" s="10"/>
      <c r="AI7965" s="10"/>
    </row>
    <row r="7966" spans="28:35" ht="15" hidden="1" customHeight="1">
      <c r="AB7966" s="9"/>
      <c r="AC7966" s="9"/>
      <c r="AD7966" s="9"/>
      <c r="AF7966" s="10"/>
      <c r="AG7966" s="10"/>
      <c r="AH7966" s="10"/>
      <c r="AI7966" s="10"/>
    </row>
    <row r="7967" spans="28:35" ht="15" hidden="1" customHeight="1">
      <c r="AB7967" s="9"/>
      <c r="AC7967" s="9"/>
      <c r="AD7967" s="9"/>
      <c r="AF7967" s="10"/>
      <c r="AG7967" s="10"/>
      <c r="AH7967" s="10"/>
      <c r="AI7967" s="10"/>
    </row>
    <row r="7968" spans="28:35" ht="15" hidden="1" customHeight="1">
      <c r="AB7968" s="9"/>
      <c r="AC7968" s="9"/>
      <c r="AD7968" s="9"/>
      <c r="AF7968" s="10"/>
      <c r="AG7968" s="10"/>
      <c r="AH7968" s="10"/>
      <c r="AI7968" s="10"/>
    </row>
    <row r="7969" spans="28:35" ht="15" hidden="1" customHeight="1">
      <c r="AB7969" s="9"/>
      <c r="AC7969" s="9"/>
      <c r="AD7969" s="9"/>
      <c r="AF7969" s="10"/>
      <c r="AG7969" s="10"/>
      <c r="AH7969" s="10"/>
      <c r="AI7969" s="10"/>
    </row>
    <row r="7970" spans="28:35" ht="15" hidden="1" customHeight="1">
      <c r="AB7970" s="9"/>
      <c r="AC7970" s="9"/>
      <c r="AD7970" s="9"/>
      <c r="AF7970" s="10"/>
      <c r="AG7970" s="10"/>
      <c r="AH7970" s="10"/>
      <c r="AI7970" s="10"/>
    </row>
    <row r="7971" spans="28:35" ht="15" hidden="1" customHeight="1">
      <c r="AB7971" s="9"/>
      <c r="AC7971" s="9"/>
      <c r="AD7971" s="9"/>
      <c r="AF7971" s="10"/>
      <c r="AG7971" s="10"/>
      <c r="AH7971" s="10"/>
      <c r="AI7971" s="10"/>
    </row>
    <row r="7972" spans="28:35" ht="15" hidden="1" customHeight="1">
      <c r="AB7972" s="9"/>
      <c r="AC7972" s="9"/>
      <c r="AD7972" s="9"/>
      <c r="AF7972" s="10"/>
      <c r="AG7972" s="10"/>
      <c r="AH7972" s="10"/>
      <c r="AI7972" s="10"/>
    </row>
    <row r="7973" spans="28:35" ht="15" hidden="1" customHeight="1">
      <c r="AB7973" s="9"/>
      <c r="AC7973" s="9"/>
      <c r="AD7973" s="9"/>
      <c r="AF7973" s="10"/>
      <c r="AG7973" s="10"/>
      <c r="AH7973" s="10"/>
      <c r="AI7973" s="10"/>
    </row>
    <row r="7974" spans="28:35" ht="15" hidden="1" customHeight="1">
      <c r="AB7974" s="9"/>
      <c r="AC7974" s="9"/>
      <c r="AD7974" s="9"/>
      <c r="AF7974" s="10"/>
      <c r="AG7974" s="10"/>
      <c r="AH7974" s="10"/>
      <c r="AI7974" s="10"/>
    </row>
    <row r="7975" spans="28:35" ht="15" hidden="1" customHeight="1">
      <c r="AB7975" s="9"/>
      <c r="AC7975" s="9"/>
      <c r="AD7975" s="9"/>
      <c r="AF7975" s="10"/>
      <c r="AG7975" s="10"/>
      <c r="AH7975" s="10"/>
      <c r="AI7975" s="10"/>
    </row>
    <row r="7976" spans="28:35" ht="15" hidden="1" customHeight="1">
      <c r="AB7976" s="9"/>
      <c r="AC7976" s="9"/>
      <c r="AD7976" s="9"/>
      <c r="AF7976" s="10"/>
      <c r="AG7976" s="10"/>
      <c r="AH7976" s="10"/>
      <c r="AI7976" s="10"/>
    </row>
    <row r="7977" spans="28:35" ht="15" hidden="1" customHeight="1">
      <c r="AB7977" s="9"/>
      <c r="AC7977" s="9"/>
      <c r="AD7977" s="9"/>
      <c r="AF7977" s="10"/>
      <c r="AG7977" s="10"/>
      <c r="AH7977" s="10"/>
      <c r="AI7977" s="10"/>
    </row>
    <row r="7978" spans="28:35" ht="15" hidden="1" customHeight="1">
      <c r="AB7978" s="9"/>
      <c r="AC7978" s="9"/>
      <c r="AD7978" s="9"/>
      <c r="AF7978" s="10"/>
      <c r="AG7978" s="10"/>
      <c r="AH7978" s="10"/>
      <c r="AI7978" s="10"/>
    </row>
    <row r="7979" spans="28:35" ht="15" hidden="1" customHeight="1">
      <c r="AB7979" s="9"/>
      <c r="AC7979" s="9"/>
      <c r="AD7979" s="9"/>
      <c r="AF7979" s="10"/>
      <c r="AG7979" s="10"/>
      <c r="AH7979" s="10"/>
      <c r="AI7979" s="10"/>
    </row>
    <row r="7980" spans="28:35" ht="15" hidden="1" customHeight="1">
      <c r="AB7980" s="9"/>
      <c r="AC7980" s="9"/>
      <c r="AD7980" s="9"/>
      <c r="AF7980" s="10"/>
      <c r="AG7980" s="10"/>
      <c r="AH7980" s="10"/>
      <c r="AI7980" s="10"/>
    </row>
    <row r="7981" spans="28:35" ht="15" hidden="1" customHeight="1">
      <c r="AB7981" s="9"/>
      <c r="AC7981" s="9"/>
      <c r="AD7981" s="9"/>
      <c r="AF7981" s="10"/>
      <c r="AG7981" s="10"/>
      <c r="AH7981" s="10"/>
      <c r="AI7981" s="10"/>
    </row>
    <row r="7982" spans="28:35" ht="15" hidden="1" customHeight="1">
      <c r="AB7982" s="9"/>
      <c r="AC7982" s="9"/>
      <c r="AD7982" s="9"/>
      <c r="AF7982" s="10"/>
      <c r="AG7982" s="10"/>
      <c r="AH7982" s="10"/>
      <c r="AI7982" s="10"/>
    </row>
    <row r="7983" spans="28:35" ht="15" hidden="1" customHeight="1">
      <c r="AB7983" s="9"/>
      <c r="AC7983" s="9"/>
      <c r="AD7983" s="9"/>
      <c r="AF7983" s="10"/>
      <c r="AG7983" s="10"/>
      <c r="AH7983" s="10"/>
      <c r="AI7983" s="10"/>
    </row>
    <row r="7984" spans="28:35" ht="15" hidden="1" customHeight="1">
      <c r="AB7984" s="9"/>
      <c r="AC7984" s="9"/>
      <c r="AD7984" s="9"/>
      <c r="AF7984" s="10"/>
      <c r="AG7984" s="10"/>
      <c r="AH7984" s="10"/>
      <c r="AI7984" s="10"/>
    </row>
    <row r="7985" spans="28:35" ht="15" hidden="1" customHeight="1">
      <c r="AB7985" s="9"/>
      <c r="AC7985" s="9"/>
      <c r="AD7985" s="9"/>
      <c r="AF7985" s="10"/>
      <c r="AG7985" s="10"/>
      <c r="AH7985" s="10"/>
      <c r="AI7985" s="10"/>
    </row>
    <row r="7986" spans="28:35" ht="15" hidden="1" customHeight="1">
      <c r="AB7986" s="9"/>
      <c r="AC7986" s="9"/>
      <c r="AD7986" s="9"/>
      <c r="AF7986" s="10"/>
      <c r="AG7986" s="10"/>
      <c r="AH7986" s="10"/>
      <c r="AI7986" s="10"/>
    </row>
    <row r="7987" spans="28:35" ht="15" hidden="1" customHeight="1">
      <c r="AB7987" s="9"/>
      <c r="AC7987" s="9"/>
      <c r="AD7987" s="9"/>
      <c r="AF7987" s="10"/>
      <c r="AG7987" s="10"/>
      <c r="AH7987" s="10"/>
      <c r="AI7987" s="10"/>
    </row>
    <row r="7988" spans="28:35" ht="15" hidden="1" customHeight="1">
      <c r="AB7988" s="9"/>
      <c r="AC7988" s="9"/>
      <c r="AD7988" s="9"/>
      <c r="AF7988" s="10"/>
      <c r="AG7988" s="10"/>
      <c r="AH7988" s="10"/>
      <c r="AI7988" s="10"/>
    </row>
    <row r="7989" spans="28:35" ht="15" hidden="1" customHeight="1">
      <c r="AB7989" s="9"/>
      <c r="AC7989" s="9"/>
      <c r="AD7989" s="9"/>
      <c r="AF7989" s="10"/>
      <c r="AG7989" s="10"/>
      <c r="AH7989" s="10"/>
      <c r="AI7989" s="10"/>
    </row>
    <row r="7990" spans="28:35" ht="15" hidden="1" customHeight="1">
      <c r="AB7990" s="9"/>
      <c r="AC7990" s="9"/>
      <c r="AD7990" s="9"/>
      <c r="AF7990" s="10"/>
      <c r="AG7990" s="10"/>
      <c r="AH7990" s="10"/>
      <c r="AI7990" s="10"/>
    </row>
    <row r="7991" spans="28:35" ht="15" hidden="1" customHeight="1">
      <c r="AB7991" s="9"/>
      <c r="AC7991" s="9"/>
      <c r="AD7991" s="9"/>
      <c r="AF7991" s="10"/>
      <c r="AG7991" s="10"/>
      <c r="AH7991" s="10"/>
      <c r="AI7991" s="10"/>
    </row>
    <row r="7992" spans="28:35" ht="15" hidden="1" customHeight="1">
      <c r="AB7992" s="9"/>
      <c r="AC7992" s="9"/>
      <c r="AD7992" s="9"/>
      <c r="AF7992" s="10"/>
      <c r="AG7992" s="10"/>
      <c r="AH7992" s="10"/>
      <c r="AI7992" s="10"/>
    </row>
    <row r="7993" spans="28:35" ht="15" hidden="1" customHeight="1">
      <c r="AB7993" s="9"/>
      <c r="AC7993" s="9"/>
      <c r="AD7993" s="9"/>
      <c r="AF7993" s="10"/>
      <c r="AG7993" s="10"/>
      <c r="AH7993" s="10"/>
      <c r="AI7993" s="10"/>
    </row>
    <row r="7994" spans="28:35" ht="15" hidden="1" customHeight="1">
      <c r="AB7994" s="9"/>
      <c r="AC7994" s="9"/>
      <c r="AD7994" s="9"/>
      <c r="AF7994" s="10"/>
      <c r="AG7994" s="10"/>
      <c r="AH7994" s="10"/>
      <c r="AI7994" s="10"/>
    </row>
    <row r="7995" spans="28:35" ht="15" hidden="1" customHeight="1">
      <c r="AB7995" s="9"/>
      <c r="AC7995" s="9"/>
      <c r="AD7995" s="9"/>
      <c r="AF7995" s="10"/>
      <c r="AG7995" s="10"/>
      <c r="AH7995" s="10"/>
      <c r="AI7995" s="10"/>
    </row>
    <row r="7996" spans="28:35" ht="15" hidden="1" customHeight="1">
      <c r="AB7996" s="9"/>
      <c r="AC7996" s="9"/>
      <c r="AD7996" s="9"/>
      <c r="AF7996" s="10"/>
      <c r="AG7996" s="10"/>
      <c r="AH7996" s="10"/>
      <c r="AI7996" s="10"/>
    </row>
    <row r="7997" spans="28:35" ht="15" hidden="1" customHeight="1">
      <c r="AB7997" s="9"/>
      <c r="AC7997" s="9"/>
      <c r="AD7997" s="9"/>
      <c r="AF7997" s="10"/>
      <c r="AG7997" s="10"/>
      <c r="AH7997" s="10"/>
      <c r="AI7997" s="10"/>
    </row>
    <row r="7998" spans="28:35" ht="15" hidden="1" customHeight="1">
      <c r="AB7998" s="9"/>
      <c r="AC7998" s="9"/>
      <c r="AD7998" s="9"/>
      <c r="AF7998" s="10"/>
      <c r="AG7998" s="10"/>
      <c r="AH7998" s="10"/>
      <c r="AI7998" s="10"/>
    </row>
    <row r="7999" spans="28:35" ht="15" hidden="1" customHeight="1">
      <c r="AB7999" s="9"/>
      <c r="AC7999" s="9"/>
      <c r="AD7999" s="9"/>
      <c r="AF7999" s="10"/>
      <c r="AG7999" s="10"/>
      <c r="AH7999" s="10"/>
      <c r="AI7999" s="10"/>
    </row>
    <row r="8000" spans="28:35" ht="15" hidden="1" customHeight="1">
      <c r="AB8000" s="9"/>
      <c r="AC8000" s="9"/>
      <c r="AD8000" s="9"/>
      <c r="AF8000" s="10"/>
      <c r="AG8000" s="10"/>
      <c r="AH8000" s="10"/>
      <c r="AI8000" s="10"/>
    </row>
    <row r="8001" spans="28:35" ht="15" hidden="1" customHeight="1">
      <c r="AB8001" s="9"/>
      <c r="AC8001" s="9"/>
      <c r="AD8001" s="9"/>
      <c r="AF8001" s="10"/>
      <c r="AG8001" s="10"/>
      <c r="AH8001" s="10"/>
      <c r="AI8001" s="10"/>
    </row>
    <row r="8002" spans="28:35" ht="15" hidden="1" customHeight="1">
      <c r="AB8002" s="9"/>
      <c r="AC8002" s="9"/>
      <c r="AD8002" s="9"/>
      <c r="AF8002" s="10"/>
      <c r="AG8002" s="10"/>
      <c r="AH8002" s="10"/>
      <c r="AI8002" s="10"/>
    </row>
    <row r="8003" spans="28:35" ht="15" hidden="1" customHeight="1">
      <c r="AB8003" s="9"/>
      <c r="AC8003" s="9"/>
      <c r="AD8003" s="9"/>
      <c r="AF8003" s="10"/>
      <c r="AG8003" s="10"/>
      <c r="AH8003" s="10"/>
      <c r="AI8003" s="10"/>
    </row>
    <row r="8004" spans="28:35" ht="15" hidden="1" customHeight="1">
      <c r="AB8004" s="9"/>
      <c r="AC8004" s="9"/>
      <c r="AD8004" s="9"/>
      <c r="AF8004" s="10"/>
      <c r="AG8004" s="10"/>
      <c r="AH8004" s="10"/>
      <c r="AI8004" s="10"/>
    </row>
    <row r="8005" spans="28:35" ht="15" hidden="1" customHeight="1">
      <c r="AB8005" s="9"/>
      <c r="AC8005" s="9"/>
      <c r="AD8005" s="9"/>
      <c r="AF8005" s="10"/>
      <c r="AG8005" s="10"/>
      <c r="AH8005" s="10"/>
      <c r="AI8005" s="10"/>
    </row>
    <row r="8006" spans="28:35" ht="15" hidden="1" customHeight="1">
      <c r="AB8006" s="9"/>
      <c r="AC8006" s="9"/>
      <c r="AD8006" s="9"/>
      <c r="AF8006" s="10"/>
      <c r="AG8006" s="10"/>
      <c r="AH8006" s="10"/>
      <c r="AI8006" s="10"/>
    </row>
    <row r="8007" spans="28:35" ht="15" hidden="1" customHeight="1">
      <c r="AB8007" s="9"/>
      <c r="AC8007" s="9"/>
      <c r="AD8007" s="9"/>
      <c r="AF8007" s="10"/>
      <c r="AG8007" s="10"/>
      <c r="AH8007" s="10"/>
      <c r="AI8007" s="10"/>
    </row>
    <row r="8008" spans="28:35" ht="15" hidden="1" customHeight="1">
      <c r="AB8008" s="9"/>
      <c r="AC8008" s="9"/>
      <c r="AD8008" s="9"/>
      <c r="AF8008" s="10"/>
      <c r="AG8008" s="10"/>
      <c r="AH8008" s="10"/>
      <c r="AI8008" s="10"/>
    </row>
    <row r="8009" spans="28:35" ht="15" hidden="1" customHeight="1">
      <c r="AB8009" s="9"/>
      <c r="AC8009" s="9"/>
      <c r="AD8009" s="9"/>
      <c r="AF8009" s="10"/>
      <c r="AG8009" s="10"/>
      <c r="AH8009" s="10"/>
      <c r="AI8009" s="10"/>
    </row>
    <row r="8010" spans="28:35" ht="15" hidden="1" customHeight="1">
      <c r="AB8010" s="9"/>
      <c r="AC8010" s="9"/>
      <c r="AD8010" s="9"/>
      <c r="AF8010" s="10"/>
      <c r="AG8010" s="10"/>
      <c r="AH8010" s="10"/>
      <c r="AI8010" s="10"/>
    </row>
    <row r="8011" spans="28:35" ht="15" hidden="1" customHeight="1">
      <c r="AB8011" s="9"/>
      <c r="AC8011" s="9"/>
      <c r="AD8011" s="9"/>
      <c r="AF8011" s="10"/>
      <c r="AG8011" s="10"/>
      <c r="AH8011" s="10"/>
      <c r="AI8011" s="10"/>
    </row>
    <row r="8012" spans="28:35" ht="15" hidden="1" customHeight="1">
      <c r="AB8012" s="9"/>
      <c r="AC8012" s="9"/>
      <c r="AD8012" s="9"/>
      <c r="AF8012" s="10"/>
      <c r="AG8012" s="10"/>
      <c r="AH8012" s="10"/>
      <c r="AI8012" s="10"/>
    </row>
    <row r="8013" spans="28:35" ht="15" hidden="1" customHeight="1">
      <c r="AB8013" s="9"/>
      <c r="AC8013" s="9"/>
      <c r="AD8013" s="9"/>
      <c r="AF8013" s="10"/>
      <c r="AG8013" s="10"/>
      <c r="AH8013" s="10"/>
      <c r="AI8013" s="10"/>
    </row>
    <row r="8014" spans="28:35" ht="15" hidden="1" customHeight="1">
      <c r="AB8014" s="9"/>
      <c r="AC8014" s="9"/>
      <c r="AD8014" s="9"/>
      <c r="AF8014" s="10"/>
      <c r="AG8014" s="10"/>
      <c r="AH8014" s="10"/>
      <c r="AI8014" s="10"/>
    </row>
    <row r="8015" spans="28:35" ht="15" hidden="1" customHeight="1">
      <c r="AB8015" s="9"/>
      <c r="AC8015" s="9"/>
      <c r="AD8015" s="9"/>
      <c r="AF8015" s="10"/>
      <c r="AG8015" s="10"/>
      <c r="AH8015" s="10"/>
      <c r="AI8015" s="10"/>
    </row>
    <row r="8016" spans="28:35" ht="15" hidden="1" customHeight="1">
      <c r="AB8016" s="9"/>
      <c r="AC8016" s="9"/>
      <c r="AD8016" s="9"/>
      <c r="AF8016" s="10"/>
      <c r="AG8016" s="10"/>
      <c r="AH8016" s="10"/>
      <c r="AI8016" s="10"/>
    </row>
    <row r="8017" spans="28:35" ht="15" hidden="1" customHeight="1">
      <c r="AB8017" s="9"/>
      <c r="AC8017" s="9"/>
      <c r="AD8017" s="9"/>
      <c r="AF8017" s="10"/>
      <c r="AG8017" s="10"/>
      <c r="AH8017" s="10"/>
      <c r="AI8017" s="10"/>
    </row>
    <row r="8018" spans="28:35" ht="15" hidden="1" customHeight="1">
      <c r="AB8018" s="9"/>
      <c r="AC8018" s="9"/>
      <c r="AD8018" s="9"/>
      <c r="AF8018" s="10"/>
      <c r="AG8018" s="10"/>
      <c r="AH8018" s="10"/>
      <c r="AI8018" s="10"/>
    </row>
    <row r="8019" spans="28:35" ht="15" hidden="1" customHeight="1">
      <c r="AB8019" s="9"/>
      <c r="AC8019" s="9"/>
      <c r="AD8019" s="9"/>
      <c r="AF8019" s="10"/>
      <c r="AG8019" s="10"/>
      <c r="AH8019" s="10"/>
      <c r="AI8019" s="10"/>
    </row>
    <row r="8020" spans="28:35" ht="15" hidden="1" customHeight="1">
      <c r="AB8020" s="9"/>
      <c r="AC8020" s="9"/>
      <c r="AD8020" s="9"/>
      <c r="AF8020" s="10"/>
      <c r="AG8020" s="10"/>
      <c r="AH8020" s="10"/>
      <c r="AI8020" s="10"/>
    </row>
    <row r="8021" spans="28:35" ht="15" hidden="1" customHeight="1">
      <c r="AB8021" s="9"/>
      <c r="AC8021" s="9"/>
      <c r="AD8021" s="9"/>
      <c r="AF8021" s="10"/>
      <c r="AG8021" s="10"/>
      <c r="AH8021" s="10"/>
      <c r="AI8021" s="10"/>
    </row>
    <row r="8022" spans="28:35" ht="15" hidden="1" customHeight="1">
      <c r="AB8022" s="9"/>
      <c r="AC8022" s="9"/>
      <c r="AD8022" s="9"/>
      <c r="AF8022" s="10"/>
      <c r="AG8022" s="10"/>
      <c r="AH8022" s="10"/>
      <c r="AI8022" s="10"/>
    </row>
    <row r="8023" spans="28:35" ht="15" hidden="1" customHeight="1">
      <c r="AB8023" s="9"/>
      <c r="AC8023" s="9"/>
      <c r="AD8023" s="9"/>
      <c r="AF8023" s="10"/>
      <c r="AG8023" s="10"/>
      <c r="AH8023" s="10"/>
      <c r="AI8023" s="10"/>
    </row>
    <row r="8024" spans="28:35" ht="15" hidden="1" customHeight="1">
      <c r="AB8024" s="9"/>
      <c r="AC8024" s="9"/>
      <c r="AD8024" s="9"/>
      <c r="AF8024" s="10"/>
      <c r="AG8024" s="10"/>
      <c r="AH8024" s="10"/>
      <c r="AI8024" s="10"/>
    </row>
    <row r="8025" spans="28:35" ht="15" hidden="1" customHeight="1">
      <c r="AB8025" s="9"/>
      <c r="AC8025" s="9"/>
      <c r="AD8025" s="9"/>
      <c r="AF8025" s="10"/>
      <c r="AG8025" s="10"/>
      <c r="AH8025" s="10"/>
      <c r="AI8025" s="10"/>
    </row>
    <row r="8026" spans="28:35" ht="15" hidden="1" customHeight="1">
      <c r="AB8026" s="9"/>
      <c r="AC8026" s="9"/>
      <c r="AD8026" s="9"/>
      <c r="AF8026" s="10"/>
      <c r="AG8026" s="10"/>
      <c r="AH8026" s="10"/>
      <c r="AI8026" s="10"/>
    </row>
    <row r="8027" spans="28:35" ht="15" hidden="1" customHeight="1">
      <c r="AB8027" s="9"/>
      <c r="AC8027" s="9"/>
      <c r="AD8027" s="9"/>
      <c r="AF8027" s="10"/>
      <c r="AG8027" s="10"/>
      <c r="AH8027" s="10"/>
      <c r="AI8027" s="10"/>
    </row>
    <row r="8028" spans="28:35" ht="15" hidden="1" customHeight="1">
      <c r="AB8028" s="9"/>
      <c r="AC8028" s="9"/>
      <c r="AD8028" s="9"/>
      <c r="AF8028" s="10"/>
      <c r="AG8028" s="10"/>
      <c r="AH8028" s="10"/>
      <c r="AI8028" s="10"/>
    </row>
    <row r="8029" spans="28:35" ht="15" hidden="1" customHeight="1">
      <c r="AB8029" s="9"/>
      <c r="AC8029" s="9"/>
      <c r="AD8029" s="9"/>
      <c r="AF8029" s="10"/>
      <c r="AG8029" s="10"/>
      <c r="AH8029" s="10"/>
      <c r="AI8029" s="10"/>
    </row>
    <row r="8030" spans="28:35" ht="15" hidden="1" customHeight="1">
      <c r="AB8030" s="9"/>
      <c r="AC8030" s="9"/>
      <c r="AD8030" s="9"/>
      <c r="AF8030" s="10"/>
      <c r="AG8030" s="10"/>
      <c r="AH8030" s="10"/>
      <c r="AI8030" s="10"/>
    </row>
    <row r="8031" spans="28:35" ht="15" hidden="1" customHeight="1">
      <c r="AB8031" s="9"/>
      <c r="AC8031" s="9"/>
      <c r="AD8031" s="9"/>
      <c r="AF8031" s="10"/>
      <c r="AG8031" s="10"/>
      <c r="AH8031" s="10"/>
      <c r="AI8031" s="10"/>
    </row>
    <row r="8032" spans="28:35" ht="15" hidden="1" customHeight="1">
      <c r="AB8032" s="9"/>
      <c r="AC8032" s="9"/>
      <c r="AD8032" s="9"/>
      <c r="AF8032" s="10"/>
      <c r="AG8032" s="10"/>
      <c r="AH8032" s="10"/>
      <c r="AI8032" s="10"/>
    </row>
    <row r="8033" spans="28:35" ht="15" hidden="1" customHeight="1">
      <c r="AB8033" s="9"/>
      <c r="AC8033" s="9"/>
      <c r="AD8033" s="9"/>
      <c r="AF8033" s="10"/>
      <c r="AG8033" s="10"/>
      <c r="AH8033" s="10"/>
      <c r="AI8033" s="10"/>
    </row>
    <row r="8034" spans="28:35" ht="15" hidden="1" customHeight="1">
      <c r="AB8034" s="9"/>
      <c r="AC8034" s="9"/>
      <c r="AD8034" s="9"/>
      <c r="AF8034" s="10"/>
      <c r="AG8034" s="10"/>
      <c r="AH8034" s="10"/>
      <c r="AI8034" s="10"/>
    </row>
    <row r="8035" spans="28:35" ht="15" hidden="1" customHeight="1">
      <c r="AB8035" s="9"/>
      <c r="AC8035" s="9"/>
      <c r="AD8035" s="9"/>
      <c r="AF8035" s="10"/>
      <c r="AG8035" s="10"/>
      <c r="AH8035" s="10"/>
      <c r="AI8035" s="10"/>
    </row>
    <row r="8036" spans="28:35" ht="15" hidden="1" customHeight="1">
      <c r="AB8036" s="9"/>
      <c r="AC8036" s="9"/>
      <c r="AD8036" s="9"/>
      <c r="AF8036" s="10"/>
      <c r="AG8036" s="10"/>
      <c r="AH8036" s="10"/>
      <c r="AI8036" s="10"/>
    </row>
    <row r="8037" spans="28:35" ht="15" hidden="1" customHeight="1">
      <c r="AB8037" s="9"/>
      <c r="AC8037" s="9"/>
      <c r="AD8037" s="9"/>
      <c r="AF8037" s="10"/>
      <c r="AG8037" s="10"/>
      <c r="AH8037" s="10"/>
      <c r="AI8037" s="10"/>
    </row>
    <row r="8038" spans="28:35" ht="15" hidden="1" customHeight="1">
      <c r="AB8038" s="9"/>
      <c r="AC8038" s="9"/>
      <c r="AD8038" s="9"/>
      <c r="AF8038" s="10"/>
      <c r="AG8038" s="10"/>
      <c r="AH8038" s="10"/>
      <c r="AI8038" s="10"/>
    </row>
    <row r="8039" spans="28:35" ht="15" hidden="1" customHeight="1">
      <c r="AB8039" s="9"/>
      <c r="AC8039" s="9"/>
      <c r="AD8039" s="9"/>
      <c r="AF8039" s="10"/>
      <c r="AG8039" s="10"/>
      <c r="AH8039" s="10"/>
      <c r="AI8039" s="10"/>
    </row>
    <row r="8040" spans="28:35" ht="15" hidden="1" customHeight="1">
      <c r="AB8040" s="9"/>
      <c r="AC8040" s="9"/>
      <c r="AD8040" s="9"/>
      <c r="AF8040" s="10"/>
      <c r="AG8040" s="10"/>
      <c r="AH8040" s="10"/>
      <c r="AI8040" s="10"/>
    </row>
    <row r="8041" spans="28:35" ht="15" hidden="1" customHeight="1">
      <c r="AB8041" s="9"/>
      <c r="AC8041" s="9"/>
      <c r="AD8041" s="9"/>
      <c r="AF8041" s="10"/>
      <c r="AG8041" s="10"/>
      <c r="AH8041" s="10"/>
      <c r="AI8041" s="10"/>
    </row>
    <row r="8042" spans="28:35" ht="15" hidden="1" customHeight="1">
      <c r="AB8042" s="9"/>
      <c r="AC8042" s="9"/>
      <c r="AD8042" s="9"/>
      <c r="AF8042" s="10"/>
      <c r="AG8042" s="10"/>
      <c r="AH8042" s="10"/>
      <c r="AI8042" s="10"/>
    </row>
    <row r="8043" spans="28:35" ht="15" hidden="1" customHeight="1">
      <c r="AB8043" s="9"/>
      <c r="AC8043" s="9"/>
      <c r="AD8043" s="9"/>
      <c r="AF8043" s="10"/>
      <c r="AG8043" s="10"/>
      <c r="AH8043" s="10"/>
      <c r="AI8043" s="10"/>
    </row>
    <row r="8044" spans="28:35" ht="15" hidden="1" customHeight="1">
      <c r="AB8044" s="9"/>
      <c r="AC8044" s="9"/>
      <c r="AD8044" s="9"/>
      <c r="AF8044" s="10"/>
      <c r="AG8044" s="10"/>
      <c r="AH8044" s="10"/>
      <c r="AI8044" s="10"/>
    </row>
    <row r="8045" spans="28:35" ht="15" hidden="1" customHeight="1">
      <c r="AB8045" s="9"/>
      <c r="AC8045" s="9"/>
      <c r="AD8045" s="9"/>
      <c r="AF8045" s="10"/>
      <c r="AG8045" s="10"/>
      <c r="AH8045" s="10"/>
      <c r="AI8045" s="10"/>
    </row>
    <row r="8046" spans="28:35" ht="15" hidden="1" customHeight="1">
      <c r="AB8046" s="9"/>
      <c r="AC8046" s="9"/>
      <c r="AD8046" s="9"/>
      <c r="AF8046" s="10"/>
      <c r="AG8046" s="10"/>
      <c r="AH8046" s="10"/>
      <c r="AI8046" s="10"/>
    </row>
    <row r="8047" spans="28:35" ht="15" hidden="1" customHeight="1">
      <c r="AB8047" s="9"/>
      <c r="AC8047" s="9"/>
      <c r="AD8047" s="9"/>
      <c r="AF8047" s="10"/>
      <c r="AG8047" s="10"/>
      <c r="AH8047" s="10"/>
      <c r="AI8047" s="10"/>
    </row>
    <row r="8048" spans="28:35" ht="15" hidden="1" customHeight="1">
      <c r="AB8048" s="9"/>
      <c r="AC8048" s="9"/>
      <c r="AD8048" s="9"/>
      <c r="AF8048" s="10"/>
      <c r="AG8048" s="10"/>
      <c r="AH8048" s="10"/>
      <c r="AI8048" s="10"/>
    </row>
    <row r="8049" spans="28:35" ht="15" hidden="1" customHeight="1">
      <c r="AB8049" s="9"/>
      <c r="AC8049" s="9"/>
      <c r="AD8049" s="9"/>
      <c r="AF8049" s="10"/>
      <c r="AG8049" s="10"/>
      <c r="AH8049" s="10"/>
      <c r="AI8049" s="10"/>
    </row>
    <row r="8050" spans="28:35" ht="15" hidden="1" customHeight="1">
      <c r="AB8050" s="9"/>
      <c r="AC8050" s="9"/>
      <c r="AD8050" s="9"/>
      <c r="AF8050" s="10"/>
      <c r="AG8050" s="10"/>
      <c r="AH8050" s="10"/>
      <c r="AI8050" s="10"/>
    </row>
    <row r="8051" spans="28:35" ht="15" hidden="1" customHeight="1">
      <c r="AB8051" s="9"/>
      <c r="AC8051" s="9"/>
      <c r="AD8051" s="9"/>
      <c r="AF8051" s="10"/>
      <c r="AG8051" s="10"/>
      <c r="AH8051" s="10"/>
      <c r="AI8051" s="10"/>
    </row>
    <row r="8052" spans="28:35" ht="15" hidden="1" customHeight="1">
      <c r="AB8052" s="9"/>
      <c r="AC8052" s="9"/>
      <c r="AD8052" s="9"/>
      <c r="AF8052" s="10"/>
      <c r="AG8052" s="10"/>
      <c r="AH8052" s="10"/>
      <c r="AI8052" s="10"/>
    </row>
    <row r="8053" spans="28:35" ht="15" hidden="1" customHeight="1">
      <c r="AB8053" s="9"/>
      <c r="AC8053" s="9"/>
      <c r="AD8053" s="9"/>
      <c r="AF8053" s="10"/>
      <c r="AG8053" s="10"/>
      <c r="AH8053" s="10"/>
      <c r="AI8053" s="10"/>
    </row>
    <row r="8054" spans="28:35" ht="15" hidden="1" customHeight="1">
      <c r="AB8054" s="9"/>
      <c r="AC8054" s="9"/>
      <c r="AD8054" s="9"/>
      <c r="AF8054" s="10"/>
      <c r="AG8054" s="10"/>
      <c r="AH8054" s="10"/>
      <c r="AI8054" s="10"/>
    </row>
    <row r="8055" spans="28:35" ht="15" hidden="1" customHeight="1">
      <c r="AB8055" s="9"/>
      <c r="AC8055" s="9"/>
      <c r="AD8055" s="9"/>
      <c r="AF8055" s="10"/>
      <c r="AG8055" s="10"/>
      <c r="AH8055" s="10"/>
      <c r="AI8055" s="10"/>
    </row>
    <row r="8056" spans="28:35" ht="15" hidden="1" customHeight="1">
      <c r="AB8056" s="9"/>
      <c r="AC8056" s="9"/>
      <c r="AD8056" s="9"/>
      <c r="AF8056" s="10"/>
      <c r="AG8056" s="10"/>
      <c r="AH8056" s="10"/>
      <c r="AI8056" s="10"/>
    </row>
    <row r="8057" spans="28:35" ht="15" hidden="1" customHeight="1">
      <c r="AB8057" s="9"/>
      <c r="AC8057" s="9"/>
      <c r="AD8057" s="9"/>
      <c r="AF8057" s="10"/>
      <c r="AG8057" s="10"/>
      <c r="AH8057" s="10"/>
      <c r="AI8057" s="10"/>
    </row>
    <row r="8058" spans="28:35" ht="15" hidden="1" customHeight="1">
      <c r="AB8058" s="9"/>
      <c r="AC8058" s="9"/>
      <c r="AD8058" s="9"/>
      <c r="AF8058" s="10"/>
      <c r="AG8058" s="10"/>
      <c r="AH8058" s="10"/>
      <c r="AI8058" s="10"/>
    </row>
    <row r="8059" spans="28:35" ht="15" hidden="1" customHeight="1">
      <c r="AB8059" s="9"/>
      <c r="AC8059" s="9"/>
      <c r="AD8059" s="9"/>
      <c r="AF8059" s="10"/>
      <c r="AG8059" s="10"/>
      <c r="AH8059" s="10"/>
      <c r="AI8059" s="10"/>
    </row>
    <row r="8060" spans="28:35" ht="15" hidden="1" customHeight="1">
      <c r="AB8060" s="9"/>
      <c r="AC8060" s="9"/>
      <c r="AD8060" s="9"/>
      <c r="AF8060" s="10"/>
      <c r="AG8060" s="10"/>
      <c r="AH8060" s="10"/>
      <c r="AI8060" s="10"/>
    </row>
    <row r="8061" spans="28:35" ht="15" hidden="1" customHeight="1">
      <c r="AB8061" s="9"/>
      <c r="AC8061" s="9"/>
      <c r="AD8061" s="9"/>
      <c r="AF8061" s="10"/>
      <c r="AG8061" s="10"/>
      <c r="AH8061" s="10"/>
      <c r="AI8061" s="10"/>
    </row>
    <row r="8062" spans="28:35" ht="15" hidden="1" customHeight="1">
      <c r="AB8062" s="9"/>
      <c r="AC8062" s="9"/>
      <c r="AD8062" s="9"/>
      <c r="AF8062" s="10"/>
      <c r="AG8062" s="10"/>
      <c r="AH8062" s="10"/>
      <c r="AI8062" s="10"/>
    </row>
    <row r="8063" spans="28:35" ht="15" hidden="1" customHeight="1">
      <c r="AB8063" s="9"/>
      <c r="AC8063" s="9"/>
      <c r="AD8063" s="9"/>
      <c r="AF8063" s="10"/>
      <c r="AG8063" s="10"/>
      <c r="AH8063" s="10"/>
      <c r="AI8063" s="10"/>
    </row>
    <row r="8064" spans="28:35" ht="15" hidden="1" customHeight="1">
      <c r="AB8064" s="9"/>
      <c r="AC8064" s="9"/>
      <c r="AD8064" s="9"/>
      <c r="AF8064" s="10"/>
      <c r="AG8064" s="10"/>
      <c r="AH8064" s="10"/>
      <c r="AI8064" s="10"/>
    </row>
    <row r="8065" spans="28:35" ht="15" hidden="1" customHeight="1">
      <c r="AB8065" s="9"/>
      <c r="AC8065" s="9"/>
      <c r="AD8065" s="9"/>
      <c r="AF8065" s="10"/>
      <c r="AG8065" s="10"/>
      <c r="AH8065" s="10"/>
      <c r="AI8065" s="10"/>
    </row>
    <row r="8066" spans="28:35" ht="15" hidden="1" customHeight="1">
      <c r="AB8066" s="9"/>
      <c r="AC8066" s="9"/>
      <c r="AD8066" s="9"/>
      <c r="AF8066" s="10"/>
      <c r="AG8066" s="10"/>
      <c r="AH8066" s="10"/>
      <c r="AI8066" s="10"/>
    </row>
    <row r="8067" spans="28:35" ht="15" hidden="1" customHeight="1">
      <c r="AB8067" s="9"/>
      <c r="AC8067" s="9"/>
      <c r="AD8067" s="9"/>
      <c r="AF8067" s="10"/>
      <c r="AG8067" s="10"/>
      <c r="AH8067" s="10"/>
      <c r="AI8067" s="10"/>
    </row>
    <row r="8068" spans="28:35" ht="15" hidden="1" customHeight="1">
      <c r="AB8068" s="9"/>
      <c r="AC8068" s="9"/>
      <c r="AD8068" s="9"/>
      <c r="AF8068" s="10"/>
      <c r="AG8068" s="10"/>
      <c r="AH8068" s="10"/>
      <c r="AI8068" s="10"/>
    </row>
    <row r="8069" spans="28:35" ht="15" hidden="1" customHeight="1">
      <c r="AB8069" s="9"/>
      <c r="AC8069" s="9"/>
      <c r="AD8069" s="9"/>
      <c r="AF8069" s="10"/>
      <c r="AG8069" s="10"/>
      <c r="AH8069" s="10"/>
      <c r="AI8069" s="10"/>
    </row>
    <row r="8070" spans="28:35" ht="15" hidden="1" customHeight="1">
      <c r="AB8070" s="9"/>
      <c r="AC8070" s="9"/>
      <c r="AD8070" s="9"/>
      <c r="AF8070" s="10"/>
      <c r="AG8070" s="10"/>
      <c r="AH8070" s="10"/>
      <c r="AI8070" s="10"/>
    </row>
    <row r="8071" spans="28:35" ht="15" hidden="1" customHeight="1">
      <c r="AB8071" s="9"/>
      <c r="AC8071" s="9"/>
      <c r="AD8071" s="9"/>
      <c r="AF8071" s="10"/>
      <c r="AG8071" s="10"/>
      <c r="AH8071" s="10"/>
      <c r="AI8071" s="10"/>
    </row>
    <row r="8072" spans="28:35" ht="15" hidden="1" customHeight="1">
      <c r="AB8072" s="9"/>
      <c r="AC8072" s="9"/>
      <c r="AD8072" s="9"/>
      <c r="AF8072" s="10"/>
      <c r="AG8072" s="10"/>
      <c r="AH8072" s="10"/>
      <c r="AI8072" s="10"/>
    </row>
    <row r="8073" spans="28:35" ht="15" hidden="1" customHeight="1">
      <c r="AB8073" s="9"/>
      <c r="AC8073" s="9"/>
      <c r="AD8073" s="9"/>
      <c r="AF8073" s="10"/>
      <c r="AG8073" s="10"/>
      <c r="AH8073" s="10"/>
      <c r="AI8073" s="10"/>
    </row>
    <row r="8074" spans="28:35" ht="15" hidden="1" customHeight="1">
      <c r="AB8074" s="9"/>
      <c r="AC8074" s="9"/>
      <c r="AD8074" s="9"/>
      <c r="AF8074" s="10"/>
      <c r="AG8074" s="10"/>
      <c r="AH8074" s="10"/>
      <c r="AI8074" s="10"/>
    </row>
    <row r="8075" spans="28:35" ht="15" hidden="1" customHeight="1">
      <c r="AB8075" s="9"/>
      <c r="AC8075" s="9"/>
      <c r="AD8075" s="9"/>
      <c r="AF8075" s="10"/>
      <c r="AG8075" s="10"/>
      <c r="AH8075" s="10"/>
      <c r="AI8075" s="10"/>
    </row>
    <row r="8076" spans="28:35" ht="15" hidden="1" customHeight="1">
      <c r="AB8076" s="9"/>
      <c r="AC8076" s="9"/>
      <c r="AD8076" s="9"/>
      <c r="AF8076" s="10"/>
      <c r="AG8076" s="10"/>
      <c r="AH8076" s="10"/>
      <c r="AI8076" s="10"/>
    </row>
    <row r="8077" spans="28:35" ht="15" hidden="1" customHeight="1">
      <c r="AB8077" s="9"/>
      <c r="AC8077" s="9"/>
      <c r="AD8077" s="9"/>
      <c r="AF8077" s="10"/>
      <c r="AG8077" s="10"/>
      <c r="AH8077" s="10"/>
      <c r="AI8077" s="10"/>
    </row>
    <row r="8078" spans="28:35" ht="15" hidden="1" customHeight="1">
      <c r="AB8078" s="9"/>
      <c r="AC8078" s="9"/>
      <c r="AD8078" s="9"/>
      <c r="AF8078" s="10"/>
      <c r="AG8078" s="10"/>
      <c r="AH8078" s="10"/>
      <c r="AI8078" s="10"/>
    </row>
    <row r="8079" spans="28:35" ht="15" hidden="1" customHeight="1">
      <c r="AB8079" s="9"/>
      <c r="AC8079" s="9"/>
      <c r="AD8079" s="9"/>
      <c r="AF8079" s="10"/>
      <c r="AG8079" s="10"/>
      <c r="AH8079" s="10"/>
      <c r="AI8079" s="10"/>
    </row>
    <row r="8080" spans="28:35" ht="15" hidden="1" customHeight="1">
      <c r="AB8080" s="9"/>
      <c r="AC8080" s="9"/>
      <c r="AD8080" s="9"/>
      <c r="AF8080" s="10"/>
      <c r="AG8080" s="10"/>
      <c r="AH8080" s="10"/>
      <c r="AI8080" s="10"/>
    </row>
    <row r="8081" spans="28:35" ht="15" hidden="1" customHeight="1">
      <c r="AB8081" s="9"/>
      <c r="AC8081" s="9"/>
      <c r="AD8081" s="9"/>
      <c r="AF8081" s="10"/>
      <c r="AG8081" s="10"/>
      <c r="AH8081" s="10"/>
      <c r="AI8081" s="10"/>
    </row>
    <row r="8082" spans="28:35" ht="15" hidden="1" customHeight="1">
      <c r="AB8082" s="9"/>
      <c r="AC8082" s="9"/>
      <c r="AD8082" s="9"/>
      <c r="AF8082" s="10"/>
      <c r="AG8082" s="10"/>
      <c r="AH8082" s="10"/>
      <c r="AI8082" s="10"/>
    </row>
    <row r="8083" spans="28:35" ht="15" hidden="1" customHeight="1">
      <c r="AB8083" s="9"/>
      <c r="AC8083" s="9"/>
      <c r="AD8083" s="9"/>
      <c r="AF8083" s="10"/>
      <c r="AG8083" s="10"/>
      <c r="AH8083" s="10"/>
      <c r="AI8083" s="10"/>
    </row>
    <row r="8084" spans="28:35" ht="15" hidden="1" customHeight="1">
      <c r="AB8084" s="9"/>
      <c r="AC8084" s="9"/>
      <c r="AD8084" s="9"/>
      <c r="AF8084" s="10"/>
      <c r="AG8084" s="10"/>
      <c r="AH8084" s="10"/>
      <c r="AI8084" s="10"/>
    </row>
    <row r="8085" spans="28:35" ht="15" hidden="1" customHeight="1">
      <c r="AB8085" s="9"/>
      <c r="AC8085" s="9"/>
      <c r="AD8085" s="9"/>
      <c r="AF8085" s="10"/>
      <c r="AG8085" s="10"/>
      <c r="AH8085" s="10"/>
      <c r="AI8085" s="10"/>
    </row>
    <row r="8086" spans="28:35" ht="15" hidden="1" customHeight="1">
      <c r="AB8086" s="9"/>
      <c r="AC8086" s="9"/>
      <c r="AD8086" s="9"/>
      <c r="AF8086" s="10"/>
      <c r="AG8086" s="10"/>
      <c r="AH8086" s="10"/>
      <c r="AI8086" s="10"/>
    </row>
    <row r="8087" spans="28:35" ht="15" hidden="1" customHeight="1">
      <c r="AB8087" s="9"/>
      <c r="AC8087" s="9"/>
      <c r="AD8087" s="9"/>
      <c r="AF8087" s="10"/>
      <c r="AG8087" s="10"/>
      <c r="AH8087" s="10"/>
      <c r="AI8087" s="10"/>
    </row>
    <row r="8088" spans="28:35" ht="15" hidden="1" customHeight="1">
      <c r="AB8088" s="9"/>
      <c r="AC8088" s="9"/>
      <c r="AD8088" s="9"/>
      <c r="AF8088" s="10"/>
      <c r="AG8088" s="10"/>
      <c r="AH8088" s="10"/>
      <c r="AI8088" s="10"/>
    </row>
    <row r="8089" spans="28:35" ht="15" hidden="1" customHeight="1">
      <c r="AB8089" s="9"/>
      <c r="AC8089" s="9"/>
      <c r="AD8089" s="9"/>
      <c r="AF8089" s="10"/>
      <c r="AG8089" s="10"/>
      <c r="AH8089" s="10"/>
      <c r="AI8089" s="10"/>
    </row>
    <row r="8090" spans="28:35" ht="15" hidden="1" customHeight="1">
      <c r="AB8090" s="9"/>
      <c r="AC8090" s="9"/>
      <c r="AD8090" s="9"/>
      <c r="AF8090" s="10"/>
      <c r="AG8090" s="10"/>
      <c r="AH8090" s="10"/>
      <c r="AI8090" s="10"/>
    </row>
    <row r="8091" spans="28:35" ht="15" hidden="1" customHeight="1">
      <c r="AB8091" s="9"/>
      <c r="AC8091" s="9"/>
      <c r="AD8091" s="9"/>
      <c r="AF8091" s="10"/>
      <c r="AG8091" s="10"/>
      <c r="AH8091" s="10"/>
      <c r="AI8091" s="10"/>
    </row>
    <row r="8092" spans="28:35" ht="15" hidden="1" customHeight="1">
      <c r="AB8092" s="9"/>
      <c r="AC8092" s="9"/>
      <c r="AD8092" s="9"/>
      <c r="AF8092" s="10"/>
      <c r="AG8092" s="10"/>
      <c r="AH8092" s="10"/>
      <c r="AI8092" s="10"/>
    </row>
    <row r="8093" spans="28:35" ht="15" hidden="1" customHeight="1">
      <c r="AB8093" s="9"/>
      <c r="AC8093" s="9"/>
      <c r="AD8093" s="9"/>
      <c r="AF8093" s="10"/>
      <c r="AG8093" s="10"/>
      <c r="AH8093" s="10"/>
      <c r="AI8093" s="10"/>
    </row>
    <row r="8094" spans="28:35" ht="15" hidden="1" customHeight="1">
      <c r="AB8094" s="9"/>
      <c r="AC8094" s="9"/>
      <c r="AD8094" s="9"/>
      <c r="AF8094" s="10"/>
      <c r="AG8094" s="10"/>
      <c r="AH8094" s="10"/>
      <c r="AI8094" s="10"/>
    </row>
    <row r="8095" spans="28:35" ht="15" hidden="1" customHeight="1">
      <c r="AB8095" s="9"/>
      <c r="AC8095" s="9"/>
      <c r="AD8095" s="9"/>
      <c r="AF8095" s="10"/>
      <c r="AG8095" s="10"/>
      <c r="AH8095" s="10"/>
      <c r="AI8095" s="10"/>
    </row>
    <row r="8096" spans="28:35" ht="15" hidden="1" customHeight="1">
      <c r="AB8096" s="9"/>
      <c r="AC8096" s="9"/>
      <c r="AD8096" s="9"/>
      <c r="AF8096" s="10"/>
      <c r="AG8096" s="10"/>
      <c r="AH8096" s="10"/>
      <c r="AI8096" s="10"/>
    </row>
    <row r="8097" spans="28:35" ht="15" hidden="1" customHeight="1">
      <c r="AB8097" s="9"/>
      <c r="AC8097" s="9"/>
      <c r="AD8097" s="9"/>
      <c r="AF8097" s="10"/>
      <c r="AG8097" s="10"/>
      <c r="AH8097" s="10"/>
      <c r="AI8097" s="10"/>
    </row>
    <row r="8098" spans="28:35" ht="15" hidden="1" customHeight="1">
      <c r="AB8098" s="9"/>
      <c r="AC8098" s="9"/>
      <c r="AD8098" s="9"/>
      <c r="AF8098" s="10"/>
      <c r="AG8098" s="10"/>
      <c r="AH8098" s="10"/>
      <c r="AI8098" s="10"/>
    </row>
    <row r="8099" spans="28:35" ht="15" hidden="1" customHeight="1">
      <c r="AB8099" s="9"/>
      <c r="AC8099" s="9"/>
      <c r="AD8099" s="9"/>
      <c r="AF8099" s="10"/>
      <c r="AG8099" s="10"/>
      <c r="AH8099" s="10"/>
      <c r="AI8099" s="10"/>
    </row>
    <row r="8100" spans="28:35" ht="15" hidden="1" customHeight="1">
      <c r="AB8100" s="9"/>
      <c r="AC8100" s="9"/>
      <c r="AD8100" s="9"/>
      <c r="AF8100" s="10"/>
      <c r="AG8100" s="10"/>
      <c r="AH8100" s="10"/>
      <c r="AI8100" s="10"/>
    </row>
    <row r="8101" spans="28:35" ht="15" hidden="1" customHeight="1">
      <c r="AB8101" s="9"/>
      <c r="AC8101" s="9"/>
      <c r="AD8101" s="9"/>
      <c r="AF8101" s="10"/>
      <c r="AG8101" s="10"/>
      <c r="AH8101" s="10"/>
      <c r="AI8101" s="10"/>
    </row>
    <row r="8102" spans="28:35" ht="15" hidden="1" customHeight="1">
      <c r="AB8102" s="9"/>
      <c r="AC8102" s="9"/>
      <c r="AD8102" s="9"/>
      <c r="AF8102" s="10"/>
      <c r="AG8102" s="10"/>
      <c r="AH8102" s="10"/>
      <c r="AI8102" s="10"/>
    </row>
    <row r="8103" spans="28:35" ht="15" hidden="1" customHeight="1">
      <c r="AB8103" s="9"/>
      <c r="AC8103" s="9"/>
      <c r="AD8103" s="9"/>
      <c r="AF8103" s="10"/>
      <c r="AG8103" s="10"/>
      <c r="AH8103" s="10"/>
      <c r="AI8103" s="10"/>
    </row>
    <row r="8104" spans="28:35" ht="15" hidden="1" customHeight="1">
      <c r="AB8104" s="9"/>
      <c r="AC8104" s="9"/>
      <c r="AD8104" s="9"/>
      <c r="AF8104" s="10"/>
      <c r="AG8104" s="10"/>
      <c r="AH8104" s="10"/>
      <c r="AI8104" s="10"/>
    </row>
    <row r="8105" spans="28:35" ht="15" hidden="1" customHeight="1">
      <c r="AB8105" s="9"/>
      <c r="AC8105" s="9"/>
      <c r="AD8105" s="9"/>
      <c r="AF8105" s="10"/>
      <c r="AG8105" s="10"/>
      <c r="AH8105" s="10"/>
      <c r="AI8105" s="10"/>
    </row>
    <row r="8106" spans="28:35" ht="15" hidden="1" customHeight="1">
      <c r="AB8106" s="9"/>
      <c r="AC8106" s="9"/>
      <c r="AD8106" s="9"/>
      <c r="AF8106" s="10"/>
      <c r="AG8106" s="10"/>
      <c r="AH8106" s="10"/>
      <c r="AI8106" s="10"/>
    </row>
    <row r="8107" spans="28:35" ht="15" hidden="1" customHeight="1">
      <c r="AB8107" s="9"/>
      <c r="AC8107" s="9"/>
      <c r="AD8107" s="9"/>
      <c r="AF8107" s="10"/>
      <c r="AG8107" s="10"/>
      <c r="AH8107" s="10"/>
      <c r="AI8107" s="10"/>
    </row>
    <row r="8108" spans="28:35" ht="15" hidden="1" customHeight="1">
      <c r="AB8108" s="9"/>
      <c r="AC8108" s="9"/>
      <c r="AD8108" s="9"/>
      <c r="AF8108" s="10"/>
      <c r="AG8108" s="10"/>
      <c r="AH8108" s="10"/>
      <c r="AI8108" s="10"/>
    </row>
    <row r="8109" spans="28:35" ht="15" hidden="1" customHeight="1">
      <c r="AB8109" s="9"/>
      <c r="AC8109" s="9"/>
      <c r="AD8109" s="9"/>
      <c r="AF8109" s="10"/>
      <c r="AG8109" s="10"/>
      <c r="AH8109" s="10"/>
      <c r="AI8109" s="10"/>
    </row>
    <row r="8110" spans="28:35" ht="15" hidden="1" customHeight="1">
      <c r="AB8110" s="9"/>
      <c r="AC8110" s="9"/>
      <c r="AD8110" s="9"/>
      <c r="AF8110" s="10"/>
      <c r="AG8110" s="10"/>
      <c r="AH8110" s="10"/>
      <c r="AI8110" s="10"/>
    </row>
    <row r="8111" spans="28:35" ht="15" hidden="1" customHeight="1">
      <c r="AB8111" s="9"/>
      <c r="AC8111" s="9"/>
      <c r="AD8111" s="9"/>
      <c r="AF8111" s="10"/>
      <c r="AG8111" s="10"/>
      <c r="AH8111" s="10"/>
      <c r="AI8111" s="10"/>
    </row>
    <row r="8112" spans="28:35" ht="15" hidden="1" customHeight="1">
      <c r="AB8112" s="9"/>
      <c r="AC8112" s="9"/>
      <c r="AD8112" s="9"/>
      <c r="AF8112" s="10"/>
      <c r="AG8112" s="10"/>
      <c r="AH8112" s="10"/>
      <c r="AI8112" s="10"/>
    </row>
    <row r="8113" spans="28:35" ht="15" hidden="1" customHeight="1">
      <c r="AB8113" s="9"/>
      <c r="AC8113" s="9"/>
      <c r="AD8113" s="9"/>
      <c r="AF8113" s="10"/>
      <c r="AG8113" s="10"/>
      <c r="AH8113" s="10"/>
      <c r="AI8113" s="10"/>
    </row>
    <row r="8114" spans="28:35" ht="15" hidden="1" customHeight="1">
      <c r="AB8114" s="9"/>
      <c r="AC8114" s="9"/>
      <c r="AD8114" s="9"/>
      <c r="AF8114" s="10"/>
      <c r="AG8114" s="10"/>
      <c r="AH8114" s="10"/>
      <c r="AI8114" s="10"/>
    </row>
    <row r="8115" spans="28:35" ht="15" hidden="1" customHeight="1">
      <c r="AB8115" s="9"/>
      <c r="AC8115" s="9"/>
      <c r="AD8115" s="9"/>
      <c r="AF8115" s="10"/>
      <c r="AG8115" s="10"/>
      <c r="AH8115" s="10"/>
      <c r="AI8115" s="10"/>
    </row>
    <row r="8116" spans="28:35" ht="15" hidden="1" customHeight="1">
      <c r="AB8116" s="9"/>
      <c r="AC8116" s="9"/>
      <c r="AD8116" s="9"/>
      <c r="AF8116" s="10"/>
      <c r="AG8116" s="10"/>
      <c r="AH8116" s="10"/>
      <c r="AI8116" s="10"/>
    </row>
    <row r="8117" spans="28:35" ht="15" hidden="1" customHeight="1">
      <c r="AB8117" s="9"/>
      <c r="AC8117" s="9"/>
      <c r="AD8117" s="9"/>
      <c r="AF8117" s="10"/>
      <c r="AG8117" s="10"/>
      <c r="AH8117" s="10"/>
      <c r="AI8117" s="10"/>
    </row>
    <row r="8118" spans="28:35" ht="15" hidden="1" customHeight="1">
      <c r="AB8118" s="9"/>
      <c r="AC8118" s="9"/>
      <c r="AD8118" s="9"/>
      <c r="AF8118" s="10"/>
      <c r="AG8118" s="10"/>
      <c r="AH8118" s="10"/>
      <c r="AI8118" s="10"/>
    </row>
    <row r="8119" spans="28:35" ht="15" hidden="1" customHeight="1">
      <c r="AB8119" s="9"/>
      <c r="AC8119" s="9"/>
      <c r="AD8119" s="9"/>
      <c r="AF8119" s="10"/>
      <c r="AG8119" s="10"/>
      <c r="AH8119" s="10"/>
      <c r="AI8119" s="10"/>
    </row>
    <row r="8120" spans="28:35" ht="15" hidden="1" customHeight="1">
      <c r="AB8120" s="9"/>
      <c r="AC8120" s="9"/>
      <c r="AD8120" s="9"/>
      <c r="AF8120" s="10"/>
      <c r="AG8120" s="10"/>
      <c r="AH8120" s="10"/>
      <c r="AI8120" s="10"/>
    </row>
    <row r="8121" spans="28:35" ht="15" hidden="1" customHeight="1">
      <c r="AB8121" s="9"/>
      <c r="AC8121" s="9"/>
      <c r="AD8121" s="9"/>
      <c r="AF8121" s="10"/>
      <c r="AG8121" s="10"/>
      <c r="AH8121" s="10"/>
      <c r="AI8121" s="10"/>
    </row>
    <row r="8122" spans="28:35" ht="15" hidden="1" customHeight="1">
      <c r="AB8122" s="9"/>
      <c r="AC8122" s="9"/>
      <c r="AD8122" s="9"/>
      <c r="AF8122" s="10"/>
      <c r="AG8122" s="10"/>
      <c r="AH8122" s="10"/>
      <c r="AI8122" s="10"/>
    </row>
    <row r="8123" spans="28:35" ht="15" hidden="1" customHeight="1">
      <c r="AB8123" s="9"/>
      <c r="AC8123" s="9"/>
      <c r="AD8123" s="9"/>
      <c r="AF8123" s="10"/>
      <c r="AG8123" s="10"/>
      <c r="AH8123" s="10"/>
      <c r="AI8123" s="10"/>
    </row>
    <row r="8124" spans="28:35" ht="15" hidden="1" customHeight="1">
      <c r="AB8124" s="9"/>
      <c r="AC8124" s="9"/>
      <c r="AD8124" s="9"/>
      <c r="AF8124" s="10"/>
      <c r="AG8124" s="10"/>
      <c r="AH8124" s="10"/>
      <c r="AI8124" s="10"/>
    </row>
    <row r="8125" spans="28:35" ht="15" hidden="1" customHeight="1">
      <c r="AB8125" s="9"/>
      <c r="AC8125" s="9"/>
      <c r="AD8125" s="9"/>
      <c r="AF8125" s="10"/>
      <c r="AG8125" s="10"/>
      <c r="AH8125" s="10"/>
      <c r="AI8125" s="10"/>
    </row>
    <row r="8126" spans="28:35" ht="15" hidden="1" customHeight="1">
      <c r="AB8126" s="9"/>
      <c r="AC8126" s="9"/>
      <c r="AD8126" s="9"/>
      <c r="AF8126" s="10"/>
      <c r="AG8126" s="10"/>
      <c r="AH8126" s="10"/>
      <c r="AI8126" s="10"/>
    </row>
    <row r="8127" spans="28:35" ht="15" hidden="1" customHeight="1">
      <c r="AB8127" s="9"/>
      <c r="AC8127" s="9"/>
      <c r="AD8127" s="9"/>
      <c r="AF8127" s="10"/>
      <c r="AG8127" s="10"/>
      <c r="AH8127" s="10"/>
      <c r="AI8127" s="10"/>
    </row>
    <row r="8128" spans="28:35" ht="15" hidden="1" customHeight="1">
      <c r="AB8128" s="9"/>
      <c r="AC8128" s="9"/>
      <c r="AD8128" s="9"/>
      <c r="AF8128" s="10"/>
      <c r="AG8128" s="10"/>
      <c r="AH8128" s="10"/>
      <c r="AI8128" s="10"/>
    </row>
    <row r="8129" spans="28:35" ht="15" hidden="1" customHeight="1">
      <c r="AB8129" s="9"/>
      <c r="AC8129" s="9"/>
      <c r="AD8129" s="9"/>
      <c r="AF8129" s="10"/>
      <c r="AG8129" s="10"/>
      <c r="AH8129" s="10"/>
      <c r="AI8129" s="10"/>
    </row>
    <row r="8130" spans="28:35" ht="15" hidden="1" customHeight="1">
      <c r="AB8130" s="9"/>
      <c r="AC8130" s="9"/>
      <c r="AD8130" s="9"/>
      <c r="AF8130" s="10"/>
      <c r="AG8130" s="10"/>
      <c r="AH8130" s="10"/>
      <c r="AI8130" s="10"/>
    </row>
    <row r="8131" spans="28:35" ht="15" hidden="1" customHeight="1">
      <c r="AB8131" s="9"/>
      <c r="AC8131" s="9"/>
      <c r="AD8131" s="9"/>
      <c r="AF8131" s="10"/>
      <c r="AG8131" s="10"/>
      <c r="AH8131" s="10"/>
      <c r="AI8131" s="10"/>
    </row>
    <row r="8132" spans="28:35" ht="15" hidden="1" customHeight="1">
      <c r="AB8132" s="9"/>
      <c r="AC8132" s="9"/>
      <c r="AD8132" s="9"/>
      <c r="AF8132" s="10"/>
      <c r="AG8132" s="10"/>
      <c r="AH8132" s="10"/>
      <c r="AI8132" s="10"/>
    </row>
    <row r="8133" spans="28:35" ht="15" hidden="1" customHeight="1">
      <c r="AB8133" s="9"/>
      <c r="AC8133" s="9"/>
      <c r="AD8133" s="9"/>
      <c r="AF8133" s="10"/>
      <c r="AG8133" s="10"/>
      <c r="AH8133" s="10"/>
      <c r="AI8133" s="10"/>
    </row>
    <row r="8134" spans="28:35" ht="15" hidden="1" customHeight="1">
      <c r="AB8134" s="9"/>
      <c r="AC8134" s="9"/>
      <c r="AD8134" s="9"/>
      <c r="AF8134" s="10"/>
      <c r="AG8134" s="10"/>
      <c r="AH8134" s="10"/>
      <c r="AI8134" s="10"/>
    </row>
    <row r="8135" spans="28:35" ht="15" hidden="1" customHeight="1">
      <c r="AB8135" s="9"/>
      <c r="AC8135" s="9"/>
      <c r="AD8135" s="9"/>
      <c r="AF8135" s="10"/>
      <c r="AG8135" s="10"/>
      <c r="AH8135" s="10"/>
      <c r="AI8135" s="10"/>
    </row>
    <row r="8136" spans="28:35" ht="15" hidden="1" customHeight="1">
      <c r="AB8136" s="9"/>
      <c r="AC8136" s="9"/>
      <c r="AD8136" s="9"/>
      <c r="AF8136" s="10"/>
      <c r="AG8136" s="10"/>
      <c r="AH8136" s="10"/>
      <c r="AI8136" s="10"/>
    </row>
    <row r="8137" spans="28:35" ht="15" hidden="1" customHeight="1">
      <c r="AB8137" s="9"/>
      <c r="AC8137" s="9"/>
      <c r="AD8137" s="9"/>
      <c r="AF8137" s="10"/>
      <c r="AG8137" s="10"/>
      <c r="AH8137" s="10"/>
      <c r="AI8137" s="10"/>
    </row>
    <row r="8138" spans="28:35" ht="15" hidden="1" customHeight="1">
      <c r="AB8138" s="9"/>
      <c r="AC8138" s="9"/>
      <c r="AD8138" s="9"/>
      <c r="AF8138" s="10"/>
      <c r="AG8138" s="10"/>
      <c r="AH8138" s="10"/>
      <c r="AI8138" s="10"/>
    </row>
    <row r="8139" spans="28:35" ht="15" hidden="1" customHeight="1">
      <c r="AB8139" s="9"/>
      <c r="AC8139" s="9"/>
      <c r="AD8139" s="9"/>
      <c r="AF8139" s="10"/>
      <c r="AG8139" s="10"/>
      <c r="AH8139" s="10"/>
      <c r="AI8139" s="10"/>
    </row>
    <row r="8140" spans="28:35" ht="15" hidden="1" customHeight="1">
      <c r="AB8140" s="9"/>
      <c r="AC8140" s="9"/>
      <c r="AD8140" s="9"/>
      <c r="AF8140" s="10"/>
      <c r="AG8140" s="10"/>
      <c r="AH8140" s="10"/>
      <c r="AI8140" s="10"/>
    </row>
    <row r="8141" spans="28:35" ht="15" hidden="1" customHeight="1">
      <c r="AB8141" s="9"/>
      <c r="AC8141" s="9"/>
      <c r="AD8141" s="9"/>
      <c r="AF8141" s="10"/>
      <c r="AG8141" s="10"/>
      <c r="AH8141" s="10"/>
      <c r="AI8141" s="10"/>
    </row>
    <row r="8142" spans="28:35" ht="15" hidden="1" customHeight="1">
      <c r="AB8142" s="9"/>
      <c r="AC8142" s="9"/>
      <c r="AD8142" s="9"/>
      <c r="AF8142" s="10"/>
      <c r="AG8142" s="10"/>
      <c r="AH8142" s="10"/>
      <c r="AI8142" s="10"/>
    </row>
    <row r="8143" spans="28:35" ht="15" hidden="1" customHeight="1">
      <c r="AB8143" s="9"/>
      <c r="AC8143" s="9"/>
      <c r="AD8143" s="9"/>
      <c r="AF8143" s="10"/>
      <c r="AG8143" s="10"/>
      <c r="AH8143" s="10"/>
      <c r="AI8143" s="10"/>
    </row>
    <row r="8144" spans="28:35" ht="15" hidden="1" customHeight="1">
      <c r="AB8144" s="9"/>
      <c r="AC8144" s="9"/>
      <c r="AD8144" s="9"/>
      <c r="AF8144" s="10"/>
      <c r="AG8144" s="10"/>
      <c r="AH8144" s="10"/>
      <c r="AI8144" s="10"/>
    </row>
    <row r="8145" spans="28:35" ht="15" hidden="1" customHeight="1">
      <c r="AB8145" s="9"/>
      <c r="AC8145" s="9"/>
      <c r="AD8145" s="9"/>
      <c r="AF8145" s="10"/>
      <c r="AG8145" s="10"/>
      <c r="AH8145" s="10"/>
      <c r="AI8145" s="10"/>
    </row>
    <row r="8146" spans="28:35" ht="15" hidden="1" customHeight="1">
      <c r="AB8146" s="9"/>
      <c r="AC8146" s="9"/>
      <c r="AD8146" s="9"/>
      <c r="AF8146" s="10"/>
      <c r="AG8146" s="10"/>
      <c r="AH8146" s="10"/>
      <c r="AI8146" s="10"/>
    </row>
    <row r="8147" spans="28:35" ht="15" hidden="1" customHeight="1">
      <c r="AB8147" s="9"/>
      <c r="AC8147" s="9"/>
      <c r="AD8147" s="9"/>
      <c r="AF8147" s="10"/>
      <c r="AG8147" s="10"/>
      <c r="AH8147" s="10"/>
      <c r="AI8147" s="10"/>
    </row>
    <row r="8148" spans="28:35" ht="15" hidden="1" customHeight="1">
      <c r="AB8148" s="9"/>
      <c r="AC8148" s="9"/>
      <c r="AD8148" s="9"/>
      <c r="AF8148" s="10"/>
      <c r="AG8148" s="10"/>
      <c r="AH8148" s="10"/>
      <c r="AI8148" s="10"/>
    </row>
    <row r="8149" spans="28:35" ht="15" hidden="1" customHeight="1">
      <c r="AB8149" s="9"/>
      <c r="AC8149" s="9"/>
      <c r="AD8149" s="9"/>
      <c r="AF8149" s="10"/>
      <c r="AG8149" s="10"/>
      <c r="AH8149" s="10"/>
      <c r="AI8149" s="10"/>
    </row>
    <row r="8150" spans="28:35" ht="15" hidden="1" customHeight="1">
      <c r="AB8150" s="9"/>
      <c r="AC8150" s="9"/>
      <c r="AD8150" s="9"/>
      <c r="AF8150" s="10"/>
      <c r="AG8150" s="10"/>
      <c r="AH8150" s="10"/>
      <c r="AI8150" s="10"/>
    </row>
    <row r="8151" spans="28:35" ht="15" hidden="1" customHeight="1">
      <c r="AB8151" s="9"/>
      <c r="AC8151" s="9"/>
      <c r="AD8151" s="9"/>
      <c r="AF8151" s="10"/>
      <c r="AG8151" s="10"/>
      <c r="AH8151" s="10"/>
      <c r="AI8151" s="10"/>
    </row>
    <row r="8152" spans="28:35" ht="15" hidden="1" customHeight="1">
      <c r="AB8152" s="9"/>
      <c r="AC8152" s="9"/>
      <c r="AD8152" s="9"/>
      <c r="AF8152" s="10"/>
      <c r="AG8152" s="10"/>
      <c r="AH8152" s="10"/>
      <c r="AI8152" s="10"/>
    </row>
    <row r="8153" spans="28:35" ht="15" hidden="1" customHeight="1">
      <c r="AB8153" s="9"/>
      <c r="AC8153" s="9"/>
      <c r="AD8153" s="9"/>
      <c r="AF8153" s="10"/>
      <c r="AG8153" s="10"/>
      <c r="AH8153" s="10"/>
      <c r="AI8153" s="10"/>
    </row>
    <row r="8154" spans="28:35" ht="15" hidden="1" customHeight="1">
      <c r="AB8154" s="9"/>
      <c r="AC8154" s="9"/>
      <c r="AD8154" s="9"/>
      <c r="AF8154" s="10"/>
      <c r="AG8154" s="10"/>
      <c r="AH8154" s="10"/>
      <c r="AI8154" s="10"/>
    </row>
    <row r="8155" spans="28:35" ht="15" hidden="1" customHeight="1">
      <c r="AB8155" s="9"/>
      <c r="AC8155" s="9"/>
      <c r="AD8155" s="9"/>
      <c r="AF8155" s="10"/>
      <c r="AG8155" s="10"/>
      <c r="AH8155" s="10"/>
      <c r="AI8155" s="10"/>
    </row>
    <row r="8156" spans="28:35" ht="15" hidden="1" customHeight="1">
      <c r="AB8156" s="9"/>
      <c r="AC8156" s="9"/>
      <c r="AD8156" s="9"/>
      <c r="AF8156" s="10"/>
      <c r="AG8156" s="10"/>
      <c r="AH8156" s="10"/>
      <c r="AI8156" s="10"/>
    </row>
    <row r="8157" spans="28:35" ht="15" hidden="1" customHeight="1">
      <c r="AB8157" s="9"/>
      <c r="AC8157" s="9"/>
      <c r="AD8157" s="9"/>
      <c r="AF8157" s="10"/>
      <c r="AG8157" s="10"/>
      <c r="AH8157" s="10"/>
      <c r="AI8157" s="10"/>
    </row>
    <row r="8158" spans="28:35" ht="15" hidden="1" customHeight="1">
      <c r="AB8158" s="9"/>
      <c r="AC8158" s="9"/>
      <c r="AD8158" s="9"/>
      <c r="AF8158" s="10"/>
      <c r="AG8158" s="10"/>
      <c r="AH8158" s="10"/>
      <c r="AI8158" s="10"/>
    </row>
    <row r="8159" spans="28:35" ht="15" hidden="1" customHeight="1">
      <c r="AB8159" s="9"/>
      <c r="AC8159" s="9"/>
      <c r="AD8159" s="9"/>
      <c r="AF8159" s="10"/>
      <c r="AG8159" s="10"/>
      <c r="AH8159" s="10"/>
      <c r="AI8159" s="10"/>
    </row>
    <row r="8160" spans="28:35" ht="15" hidden="1" customHeight="1">
      <c r="AB8160" s="9"/>
      <c r="AC8160" s="9"/>
      <c r="AD8160" s="9"/>
      <c r="AF8160" s="10"/>
      <c r="AG8160" s="10"/>
      <c r="AH8160" s="10"/>
      <c r="AI8160" s="10"/>
    </row>
    <row r="8161" spans="28:35" ht="15" hidden="1" customHeight="1">
      <c r="AB8161" s="9"/>
      <c r="AC8161" s="9"/>
      <c r="AD8161" s="9"/>
      <c r="AF8161" s="10"/>
      <c r="AG8161" s="10"/>
      <c r="AH8161" s="10"/>
      <c r="AI8161" s="10"/>
    </row>
    <row r="8162" spans="28:35" ht="15" hidden="1" customHeight="1">
      <c r="AB8162" s="9"/>
      <c r="AC8162" s="9"/>
      <c r="AD8162" s="9"/>
      <c r="AF8162" s="10"/>
      <c r="AG8162" s="10"/>
      <c r="AH8162" s="10"/>
      <c r="AI8162" s="10"/>
    </row>
    <row r="8163" spans="28:35" ht="15" hidden="1" customHeight="1">
      <c r="AB8163" s="9"/>
      <c r="AC8163" s="9"/>
      <c r="AD8163" s="9"/>
      <c r="AF8163" s="10"/>
      <c r="AG8163" s="10"/>
      <c r="AH8163" s="10"/>
      <c r="AI8163" s="10"/>
    </row>
    <row r="8164" spans="28:35" ht="15" hidden="1" customHeight="1">
      <c r="AB8164" s="9"/>
      <c r="AC8164" s="9"/>
      <c r="AD8164" s="9"/>
      <c r="AF8164" s="10"/>
      <c r="AG8164" s="10"/>
      <c r="AH8164" s="10"/>
      <c r="AI8164" s="10"/>
    </row>
    <row r="8165" spans="28:35" ht="15" hidden="1" customHeight="1">
      <c r="AB8165" s="9"/>
      <c r="AC8165" s="9"/>
      <c r="AD8165" s="9"/>
      <c r="AF8165" s="10"/>
      <c r="AG8165" s="10"/>
      <c r="AH8165" s="10"/>
      <c r="AI8165" s="10"/>
    </row>
    <row r="8166" spans="28:35" ht="15" hidden="1" customHeight="1">
      <c r="AB8166" s="9"/>
      <c r="AC8166" s="9"/>
      <c r="AD8166" s="9"/>
      <c r="AF8166" s="10"/>
      <c r="AG8166" s="10"/>
      <c r="AH8166" s="10"/>
      <c r="AI8166" s="10"/>
    </row>
    <row r="8167" spans="28:35" ht="15" hidden="1" customHeight="1">
      <c r="AB8167" s="9"/>
      <c r="AC8167" s="9"/>
      <c r="AD8167" s="9"/>
      <c r="AF8167" s="10"/>
      <c r="AG8167" s="10"/>
      <c r="AH8167" s="10"/>
      <c r="AI8167" s="10"/>
    </row>
    <row r="8168" spans="28:35" ht="15" hidden="1" customHeight="1">
      <c r="AB8168" s="9"/>
      <c r="AC8168" s="9"/>
      <c r="AD8168" s="9"/>
      <c r="AF8168" s="10"/>
      <c r="AG8168" s="10"/>
      <c r="AH8168" s="10"/>
      <c r="AI8168" s="10"/>
    </row>
    <row r="8169" spans="28:35" ht="15" hidden="1" customHeight="1">
      <c r="AB8169" s="9"/>
      <c r="AC8169" s="9"/>
      <c r="AD8169" s="9"/>
      <c r="AF8169" s="10"/>
      <c r="AG8169" s="10"/>
      <c r="AH8169" s="10"/>
      <c r="AI8169" s="10"/>
    </row>
    <row r="8170" spans="28:35" ht="15" hidden="1" customHeight="1">
      <c r="AB8170" s="9"/>
      <c r="AC8170" s="9"/>
      <c r="AD8170" s="9"/>
      <c r="AF8170" s="10"/>
      <c r="AG8170" s="10"/>
      <c r="AH8170" s="10"/>
      <c r="AI8170" s="10"/>
    </row>
    <row r="8171" spans="28:35" ht="15" hidden="1" customHeight="1">
      <c r="AB8171" s="9"/>
      <c r="AC8171" s="9"/>
      <c r="AD8171" s="9"/>
      <c r="AF8171" s="10"/>
      <c r="AG8171" s="10"/>
      <c r="AH8171" s="10"/>
      <c r="AI8171" s="10"/>
    </row>
    <row r="8172" spans="28:35" ht="15" hidden="1" customHeight="1">
      <c r="AB8172" s="9"/>
      <c r="AC8172" s="9"/>
      <c r="AD8172" s="9"/>
      <c r="AF8172" s="10"/>
      <c r="AG8172" s="10"/>
      <c r="AH8172" s="10"/>
      <c r="AI8172" s="10"/>
    </row>
    <row r="8173" spans="28:35" ht="15" hidden="1" customHeight="1">
      <c r="AB8173" s="9"/>
      <c r="AC8173" s="9"/>
      <c r="AD8173" s="9"/>
      <c r="AF8173" s="10"/>
      <c r="AG8173" s="10"/>
      <c r="AH8173" s="10"/>
      <c r="AI8173" s="10"/>
    </row>
    <row r="8174" spans="28:35" ht="15" hidden="1" customHeight="1">
      <c r="AB8174" s="9"/>
      <c r="AC8174" s="9"/>
      <c r="AD8174" s="9"/>
      <c r="AF8174" s="10"/>
      <c r="AG8174" s="10"/>
      <c r="AH8174" s="10"/>
      <c r="AI8174" s="10"/>
    </row>
    <row r="8175" spans="28:35" ht="15" hidden="1" customHeight="1">
      <c r="AB8175" s="9"/>
      <c r="AC8175" s="9"/>
      <c r="AD8175" s="9"/>
      <c r="AF8175" s="10"/>
      <c r="AG8175" s="10"/>
      <c r="AH8175" s="10"/>
      <c r="AI8175" s="10"/>
    </row>
    <row r="8176" spans="28:35" ht="15" hidden="1" customHeight="1">
      <c r="AB8176" s="9"/>
      <c r="AC8176" s="9"/>
      <c r="AD8176" s="9"/>
      <c r="AF8176" s="10"/>
      <c r="AG8176" s="10"/>
      <c r="AH8176" s="10"/>
      <c r="AI8176" s="10"/>
    </row>
    <row r="8177" spans="28:35" ht="15" hidden="1" customHeight="1">
      <c r="AB8177" s="9"/>
      <c r="AC8177" s="9"/>
      <c r="AD8177" s="9"/>
      <c r="AF8177" s="10"/>
      <c r="AG8177" s="10"/>
      <c r="AH8177" s="10"/>
      <c r="AI8177" s="10"/>
    </row>
    <row r="8178" spans="28:35" ht="15" hidden="1" customHeight="1">
      <c r="AB8178" s="9"/>
      <c r="AC8178" s="9"/>
      <c r="AD8178" s="9"/>
      <c r="AF8178" s="10"/>
      <c r="AG8178" s="10"/>
      <c r="AH8178" s="10"/>
      <c r="AI8178" s="10"/>
    </row>
    <row r="8179" spans="28:35" ht="15" hidden="1" customHeight="1">
      <c r="AB8179" s="9"/>
      <c r="AC8179" s="9"/>
      <c r="AD8179" s="9"/>
      <c r="AF8179" s="10"/>
      <c r="AG8179" s="10"/>
      <c r="AH8179" s="10"/>
      <c r="AI8179" s="10"/>
    </row>
    <row r="8180" spans="28:35" ht="15" hidden="1" customHeight="1">
      <c r="AB8180" s="9"/>
      <c r="AC8180" s="9"/>
      <c r="AD8180" s="9"/>
      <c r="AF8180" s="10"/>
      <c r="AG8180" s="10"/>
      <c r="AH8180" s="10"/>
      <c r="AI8180" s="10"/>
    </row>
    <row r="8181" spans="28:35" ht="15" hidden="1" customHeight="1">
      <c r="AB8181" s="9"/>
      <c r="AC8181" s="9"/>
      <c r="AD8181" s="9"/>
      <c r="AF8181" s="10"/>
      <c r="AG8181" s="10"/>
      <c r="AH8181" s="10"/>
      <c r="AI8181" s="10"/>
    </row>
    <row r="8182" spans="28:35" ht="15" hidden="1" customHeight="1">
      <c r="AB8182" s="9"/>
      <c r="AC8182" s="9"/>
      <c r="AD8182" s="9"/>
      <c r="AF8182" s="10"/>
      <c r="AG8182" s="10"/>
      <c r="AH8182" s="10"/>
      <c r="AI8182" s="10"/>
    </row>
    <row r="8183" spans="28:35" ht="15" hidden="1" customHeight="1">
      <c r="AB8183" s="9"/>
      <c r="AC8183" s="9"/>
      <c r="AD8183" s="9"/>
      <c r="AF8183" s="10"/>
      <c r="AG8183" s="10"/>
      <c r="AH8183" s="10"/>
      <c r="AI8183" s="10"/>
    </row>
    <row r="8184" spans="28:35" ht="15" hidden="1" customHeight="1">
      <c r="AB8184" s="9"/>
      <c r="AC8184" s="9"/>
      <c r="AD8184" s="9"/>
      <c r="AF8184" s="10"/>
      <c r="AG8184" s="10"/>
      <c r="AH8184" s="10"/>
      <c r="AI8184" s="10"/>
    </row>
    <row r="8185" spans="28:35" ht="15" hidden="1" customHeight="1">
      <c r="AB8185" s="9"/>
      <c r="AC8185" s="9"/>
      <c r="AD8185" s="9"/>
      <c r="AF8185" s="10"/>
      <c r="AG8185" s="10"/>
      <c r="AH8185" s="10"/>
      <c r="AI8185" s="10"/>
    </row>
    <row r="8186" spans="28:35" ht="15" hidden="1" customHeight="1">
      <c r="AB8186" s="9"/>
      <c r="AC8186" s="9"/>
      <c r="AD8186" s="9"/>
      <c r="AF8186" s="10"/>
      <c r="AG8186" s="10"/>
      <c r="AH8186" s="10"/>
      <c r="AI8186" s="10"/>
    </row>
    <row r="8187" spans="28:35" ht="15" hidden="1" customHeight="1">
      <c r="AB8187" s="9"/>
      <c r="AC8187" s="9"/>
      <c r="AD8187" s="9"/>
      <c r="AF8187" s="10"/>
      <c r="AG8187" s="10"/>
      <c r="AH8187" s="10"/>
      <c r="AI8187" s="10"/>
    </row>
    <row r="8188" spans="28:35" ht="15" hidden="1" customHeight="1">
      <c r="AB8188" s="9"/>
      <c r="AC8188" s="9"/>
      <c r="AD8188" s="9"/>
      <c r="AF8188" s="10"/>
      <c r="AG8188" s="10"/>
      <c r="AH8188" s="10"/>
      <c r="AI8188" s="10"/>
    </row>
    <row r="8189" spans="28:35" ht="15" hidden="1" customHeight="1">
      <c r="AB8189" s="9"/>
      <c r="AC8189" s="9"/>
      <c r="AD8189" s="9"/>
      <c r="AF8189" s="10"/>
      <c r="AG8189" s="10"/>
      <c r="AH8189" s="10"/>
      <c r="AI8189" s="10"/>
    </row>
    <row r="8190" spans="28:35" ht="15" hidden="1" customHeight="1">
      <c r="AB8190" s="9"/>
      <c r="AC8190" s="9"/>
      <c r="AD8190" s="9"/>
      <c r="AF8190" s="10"/>
      <c r="AG8190" s="10"/>
      <c r="AH8190" s="10"/>
      <c r="AI8190" s="10"/>
    </row>
    <row r="8191" spans="28:35" ht="15" hidden="1" customHeight="1">
      <c r="AB8191" s="9"/>
      <c r="AC8191" s="9"/>
      <c r="AD8191" s="9"/>
      <c r="AF8191" s="10"/>
      <c r="AG8191" s="10"/>
      <c r="AH8191" s="10"/>
      <c r="AI8191" s="10"/>
    </row>
    <row r="8192" spans="28:35" ht="15" hidden="1" customHeight="1">
      <c r="AB8192" s="9"/>
      <c r="AC8192" s="9"/>
      <c r="AD8192" s="9"/>
      <c r="AF8192" s="10"/>
      <c r="AG8192" s="10"/>
      <c r="AH8192" s="10"/>
      <c r="AI8192" s="10"/>
    </row>
    <row r="8193" spans="28:35" ht="15" hidden="1" customHeight="1">
      <c r="AB8193" s="9"/>
      <c r="AC8193" s="9"/>
      <c r="AD8193" s="9"/>
      <c r="AF8193" s="10"/>
      <c r="AG8193" s="10"/>
      <c r="AH8193" s="10"/>
      <c r="AI8193" s="10"/>
    </row>
    <row r="8194" spans="28:35" ht="15" hidden="1" customHeight="1">
      <c r="AB8194" s="9"/>
      <c r="AC8194" s="9"/>
      <c r="AD8194" s="9"/>
      <c r="AF8194" s="10"/>
      <c r="AG8194" s="10"/>
      <c r="AH8194" s="10"/>
      <c r="AI8194" s="10"/>
    </row>
    <row r="8195" spans="28:35" ht="15" hidden="1" customHeight="1">
      <c r="AB8195" s="9"/>
      <c r="AC8195" s="9"/>
      <c r="AD8195" s="9"/>
      <c r="AF8195" s="10"/>
      <c r="AG8195" s="10"/>
      <c r="AH8195" s="10"/>
      <c r="AI8195" s="10"/>
    </row>
    <row r="8196" spans="28:35" ht="15" hidden="1" customHeight="1">
      <c r="AB8196" s="9"/>
      <c r="AC8196" s="9"/>
      <c r="AD8196" s="9"/>
      <c r="AF8196" s="10"/>
      <c r="AG8196" s="10"/>
      <c r="AH8196" s="10"/>
      <c r="AI8196" s="10"/>
    </row>
    <row r="8197" spans="28:35" ht="15" hidden="1" customHeight="1">
      <c r="AB8197" s="9"/>
      <c r="AC8197" s="9"/>
      <c r="AD8197" s="9"/>
      <c r="AF8197" s="10"/>
      <c r="AG8197" s="10"/>
      <c r="AH8197" s="10"/>
      <c r="AI8197" s="10"/>
    </row>
    <row r="8198" spans="28:35" ht="15" hidden="1" customHeight="1">
      <c r="AB8198" s="9"/>
      <c r="AC8198" s="9"/>
      <c r="AD8198" s="9"/>
      <c r="AF8198" s="10"/>
      <c r="AG8198" s="10"/>
      <c r="AH8198" s="10"/>
      <c r="AI8198" s="10"/>
    </row>
    <row r="8199" spans="28:35" ht="15" hidden="1" customHeight="1">
      <c r="AB8199" s="9"/>
      <c r="AC8199" s="9"/>
      <c r="AD8199" s="9"/>
      <c r="AF8199" s="10"/>
      <c r="AG8199" s="10"/>
      <c r="AH8199" s="10"/>
      <c r="AI8199" s="10"/>
    </row>
    <row r="8200" spans="28:35" ht="15" hidden="1" customHeight="1">
      <c r="AB8200" s="9"/>
      <c r="AC8200" s="9"/>
      <c r="AD8200" s="9"/>
      <c r="AF8200" s="10"/>
      <c r="AG8200" s="10"/>
      <c r="AH8200" s="10"/>
      <c r="AI8200" s="10"/>
    </row>
    <row r="8201" spans="28:35" ht="15" hidden="1" customHeight="1">
      <c r="AB8201" s="9"/>
      <c r="AC8201" s="9"/>
      <c r="AD8201" s="9"/>
      <c r="AF8201" s="10"/>
      <c r="AG8201" s="10"/>
      <c r="AH8201" s="10"/>
      <c r="AI8201" s="10"/>
    </row>
    <row r="8202" spans="28:35" ht="15" hidden="1" customHeight="1">
      <c r="AB8202" s="9"/>
      <c r="AC8202" s="9"/>
      <c r="AD8202" s="9"/>
      <c r="AF8202" s="10"/>
      <c r="AG8202" s="10"/>
      <c r="AH8202" s="10"/>
      <c r="AI8202" s="10"/>
    </row>
    <row r="8203" spans="28:35" ht="15" hidden="1" customHeight="1">
      <c r="AB8203" s="9"/>
      <c r="AC8203" s="9"/>
      <c r="AD8203" s="9"/>
      <c r="AF8203" s="10"/>
      <c r="AG8203" s="10"/>
      <c r="AH8203" s="10"/>
      <c r="AI8203" s="10"/>
    </row>
    <row r="8204" spans="28:35" ht="15" hidden="1" customHeight="1">
      <c r="AB8204" s="9"/>
      <c r="AC8204" s="9"/>
      <c r="AD8204" s="9"/>
      <c r="AF8204" s="10"/>
      <c r="AG8204" s="10"/>
      <c r="AH8204" s="10"/>
      <c r="AI8204" s="10"/>
    </row>
    <row r="8205" spans="28:35" ht="15" hidden="1" customHeight="1">
      <c r="AB8205" s="9"/>
      <c r="AC8205" s="9"/>
      <c r="AD8205" s="9"/>
      <c r="AF8205" s="10"/>
      <c r="AG8205" s="10"/>
      <c r="AH8205" s="10"/>
      <c r="AI8205" s="10"/>
    </row>
    <row r="8206" spans="28:35" ht="15" hidden="1" customHeight="1">
      <c r="AB8206" s="9"/>
      <c r="AC8206" s="9"/>
      <c r="AD8206" s="9"/>
      <c r="AF8206" s="10"/>
      <c r="AG8206" s="10"/>
      <c r="AH8206" s="10"/>
      <c r="AI8206" s="10"/>
    </row>
    <row r="8207" spans="28:35" ht="15" hidden="1" customHeight="1">
      <c r="AB8207" s="9"/>
      <c r="AC8207" s="9"/>
      <c r="AD8207" s="9"/>
      <c r="AF8207" s="10"/>
      <c r="AG8207" s="10"/>
      <c r="AH8207" s="10"/>
      <c r="AI8207" s="10"/>
    </row>
    <row r="8208" spans="28:35" ht="15" hidden="1" customHeight="1">
      <c r="AB8208" s="9"/>
      <c r="AC8208" s="9"/>
      <c r="AD8208" s="9"/>
      <c r="AF8208" s="10"/>
      <c r="AG8208" s="10"/>
      <c r="AH8208" s="10"/>
      <c r="AI8208" s="10"/>
    </row>
    <row r="8209" spans="28:35" ht="15" hidden="1" customHeight="1">
      <c r="AB8209" s="9"/>
      <c r="AC8209" s="9"/>
      <c r="AD8209" s="9"/>
      <c r="AF8209" s="10"/>
      <c r="AG8209" s="10"/>
      <c r="AH8209" s="10"/>
      <c r="AI8209" s="10"/>
    </row>
    <row r="8210" spans="28:35" ht="15" hidden="1" customHeight="1">
      <c r="AB8210" s="9"/>
      <c r="AC8210" s="9"/>
      <c r="AD8210" s="9"/>
      <c r="AF8210" s="10"/>
      <c r="AG8210" s="10"/>
      <c r="AH8210" s="10"/>
      <c r="AI8210" s="10"/>
    </row>
    <row r="8211" spans="28:35" ht="15" hidden="1" customHeight="1">
      <c r="AB8211" s="9"/>
      <c r="AC8211" s="9"/>
      <c r="AD8211" s="9"/>
      <c r="AF8211" s="10"/>
      <c r="AG8211" s="10"/>
      <c r="AH8211" s="10"/>
      <c r="AI8211" s="10"/>
    </row>
    <row r="8212" spans="28:35" ht="15" hidden="1" customHeight="1">
      <c r="AB8212" s="9"/>
      <c r="AC8212" s="9"/>
      <c r="AD8212" s="9"/>
      <c r="AF8212" s="10"/>
      <c r="AG8212" s="10"/>
      <c r="AH8212" s="10"/>
      <c r="AI8212" s="10"/>
    </row>
    <row r="8213" spans="28:35" ht="15" hidden="1" customHeight="1">
      <c r="AB8213" s="9"/>
      <c r="AC8213" s="9"/>
      <c r="AD8213" s="9"/>
      <c r="AF8213" s="10"/>
      <c r="AG8213" s="10"/>
      <c r="AH8213" s="10"/>
      <c r="AI8213" s="10"/>
    </row>
    <row r="8214" spans="28:35" ht="15" hidden="1" customHeight="1">
      <c r="AB8214" s="9"/>
      <c r="AC8214" s="9"/>
      <c r="AD8214" s="9"/>
      <c r="AF8214" s="10"/>
      <c r="AG8214" s="10"/>
      <c r="AH8214" s="10"/>
      <c r="AI8214" s="10"/>
    </row>
    <row r="8215" spans="28:35" ht="15" hidden="1" customHeight="1">
      <c r="AB8215" s="9"/>
      <c r="AC8215" s="9"/>
      <c r="AD8215" s="9"/>
      <c r="AF8215" s="10"/>
      <c r="AG8215" s="10"/>
      <c r="AH8215" s="10"/>
      <c r="AI8215" s="10"/>
    </row>
    <row r="8216" spans="28:35" ht="15" hidden="1" customHeight="1">
      <c r="AB8216" s="9"/>
      <c r="AC8216" s="9"/>
      <c r="AD8216" s="9"/>
      <c r="AF8216" s="10"/>
      <c r="AG8216" s="10"/>
      <c r="AH8216" s="10"/>
      <c r="AI8216" s="10"/>
    </row>
    <row r="8217" spans="28:35" ht="15" hidden="1" customHeight="1">
      <c r="AB8217" s="9"/>
      <c r="AC8217" s="9"/>
      <c r="AD8217" s="9"/>
      <c r="AF8217" s="10"/>
      <c r="AG8217" s="10"/>
      <c r="AH8217" s="10"/>
      <c r="AI8217" s="10"/>
    </row>
    <row r="8218" spans="28:35" ht="15" hidden="1" customHeight="1">
      <c r="AB8218" s="9"/>
      <c r="AC8218" s="9"/>
      <c r="AD8218" s="9"/>
      <c r="AF8218" s="10"/>
      <c r="AG8218" s="10"/>
      <c r="AH8218" s="10"/>
      <c r="AI8218" s="10"/>
    </row>
    <row r="8219" spans="28:35" ht="15" hidden="1" customHeight="1">
      <c r="AB8219" s="9"/>
      <c r="AC8219" s="9"/>
      <c r="AD8219" s="9"/>
      <c r="AF8219" s="10"/>
      <c r="AG8219" s="10"/>
      <c r="AH8219" s="10"/>
      <c r="AI8219" s="10"/>
    </row>
    <row r="8220" spans="28:35" ht="15" hidden="1" customHeight="1">
      <c r="AB8220" s="9"/>
      <c r="AC8220" s="9"/>
      <c r="AD8220" s="9"/>
      <c r="AF8220" s="10"/>
      <c r="AG8220" s="10"/>
      <c r="AH8220" s="10"/>
      <c r="AI8220" s="10"/>
    </row>
    <row r="8221" spans="28:35" ht="15" hidden="1" customHeight="1">
      <c r="AB8221" s="9"/>
      <c r="AC8221" s="9"/>
      <c r="AD8221" s="9"/>
      <c r="AF8221" s="10"/>
      <c r="AG8221" s="10"/>
      <c r="AH8221" s="10"/>
      <c r="AI8221" s="10"/>
    </row>
    <row r="8222" spans="28:35" ht="15" hidden="1" customHeight="1">
      <c r="AB8222" s="9"/>
      <c r="AC8222" s="9"/>
      <c r="AD8222" s="9"/>
      <c r="AF8222" s="10"/>
      <c r="AG8222" s="10"/>
      <c r="AH8222" s="10"/>
      <c r="AI8222" s="10"/>
    </row>
    <row r="8223" spans="28:35" ht="15" hidden="1" customHeight="1">
      <c r="AB8223" s="9"/>
      <c r="AC8223" s="9"/>
      <c r="AD8223" s="9"/>
      <c r="AF8223" s="10"/>
      <c r="AG8223" s="10"/>
      <c r="AH8223" s="10"/>
      <c r="AI8223" s="10"/>
    </row>
    <row r="8224" spans="28:35" ht="15" hidden="1" customHeight="1">
      <c r="AB8224" s="9"/>
      <c r="AC8224" s="9"/>
      <c r="AD8224" s="9"/>
      <c r="AF8224" s="10"/>
      <c r="AG8224" s="10"/>
      <c r="AH8224" s="10"/>
      <c r="AI8224" s="10"/>
    </row>
    <row r="8225" spans="28:35" ht="15" hidden="1" customHeight="1">
      <c r="AB8225" s="9"/>
      <c r="AC8225" s="9"/>
      <c r="AD8225" s="9"/>
      <c r="AF8225" s="10"/>
      <c r="AG8225" s="10"/>
      <c r="AH8225" s="10"/>
      <c r="AI8225" s="10"/>
    </row>
    <row r="8226" spans="28:35" ht="15" hidden="1" customHeight="1">
      <c r="AB8226" s="9"/>
      <c r="AC8226" s="9"/>
      <c r="AD8226" s="9"/>
      <c r="AF8226" s="10"/>
      <c r="AG8226" s="10"/>
      <c r="AH8226" s="10"/>
      <c r="AI8226" s="10"/>
    </row>
    <row r="8227" spans="28:35" ht="15" hidden="1" customHeight="1">
      <c r="AB8227" s="9"/>
      <c r="AC8227" s="9"/>
      <c r="AD8227" s="9"/>
      <c r="AF8227" s="10"/>
      <c r="AG8227" s="10"/>
      <c r="AH8227" s="10"/>
      <c r="AI8227" s="10"/>
    </row>
    <row r="8228" spans="28:35" ht="15" hidden="1" customHeight="1">
      <c r="AB8228" s="9"/>
      <c r="AC8228" s="9"/>
      <c r="AD8228" s="9"/>
      <c r="AF8228" s="10"/>
      <c r="AG8228" s="10"/>
      <c r="AH8228" s="10"/>
      <c r="AI8228" s="10"/>
    </row>
    <row r="8229" spans="28:35" ht="15" hidden="1" customHeight="1">
      <c r="AB8229" s="9"/>
      <c r="AC8229" s="9"/>
      <c r="AD8229" s="9"/>
      <c r="AF8229" s="10"/>
      <c r="AG8229" s="10"/>
      <c r="AH8229" s="10"/>
      <c r="AI8229" s="10"/>
    </row>
    <row r="8230" spans="28:35" ht="15" hidden="1" customHeight="1">
      <c r="AB8230" s="9"/>
      <c r="AC8230" s="9"/>
      <c r="AD8230" s="9"/>
      <c r="AF8230" s="10"/>
      <c r="AG8230" s="10"/>
      <c r="AH8230" s="10"/>
      <c r="AI8230" s="10"/>
    </row>
    <row r="8231" spans="28:35" ht="15" hidden="1" customHeight="1">
      <c r="AB8231" s="9"/>
      <c r="AC8231" s="9"/>
      <c r="AD8231" s="9"/>
      <c r="AF8231" s="10"/>
      <c r="AG8231" s="10"/>
      <c r="AH8231" s="10"/>
      <c r="AI8231" s="10"/>
    </row>
    <row r="8232" spans="28:35" ht="15" hidden="1" customHeight="1">
      <c r="AB8232" s="9"/>
      <c r="AC8232" s="9"/>
      <c r="AD8232" s="9"/>
      <c r="AF8232" s="10"/>
      <c r="AG8232" s="10"/>
      <c r="AH8232" s="10"/>
      <c r="AI8232" s="10"/>
    </row>
    <row r="8233" spans="28:35" ht="15" hidden="1" customHeight="1">
      <c r="AB8233" s="9"/>
      <c r="AC8233" s="9"/>
      <c r="AD8233" s="9"/>
      <c r="AF8233" s="10"/>
      <c r="AG8233" s="10"/>
      <c r="AH8233" s="10"/>
      <c r="AI8233" s="10"/>
    </row>
    <row r="8234" spans="28:35" ht="15" hidden="1" customHeight="1">
      <c r="AB8234" s="9"/>
      <c r="AC8234" s="9"/>
      <c r="AD8234" s="9"/>
      <c r="AF8234" s="10"/>
      <c r="AG8234" s="10"/>
      <c r="AH8234" s="10"/>
      <c r="AI8234" s="10"/>
    </row>
    <row r="8235" spans="28:35" ht="15" hidden="1" customHeight="1">
      <c r="AB8235" s="9"/>
      <c r="AC8235" s="9"/>
      <c r="AD8235" s="9"/>
      <c r="AF8235" s="10"/>
      <c r="AG8235" s="10"/>
      <c r="AH8235" s="10"/>
      <c r="AI8235" s="10"/>
    </row>
    <row r="8236" spans="28:35" ht="15" hidden="1" customHeight="1">
      <c r="AB8236" s="9"/>
      <c r="AC8236" s="9"/>
      <c r="AD8236" s="9"/>
      <c r="AF8236" s="10"/>
      <c r="AG8236" s="10"/>
      <c r="AH8236" s="10"/>
      <c r="AI8236" s="10"/>
    </row>
    <row r="8237" spans="28:35" ht="15" hidden="1" customHeight="1">
      <c r="AB8237" s="9"/>
      <c r="AC8237" s="9"/>
      <c r="AD8237" s="9"/>
      <c r="AF8237" s="10"/>
      <c r="AG8237" s="10"/>
      <c r="AH8237" s="10"/>
      <c r="AI8237" s="10"/>
    </row>
    <row r="8238" spans="28:35" ht="15" hidden="1" customHeight="1">
      <c r="AB8238" s="9"/>
      <c r="AC8238" s="9"/>
      <c r="AD8238" s="9"/>
      <c r="AF8238" s="10"/>
      <c r="AG8238" s="10"/>
      <c r="AH8238" s="10"/>
      <c r="AI8238" s="10"/>
    </row>
    <row r="8239" spans="28:35" ht="15" hidden="1" customHeight="1">
      <c r="AB8239" s="9"/>
      <c r="AC8239" s="9"/>
      <c r="AD8239" s="9"/>
      <c r="AF8239" s="10"/>
      <c r="AG8239" s="10"/>
      <c r="AH8239" s="10"/>
      <c r="AI8239" s="10"/>
    </row>
    <row r="8240" spans="28:35" ht="15" hidden="1" customHeight="1">
      <c r="AB8240" s="9"/>
      <c r="AC8240" s="9"/>
      <c r="AD8240" s="9"/>
      <c r="AF8240" s="10"/>
      <c r="AG8240" s="10"/>
      <c r="AH8240" s="10"/>
      <c r="AI8240" s="10"/>
    </row>
    <row r="8241" spans="28:35" ht="15" hidden="1" customHeight="1">
      <c r="AB8241" s="9"/>
      <c r="AC8241" s="9"/>
      <c r="AD8241" s="9"/>
      <c r="AF8241" s="10"/>
      <c r="AG8241" s="10"/>
      <c r="AH8241" s="10"/>
      <c r="AI8241" s="10"/>
    </row>
    <row r="8242" spans="28:35" ht="15" hidden="1" customHeight="1">
      <c r="AB8242" s="9"/>
      <c r="AC8242" s="9"/>
      <c r="AD8242" s="9"/>
      <c r="AF8242" s="10"/>
      <c r="AG8242" s="10"/>
      <c r="AH8242" s="10"/>
      <c r="AI8242" s="10"/>
    </row>
    <row r="8243" spans="28:35" ht="15" hidden="1" customHeight="1">
      <c r="AB8243" s="9"/>
      <c r="AC8243" s="9"/>
      <c r="AD8243" s="9"/>
      <c r="AF8243" s="10"/>
      <c r="AG8243" s="10"/>
      <c r="AH8243" s="10"/>
      <c r="AI8243" s="10"/>
    </row>
    <row r="8244" spans="28:35" ht="15" hidden="1" customHeight="1">
      <c r="AB8244" s="9"/>
      <c r="AC8244" s="9"/>
      <c r="AD8244" s="9"/>
      <c r="AF8244" s="10"/>
      <c r="AG8244" s="10"/>
      <c r="AH8244" s="10"/>
      <c r="AI8244" s="10"/>
    </row>
    <row r="8245" spans="28:35" ht="15" hidden="1" customHeight="1">
      <c r="AB8245" s="9"/>
      <c r="AC8245" s="9"/>
      <c r="AD8245" s="9"/>
      <c r="AF8245" s="10"/>
      <c r="AG8245" s="10"/>
      <c r="AH8245" s="10"/>
      <c r="AI8245" s="10"/>
    </row>
    <row r="8246" spans="28:35" ht="15" hidden="1" customHeight="1">
      <c r="AB8246" s="9"/>
      <c r="AC8246" s="9"/>
      <c r="AD8246" s="9"/>
      <c r="AF8246" s="10"/>
      <c r="AG8246" s="10"/>
      <c r="AH8246" s="10"/>
      <c r="AI8246" s="10"/>
    </row>
    <row r="8247" spans="28:35" ht="15" hidden="1" customHeight="1">
      <c r="AB8247" s="9"/>
      <c r="AC8247" s="9"/>
      <c r="AD8247" s="9"/>
      <c r="AF8247" s="10"/>
      <c r="AG8247" s="10"/>
      <c r="AH8247" s="10"/>
      <c r="AI8247" s="10"/>
    </row>
    <row r="8248" spans="28:35" ht="15" hidden="1" customHeight="1">
      <c r="AB8248" s="9"/>
      <c r="AC8248" s="9"/>
      <c r="AD8248" s="9"/>
      <c r="AF8248" s="10"/>
      <c r="AG8248" s="10"/>
      <c r="AH8248" s="10"/>
      <c r="AI8248" s="10"/>
    </row>
    <row r="8249" spans="28:35" ht="15" hidden="1" customHeight="1">
      <c r="AB8249" s="9"/>
      <c r="AC8249" s="9"/>
      <c r="AD8249" s="9"/>
      <c r="AF8249" s="10"/>
      <c r="AG8249" s="10"/>
      <c r="AH8249" s="10"/>
      <c r="AI8249" s="10"/>
    </row>
    <row r="8250" spans="28:35" ht="15" hidden="1" customHeight="1">
      <c r="AB8250" s="9"/>
      <c r="AC8250" s="9"/>
      <c r="AD8250" s="9"/>
      <c r="AF8250" s="10"/>
      <c r="AG8250" s="10"/>
      <c r="AH8250" s="10"/>
      <c r="AI8250" s="10"/>
    </row>
    <row r="8251" spans="28:35" ht="15" hidden="1" customHeight="1">
      <c r="AB8251" s="9"/>
      <c r="AC8251" s="9"/>
      <c r="AD8251" s="9"/>
      <c r="AF8251" s="10"/>
      <c r="AG8251" s="10"/>
      <c r="AH8251" s="10"/>
      <c r="AI8251" s="10"/>
    </row>
    <row r="8252" spans="28:35" ht="15" hidden="1" customHeight="1">
      <c r="AB8252" s="9"/>
      <c r="AC8252" s="9"/>
      <c r="AD8252" s="9"/>
      <c r="AF8252" s="10"/>
      <c r="AG8252" s="10"/>
      <c r="AH8252" s="10"/>
      <c r="AI8252" s="10"/>
    </row>
    <row r="8253" spans="28:35" ht="15" hidden="1" customHeight="1">
      <c r="AB8253" s="9"/>
      <c r="AC8253" s="9"/>
      <c r="AD8253" s="9"/>
      <c r="AF8253" s="10"/>
      <c r="AG8253" s="10"/>
      <c r="AH8253" s="10"/>
      <c r="AI8253" s="10"/>
    </row>
    <row r="8254" spans="28:35" ht="15" hidden="1" customHeight="1">
      <c r="AB8254" s="9"/>
      <c r="AC8254" s="9"/>
      <c r="AD8254" s="9"/>
      <c r="AF8254" s="10"/>
      <c r="AG8254" s="10"/>
      <c r="AH8254" s="10"/>
      <c r="AI8254" s="10"/>
    </row>
    <row r="8255" spans="28:35" ht="15" hidden="1" customHeight="1">
      <c r="AB8255" s="9"/>
      <c r="AC8255" s="9"/>
      <c r="AD8255" s="9"/>
      <c r="AF8255" s="10"/>
      <c r="AG8255" s="10"/>
      <c r="AH8255" s="10"/>
      <c r="AI8255" s="10"/>
    </row>
    <row r="8256" spans="28:35" ht="15" hidden="1" customHeight="1">
      <c r="AB8256" s="9"/>
      <c r="AC8256" s="9"/>
      <c r="AD8256" s="9"/>
      <c r="AF8256" s="10"/>
      <c r="AG8256" s="10"/>
      <c r="AH8256" s="10"/>
      <c r="AI8256" s="10"/>
    </row>
    <row r="8257" spans="28:35" ht="15" hidden="1" customHeight="1">
      <c r="AB8257" s="9"/>
      <c r="AC8257" s="9"/>
      <c r="AD8257" s="9"/>
      <c r="AF8257" s="10"/>
      <c r="AG8257" s="10"/>
      <c r="AH8257" s="10"/>
      <c r="AI8257" s="10"/>
    </row>
    <row r="8258" spans="28:35" ht="15" hidden="1" customHeight="1">
      <c r="AB8258" s="9"/>
      <c r="AC8258" s="9"/>
      <c r="AD8258" s="9"/>
      <c r="AF8258" s="10"/>
      <c r="AG8258" s="10"/>
      <c r="AH8258" s="10"/>
      <c r="AI8258" s="10"/>
    </row>
    <row r="8259" spans="28:35" ht="15" hidden="1" customHeight="1">
      <c r="AB8259" s="9"/>
      <c r="AC8259" s="9"/>
      <c r="AD8259" s="9"/>
      <c r="AF8259" s="10"/>
      <c r="AG8259" s="10"/>
      <c r="AH8259" s="10"/>
      <c r="AI8259" s="10"/>
    </row>
    <row r="8260" spans="28:35" ht="15" hidden="1" customHeight="1">
      <c r="AB8260" s="9"/>
      <c r="AC8260" s="9"/>
      <c r="AD8260" s="9"/>
      <c r="AF8260" s="10"/>
      <c r="AG8260" s="10"/>
      <c r="AH8260" s="10"/>
      <c r="AI8260" s="10"/>
    </row>
    <row r="8261" spans="28:35" ht="15" hidden="1" customHeight="1">
      <c r="AB8261" s="9"/>
      <c r="AC8261" s="9"/>
      <c r="AD8261" s="9"/>
      <c r="AF8261" s="10"/>
      <c r="AG8261" s="10"/>
      <c r="AH8261" s="10"/>
      <c r="AI8261" s="10"/>
    </row>
    <row r="8262" spans="28:35" ht="15" hidden="1" customHeight="1">
      <c r="AB8262" s="9"/>
      <c r="AC8262" s="9"/>
      <c r="AD8262" s="9"/>
      <c r="AF8262" s="10"/>
      <c r="AG8262" s="10"/>
      <c r="AH8262" s="10"/>
      <c r="AI8262" s="10"/>
    </row>
    <row r="8263" spans="28:35" ht="15" hidden="1" customHeight="1">
      <c r="AB8263" s="9"/>
      <c r="AC8263" s="9"/>
      <c r="AD8263" s="9"/>
      <c r="AF8263" s="10"/>
      <c r="AG8263" s="10"/>
      <c r="AH8263" s="10"/>
      <c r="AI8263" s="10"/>
    </row>
    <row r="8264" spans="28:35" ht="15" hidden="1" customHeight="1">
      <c r="AB8264" s="9"/>
      <c r="AC8264" s="9"/>
      <c r="AD8264" s="9"/>
      <c r="AF8264" s="10"/>
      <c r="AG8264" s="10"/>
      <c r="AH8264" s="10"/>
      <c r="AI8264" s="10"/>
    </row>
    <row r="8265" spans="28:35" ht="15" hidden="1" customHeight="1">
      <c r="AB8265" s="9"/>
      <c r="AC8265" s="9"/>
      <c r="AD8265" s="9"/>
      <c r="AF8265" s="10"/>
      <c r="AG8265" s="10"/>
      <c r="AH8265" s="10"/>
      <c r="AI8265" s="10"/>
    </row>
    <row r="8266" spans="28:35" ht="15" hidden="1" customHeight="1">
      <c r="AB8266" s="9"/>
      <c r="AC8266" s="9"/>
      <c r="AD8266" s="9"/>
      <c r="AF8266" s="10"/>
      <c r="AG8266" s="10"/>
      <c r="AH8266" s="10"/>
      <c r="AI8266" s="10"/>
    </row>
    <row r="8267" spans="28:35" ht="15" hidden="1" customHeight="1">
      <c r="AB8267" s="9"/>
      <c r="AC8267" s="9"/>
      <c r="AD8267" s="9"/>
      <c r="AF8267" s="10"/>
      <c r="AG8267" s="10"/>
      <c r="AH8267" s="10"/>
      <c r="AI8267" s="10"/>
    </row>
    <row r="8268" spans="28:35" ht="15" hidden="1" customHeight="1">
      <c r="AB8268" s="9"/>
      <c r="AC8268" s="9"/>
      <c r="AD8268" s="9"/>
      <c r="AF8268" s="10"/>
      <c r="AG8268" s="10"/>
      <c r="AH8268" s="10"/>
      <c r="AI8268" s="10"/>
    </row>
    <row r="8269" spans="28:35" ht="15" hidden="1" customHeight="1">
      <c r="AB8269" s="9"/>
      <c r="AC8269" s="9"/>
      <c r="AD8269" s="9"/>
      <c r="AF8269" s="10"/>
      <c r="AG8269" s="10"/>
      <c r="AH8269" s="10"/>
      <c r="AI8269" s="10"/>
    </row>
    <row r="8270" spans="28:35" ht="15" hidden="1" customHeight="1">
      <c r="AB8270" s="9"/>
      <c r="AC8270" s="9"/>
      <c r="AD8270" s="9"/>
      <c r="AF8270" s="10"/>
      <c r="AG8270" s="10"/>
      <c r="AH8270" s="10"/>
      <c r="AI8270" s="10"/>
    </row>
    <row r="8271" spans="28:35" ht="15" hidden="1" customHeight="1">
      <c r="AB8271" s="9"/>
      <c r="AC8271" s="9"/>
      <c r="AD8271" s="9"/>
      <c r="AF8271" s="10"/>
      <c r="AG8271" s="10"/>
      <c r="AH8271" s="10"/>
      <c r="AI8271" s="10"/>
    </row>
    <row r="8272" spans="28:35" ht="15" hidden="1" customHeight="1">
      <c r="AB8272" s="9"/>
      <c r="AC8272" s="9"/>
      <c r="AD8272" s="9"/>
      <c r="AF8272" s="10"/>
      <c r="AG8272" s="10"/>
      <c r="AH8272" s="10"/>
      <c r="AI8272" s="10"/>
    </row>
    <row r="8273" spans="28:35" ht="15" hidden="1" customHeight="1">
      <c r="AB8273" s="9"/>
      <c r="AC8273" s="9"/>
      <c r="AD8273" s="9"/>
      <c r="AF8273" s="10"/>
      <c r="AG8273" s="10"/>
      <c r="AH8273" s="10"/>
      <c r="AI8273" s="10"/>
    </row>
    <row r="8274" spans="28:35" ht="15" hidden="1" customHeight="1">
      <c r="AB8274" s="9"/>
      <c r="AC8274" s="9"/>
      <c r="AD8274" s="9"/>
      <c r="AF8274" s="10"/>
      <c r="AG8274" s="10"/>
      <c r="AH8274" s="10"/>
      <c r="AI8274" s="10"/>
    </row>
    <row r="8275" spans="28:35" ht="15" hidden="1" customHeight="1">
      <c r="AB8275" s="9"/>
      <c r="AC8275" s="9"/>
      <c r="AD8275" s="9"/>
      <c r="AF8275" s="10"/>
      <c r="AG8275" s="10"/>
      <c r="AH8275" s="10"/>
      <c r="AI8275" s="10"/>
    </row>
    <row r="8276" spans="28:35" ht="15" hidden="1" customHeight="1">
      <c r="AB8276" s="9"/>
      <c r="AC8276" s="9"/>
      <c r="AD8276" s="9"/>
      <c r="AF8276" s="10"/>
      <c r="AG8276" s="10"/>
      <c r="AH8276" s="10"/>
      <c r="AI8276" s="10"/>
    </row>
    <row r="8277" spans="28:35" ht="15" hidden="1" customHeight="1">
      <c r="AB8277" s="9"/>
      <c r="AC8277" s="9"/>
      <c r="AD8277" s="9"/>
      <c r="AF8277" s="10"/>
      <c r="AG8277" s="10"/>
      <c r="AH8277" s="10"/>
      <c r="AI8277" s="10"/>
    </row>
    <row r="8278" spans="28:35" ht="15" hidden="1" customHeight="1">
      <c r="AB8278" s="9"/>
      <c r="AC8278" s="9"/>
      <c r="AD8278" s="9"/>
      <c r="AF8278" s="10"/>
      <c r="AG8278" s="10"/>
      <c r="AH8278" s="10"/>
      <c r="AI8278" s="10"/>
    </row>
    <row r="8279" spans="28:35" ht="15" hidden="1" customHeight="1">
      <c r="AB8279" s="9"/>
      <c r="AC8279" s="9"/>
      <c r="AD8279" s="9"/>
      <c r="AF8279" s="10"/>
      <c r="AG8279" s="10"/>
      <c r="AH8279" s="10"/>
      <c r="AI8279" s="10"/>
    </row>
    <row r="8280" spans="28:35" ht="15" hidden="1" customHeight="1">
      <c r="AB8280" s="9"/>
      <c r="AC8280" s="9"/>
      <c r="AD8280" s="9"/>
      <c r="AF8280" s="10"/>
      <c r="AG8280" s="10"/>
      <c r="AH8280" s="10"/>
      <c r="AI8280" s="10"/>
    </row>
    <row r="8281" spans="28:35" ht="15" hidden="1" customHeight="1">
      <c r="AB8281" s="9"/>
      <c r="AC8281" s="9"/>
      <c r="AD8281" s="9"/>
      <c r="AF8281" s="10"/>
      <c r="AG8281" s="10"/>
      <c r="AH8281" s="10"/>
      <c r="AI8281" s="10"/>
    </row>
    <row r="8282" spans="28:35" ht="15" hidden="1" customHeight="1">
      <c r="AB8282" s="9"/>
      <c r="AC8282" s="9"/>
      <c r="AD8282" s="9"/>
      <c r="AF8282" s="10"/>
      <c r="AG8282" s="10"/>
      <c r="AH8282" s="10"/>
      <c r="AI8282" s="10"/>
    </row>
    <row r="8283" spans="28:35" ht="15" hidden="1" customHeight="1">
      <c r="AB8283" s="9"/>
      <c r="AC8283" s="9"/>
      <c r="AD8283" s="9"/>
      <c r="AF8283" s="10"/>
      <c r="AG8283" s="10"/>
      <c r="AH8283" s="10"/>
      <c r="AI8283" s="10"/>
    </row>
    <row r="8284" spans="28:35" ht="15" hidden="1" customHeight="1">
      <c r="AB8284" s="9"/>
      <c r="AC8284" s="9"/>
      <c r="AD8284" s="9"/>
      <c r="AF8284" s="10"/>
      <c r="AG8284" s="10"/>
      <c r="AH8284" s="10"/>
      <c r="AI8284" s="10"/>
    </row>
    <row r="8285" spans="28:35" ht="15" hidden="1" customHeight="1">
      <c r="AB8285" s="9"/>
      <c r="AC8285" s="9"/>
      <c r="AD8285" s="9"/>
      <c r="AF8285" s="10"/>
      <c r="AG8285" s="10"/>
      <c r="AH8285" s="10"/>
      <c r="AI8285" s="10"/>
    </row>
    <row r="8286" spans="28:35" ht="15" hidden="1" customHeight="1">
      <c r="AB8286" s="9"/>
      <c r="AC8286" s="9"/>
      <c r="AD8286" s="9"/>
      <c r="AF8286" s="10"/>
      <c r="AG8286" s="10"/>
      <c r="AH8286" s="10"/>
      <c r="AI8286" s="10"/>
    </row>
    <row r="8287" spans="28:35" ht="15" hidden="1" customHeight="1">
      <c r="AB8287" s="9"/>
      <c r="AC8287" s="9"/>
      <c r="AD8287" s="9"/>
      <c r="AF8287" s="10"/>
      <c r="AG8287" s="10"/>
      <c r="AH8287" s="10"/>
      <c r="AI8287" s="10"/>
    </row>
    <row r="8288" spans="28:35" ht="15" hidden="1" customHeight="1">
      <c r="AB8288" s="9"/>
      <c r="AC8288" s="9"/>
      <c r="AD8288" s="9"/>
      <c r="AF8288" s="10"/>
      <c r="AG8288" s="10"/>
      <c r="AH8288" s="10"/>
      <c r="AI8288" s="10"/>
    </row>
    <row r="8289" spans="28:35" ht="15" hidden="1" customHeight="1">
      <c r="AB8289" s="9"/>
      <c r="AC8289" s="9"/>
      <c r="AD8289" s="9"/>
      <c r="AF8289" s="10"/>
      <c r="AG8289" s="10"/>
      <c r="AH8289" s="10"/>
      <c r="AI8289" s="10"/>
    </row>
    <row r="8290" spans="28:35" ht="15" hidden="1" customHeight="1">
      <c r="AB8290" s="9"/>
      <c r="AC8290" s="9"/>
      <c r="AD8290" s="9"/>
      <c r="AF8290" s="10"/>
      <c r="AG8290" s="10"/>
      <c r="AH8290" s="10"/>
      <c r="AI8290" s="10"/>
    </row>
    <row r="8291" spans="28:35" ht="15" hidden="1" customHeight="1">
      <c r="AB8291" s="9"/>
      <c r="AC8291" s="9"/>
      <c r="AD8291" s="9"/>
      <c r="AF8291" s="10"/>
      <c r="AG8291" s="10"/>
      <c r="AH8291" s="10"/>
      <c r="AI8291" s="10"/>
    </row>
    <row r="8292" spans="28:35" ht="15" hidden="1" customHeight="1">
      <c r="AB8292" s="9"/>
      <c r="AC8292" s="9"/>
      <c r="AD8292" s="9"/>
      <c r="AF8292" s="10"/>
      <c r="AG8292" s="10"/>
      <c r="AH8292" s="10"/>
      <c r="AI8292" s="10"/>
    </row>
    <row r="8293" spans="28:35" ht="15" hidden="1" customHeight="1">
      <c r="AB8293" s="9"/>
      <c r="AC8293" s="9"/>
      <c r="AD8293" s="9"/>
      <c r="AF8293" s="10"/>
      <c r="AG8293" s="10"/>
      <c r="AH8293" s="10"/>
      <c r="AI8293" s="10"/>
    </row>
    <row r="8294" spans="28:35" ht="15" hidden="1" customHeight="1">
      <c r="AB8294" s="9"/>
      <c r="AC8294" s="9"/>
      <c r="AD8294" s="9"/>
      <c r="AF8294" s="10"/>
      <c r="AG8294" s="10"/>
      <c r="AH8294" s="10"/>
      <c r="AI8294" s="10"/>
    </row>
    <row r="8295" spans="28:35" ht="15" hidden="1" customHeight="1">
      <c r="AB8295" s="9"/>
      <c r="AC8295" s="9"/>
      <c r="AD8295" s="9"/>
      <c r="AF8295" s="10"/>
      <c r="AG8295" s="10"/>
      <c r="AH8295" s="10"/>
      <c r="AI8295" s="10"/>
    </row>
    <row r="8296" spans="28:35" ht="15" hidden="1" customHeight="1">
      <c r="AB8296" s="9"/>
      <c r="AC8296" s="9"/>
      <c r="AD8296" s="9"/>
      <c r="AF8296" s="10"/>
      <c r="AG8296" s="10"/>
      <c r="AH8296" s="10"/>
      <c r="AI8296" s="10"/>
    </row>
    <row r="8297" spans="28:35" ht="15" hidden="1" customHeight="1">
      <c r="AB8297" s="9"/>
      <c r="AC8297" s="9"/>
      <c r="AD8297" s="9"/>
      <c r="AF8297" s="10"/>
      <c r="AG8297" s="10"/>
      <c r="AH8297" s="10"/>
      <c r="AI8297" s="10"/>
    </row>
    <row r="8298" spans="28:35" ht="15" hidden="1" customHeight="1">
      <c r="AB8298" s="9"/>
      <c r="AC8298" s="9"/>
      <c r="AD8298" s="9"/>
      <c r="AF8298" s="10"/>
      <c r="AG8298" s="10"/>
      <c r="AH8298" s="10"/>
      <c r="AI8298" s="10"/>
    </row>
    <row r="8299" spans="28:35" ht="15" hidden="1" customHeight="1">
      <c r="AB8299" s="9"/>
      <c r="AC8299" s="9"/>
      <c r="AD8299" s="9"/>
      <c r="AF8299" s="10"/>
      <c r="AG8299" s="10"/>
      <c r="AH8299" s="10"/>
      <c r="AI8299" s="10"/>
    </row>
    <row r="8300" spans="28:35" ht="15" hidden="1" customHeight="1">
      <c r="AB8300" s="9"/>
      <c r="AC8300" s="9"/>
      <c r="AD8300" s="9"/>
      <c r="AF8300" s="10"/>
      <c r="AG8300" s="10"/>
      <c r="AH8300" s="10"/>
      <c r="AI8300" s="10"/>
    </row>
    <row r="8301" spans="28:35" ht="15" hidden="1" customHeight="1">
      <c r="AB8301" s="9"/>
      <c r="AC8301" s="9"/>
      <c r="AD8301" s="9"/>
      <c r="AF8301" s="10"/>
      <c r="AG8301" s="10"/>
      <c r="AH8301" s="10"/>
      <c r="AI8301" s="10"/>
    </row>
    <row r="8302" spans="28:35" ht="15" hidden="1" customHeight="1">
      <c r="AB8302" s="9"/>
      <c r="AC8302" s="9"/>
      <c r="AD8302" s="9"/>
      <c r="AF8302" s="10"/>
      <c r="AG8302" s="10"/>
      <c r="AH8302" s="10"/>
      <c r="AI8302" s="10"/>
    </row>
    <row r="8303" spans="28:35" ht="15" hidden="1" customHeight="1">
      <c r="AB8303" s="9"/>
      <c r="AC8303" s="9"/>
      <c r="AD8303" s="9"/>
      <c r="AF8303" s="10"/>
      <c r="AG8303" s="10"/>
      <c r="AH8303" s="10"/>
      <c r="AI8303" s="10"/>
    </row>
    <row r="8304" spans="28:35" ht="15" hidden="1" customHeight="1">
      <c r="AB8304" s="9"/>
      <c r="AC8304" s="9"/>
      <c r="AD8304" s="9"/>
      <c r="AF8304" s="10"/>
      <c r="AG8304" s="10"/>
      <c r="AH8304" s="10"/>
      <c r="AI8304" s="10"/>
    </row>
    <row r="8305" spans="28:35" ht="15" hidden="1" customHeight="1">
      <c r="AB8305" s="9"/>
      <c r="AC8305" s="9"/>
      <c r="AD8305" s="9"/>
      <c r="AF8305" s="10"/>
      <c r="AG8305" s="10"/>
      <c r="AH8305" s="10"/>
      <c r="AI8305" s="10"/>
    </row>
    <row r="8306" spans="28:35" ht="15" hidden="1" customHeight="1">
      <c r="AB8306" s="9"/>
      <c r="AC8306" s="9"/>
      <c r="AD8306" s="9"/>
      <c r="AF8306" s="10"/>
      <c r="AG8306" s="10"/>
      <c r="AH8306" s="10"/>
      <c r="AI8306" s="10"/>
    </row>
    <row r="8307" spans="28:35" ht="15" hidden="1" customHeight="1">
      <c r="AB8307" s="9"/>
      <c r="AC8307" s="9"/>
      <c r="AD8307" s="9"/>
      <c r="AF8307" s="10"/>
      <c r="AG8307" s="10"/>
      <c r="AH8307" s="10"/>
      <c r="AI8307" s="10"/>
    </row>
    <row r="8308" spans="28:35" ht="15" hidden="1" customHeight="1">
      <c r="AB8308" s="9"/>
      <c r="AC8308" s="9"/>
      <c r="AD8308" s="9"/>
      <c r="AF8308" s="10"/>
      <c r="AG8308" s="10"/>
      <c r="AH8308" s="10"/>
      <c r="AI8308" s="10"/>
    </row>
    <row r="8309" spans="28:35" ht="15" hidden="1" customHeight="1">
      <c r="AB8309" s="9"/>
      <c r="AC8309" s="9"/>
      <c r="AD8309" s="9"/>
      <c r="AF8309" s="10"/>
      <c r="AG8309" s="10"/>
      <c r="AH8309" s="10"/>
      <c r="AI8309" s="10"/>
    </row>
    <row r="8310" spans="28:35" ht="15" hidden="1" customHeight="1">
      <c r="AB8310" s="9"/>
      <c r="AC8310" s="9"/>
      <c r="AD8310" s="9"/>
      <c r="AF8310" s="10"/>
      <c r="AG8310" s="10"/>
      <c r="AH8310" s="10"/>
      <c r="AI8310" s="10"/>
    </row>
    <row r="8311" spans="28:35" ht="15" hidden="1" customHeight="1">
      <c r="AB8311" s="9"/>
      <c r="AC8311" s="9"/>
      <c r="AD8311" s="9"/>
      <c r="AF8311" s="10"/>
      <c r="AG8311" s="10"/>
      <c r="AH8311" s="10"/>
      <c r="AI8311" s="10"/>
    </row>
    <row r="8312" spans="28:35" ht="15" hidden="1" customHeight="1">
      <c r="AB8312" s="9"/>
      <c r="AC8312" s="9"/>
      <c r="AD8312" s="9"/>
      <c r="AF8312" s="10"/>
      <c r="AG8312" s="10"/>
      <c r="AH8312" s="10"/>
      <c r="AI8312" s="10"/>
    </row>
    <row r="8313" spans="28:35" ht="15" hidden="1" customHeight="1">
      <c r="AB8313" s="9"/>
      <c r="AC8313" s="9"/>
      <c r="AD8313" s="9"/>
      <c r="AF8313" s="10"/>
      <c r="AG8313" s="10"/>
      <c r="AH8313" s="10"/>
      <c r="AI8313" s="10"/>
    </row>
    <row r="8314" spans="28:35" ht="15" hidden="1" customHeight="1">
      <c r="AB8314" s="9"/>
      <c r="AC8314" s="9"/>
      <c r="AD8314" s="9"/>
      <c r="AF8314" s="10"/>
      <c r="AG8314" s="10"/>
      <c r="AH8314" s="10"/>
      <c r="AI8314" s="10"/>
    </row>
    <row r="8315" spans="28:35" ht="15" hidden="1" customHeight="1">
      <c r="AB8315" s="9"/>
      <c r="AC8315" s="9"/>
      <c r="AD8315" s="9"/>
      <c r="AF8315" s="10"/>
      <c r="AG8315" s="10"/>
      <c r="AH8315" s="10"/>
      <c r="AI8315" s="10"/>
    </row>
    <row r="8316" spans="28:35" ht="15" hidden="1" customHeight="1">
      <c r="AB8316" s="9"/>
      <c r="AC8316" s="9"/>
      <c r="AD8316" s="9"/>
      <c r="AF8316" s="10"/>
      <c r="AG8316" s="10"/>
      <c r="AH8316" s="10"/>
      <c r="AI8316" s="10"/>
    </row>
    <row r="8317" spans="28:35" ht="15" hidden="1" customHeight="1">
      <c r="AB8317" s="9"/>
      <c r="AC8317" s="9"/>
      <c r="AD8317" s="9"/>
      <c r="AF8317" s="10"/>
      <c r="AG8317" s="10"/>
      <c r="AH8317" s="10"/>
      <c r="AI8317" s="10"/>
    </row>
    <row r="8318" spans="28:35" ht="15" hidden="1" customHeight="1">
      <c r="AB8318" s="9"/>
      <c r="AC8318" s="9"/>
      <c r="AD8318" s="9"/>
      <c r="AF8318" s="10"/>
      <c r="AG8318" s="10"/>
      <c r="AH8318" s="10"/>
      <c r="AI8318" s="10"/>
    </row>
    <row r="8319" spans="28:35" ht="15" hidden="1" customHeight="1">
      <c r="AB8319" s="9"/>
      <c r="AC8319" s="9"/>
      <c r="AD8319" s="9"/>
      <c r="AF8319" s="10"/>
      <c r="AG8319" s="10"/>
      <c r="AH8319" s="10"/>
      <c r="AI8319" s="10"/>
    </row>
    <row r="8320" spans="28:35" ht="15" hidden="1" customHeight="1">
      <c r="AB8320" s="9"/>
      <c r="AC8320" s="9"/>
      <c r="AD8320" s="9"/>
      <c r="AF8320" s="10"/>
      <c r="AG8320" s="10"/>
      <c r="AH8320" s="10"/>
      <c r="AI8320" s="10"/>
    </row>
    <row r="8321" spans="28:35" ht="15" hidden="1" customHeight="1">
      <c r="AB8321" s="9"/>
      <c r="AC8321" s="9"/>
      <c r="AD8321" s="9"/>
      <c r="AF8321" s="10"/>
      <c r="AG8321" s="10"/>
      <c r="AH8321" s="10"/>
      <c r="AI8321" s="10"/>
    </row>
    <row r="8322" spans="28:35" ht="15" hidden="1" customHeight="1">
      <c r="AB8322" s="9"/>
      <c r="AC8322" s="9"/>
      <c r="AD8322" s="9"/>
      <c r="AF8322" s="10"/>
      <c r="AG8322" s="10"/>
      <c r="AH8322" s="10"/>
      <c r="AI8322" s="10"/>
    </row>
    <row r="8323" spans="28:35" ht="15" hidden="1" customHeight="1">
      <c r="AB8323" s="9"/>
      <c r="AC8323" s="9"/>
      <c r="AD8323" s="9"/>
      <c r="AF8323" s="10"/>
      <c r="AG8323" s="10"/>
      <c r="AH8323" s="10"/>
      <c r="AI8323" s="10"/>
    </row>
    <row r="8324" spans="28:35" ht="15" hidden="1" customHeight="1">
      <c r="AB8324" s="9"/>
      <c r="AC8324" s="9"/>
      <c r="AD8324" s="9"/>
      <c r="AF8324" s="10"/>
      <c r="AG8324" s="10"/>
      <c r="AH8324" s="10"/>
      <c r="AI8324" s="10"/>
    </row>
    <row r="8325" spans="28:35" ht="15" hidden="1" customHeight="1">
      <c r="AB8325" s="9"/>
      <c r="AC8325" s="9"/>
      <c r="AD8325" s="9"/>
      <c r="AF8325" s="10"/>
      <c r="AG8325" s="10"/>
      <c r="AH8325" s="10"/>
      <c r="AI8325" s="10"/>
    </row>
    <row r="8326" spans="28:35" ht="15" hidden="1" customHeight="1">
      <c r="AB8326" s="9"/>
      <c r="AC8326" s="9"/>
      <c r="AD8326" s="9"/>
      <c r="AF8326" s="10"/>
      <c r="AG8326" s="10"/>
      <c r="AH8326" s="10"/>
      <c r="AI8326" s="10"/>
    </row>
    <row r="8327" spans="28:35" ht="15" hidden="1" customHeight="1">
      <c r="AB8327" s="9"/>
      <c r="AC8327" s="9"/>
      <c r="AD8327" s="9"/>
      <c r="AF8327" s="10"/>
      <c r="AG8327" s="10"/>
      <c r="AH8327" s="10"/>
      <c r="AI8327" s="10"/>
    </row>
    <row r="8328" spans="28:35" ht="15" hidden="1" customHeight="1">
      <c r="AB8328" s="9"/>
      <c r="AC8328" s="9"/>
      <c r="AD8328" s="9"/>
      <c r="AF8328" s="10"/>
      <c r="AG8328" s="10"/>
      <c r="AH8328" s="10"/>
      <c r="AI8328" s="10"/>
    </row>
    <row r="8329" spans="28:35" ht="15" hidden="1" customHeight="1">
      <c r="AB8329" s="9"/>
      <c r="AC8329" s="9"/>
      <c r="AD8329" s="9"/>
      <c r="AF8329" s="10"/>
      <c r="AG8329" s="10"/>
      <c r="AH8329" s="10"/>
      <c r="AI8329" s="10"/>
    </row>
    <row r="8330" spans="28:35" ht="15" hidden="1" customHeight="1">
      <c r="AB8330" s="9"/>
      <c r="AC8330" s="9"/>
      <c r="AD8330" s="9"/>
      <c r="AF8330" s="10"/>
      <c r="AG8330" s="10"/>
      <c r="AH8330" s="10"/>
      <c r="AI8330" s="10"/>
    </row>
    <row r="8331" spans="28:35" ht="15" hidden="1" customHeight="1">
      <c r="AB8331" s="9"/>
      <c r="AC8331" s="9"/>
      <c r="AD8331" s="9"/>
      <c r="AF8331" s="10"/>
      <c r="AG8331" s="10"/>
      <c r="AH8331" s="10"/>
      <c r="AI8331" s="10"/>
    </row>
    <row r="8332" spans="28:35" ht="15" hidden="1" customHeight="1">
      <c r="AB8332" s="9"/>
      <c r="AC8332" s="9"/>
      <c r="AD8332" s="9"/>
      <c r="AF8332" s="10"/>
      <c r="AG8332" s="10"/>
      <c r="AH8332" s="10"/>
      <c r="AI8332" s="10"/>
    </row>
    <row r="8333" spans="28:35" ht="15" hidden="1" customHeight="1">
      <c r="AB8333" s="9"/>
      <c r="AC8333" s="9"/>
      <c r="AD8333" s="9"/>
      <c r="AF8333" s="10"/>
      <c r="AG8333" s="10"/>
      <c r="AH8333" s="10"/>
      <c r="AI8333" s="10"/>
    </row>
    <row r="8334" spans="28:35" ht="15" hidden="1" customHeight="1">
      <c r="AB8334" s="9"/>
      <c r="AC8334" s="9"/>
      <c r="AD8334" s="9"/>
      <c r="AF8334" s="10"/>
      <c r="AG8334" s="10"/>
      <c r="AH8334" s="10"/>
      <c r="AI8334" s="10"/>
    </row>
    <row r="8335" spans="28:35" ht="15" hidden="1" customHeight="1">
      <c r="AB8335" s="9"/>
      <c r="AC8335" s="9"/>
      <c r="AD8335" s="9"/>
      <c r="AF8335" s="10"/>
      <c r="AG8335" s="10"/>
      <c r="AH8335" s="10"/>
      <c r="AI8335" s="10"/>
    </row>
    <row r="8336" spans="28:35" ht="15" hidden="1" customHeight="1">
      <c r="AB8336" s="9"/>
      <c r="AC8336" s="9"/>
      <c r="AD8336" s="9"/>
      <c r="AF8336" s="10"/>
      <c r="AG8336" s="10"/>
      <c r="AH8336" s="10"/>
      <c r="AI8336" s="10"/>
    </row>
    <row r="8337" spans="28:35" ht="15" hidden="1" customHeight="1">
      <c r="AB8337" s="9"/>
      <c r="AC8337" s="9"/>
      <c r="AD8337" s="9"/>
      <c r="AF8337" s="10"/>
      <c r="AG8337" s="10"/>
      <c r="AH8337" s="10"/>
      <c r="AI8337" s="10"/>
    </row>
    <row r="8338" spans="28:35" ht="15" hidden="1" customHeight="1">
      <c r="AB8338" s="9"/>
      <c r="AC8338" s="9"/>
      <c r="AD8338" s="9"/>
      <c r="AF8338" s="10"/>
      <c r="AG8338" s="10"/>
      <c r="AH8338" s="10"/>
      <c r="AI8338" s="10"/>
    </row>
    <row r="8339" spans="28:35" ht="15" hidden="1" customHeight="1">
      <c r="AB8339" s="9"/>
      <c r="AC8339" s="9"/>
      <c r="AD8339" s="9"/>
      <c r="AF8339" s="10"/>
      <c r="AG8339" s="10"/>
      <c r="AH8339" s="10"/>
      <c r="AI8339" s="10"/>
    </row>
    <row r="8340" spans="28:35" ht="15" hidden="1" customHeight="1">
      <c r="AB8340" s="9"/>
      <c r="AC8340" s="9"/>
      <c r="AD8340" s="9"/>
      <c r="AF8340" s="10"/>
      <c r="AG8340" s="10"/>
      <c r="AH8340" s="10"/>
      <c r="AI8340" s="10"/>
    </row>
    <row r="8341" spans="28:35" ht="15" hidden="1" customHeight="1">
      <c r="AB8341" s="9"/>
      <c r="AC8341" s="9"/>
      <c r="AD8341" s="9"/>
      <c r="AF8341" s="10"/>
      <c r="AG8341" s="10"/>
      <c r="AH8341" s="10"/>
      <c r="AI8341" s="10"/>
    </row>
    <row r="8342" spans="28:35" ht="15" hidden="1" customHeight="1">
      <c r="AB8342" s="9"/>
      <c r="AC8342" s="9"/>
      <c r="AD8342" s="9"/>
      <c r="AF8342" s="10"/>
      <c r="AG8342" s="10"/>
      <c r="AH8342" s="10"/>
      <c r="AI8342" s="10"/>
    </row>
    <row r="8343" spans="28:35" ht="15" hidden="1" customHeight="1">
      <c r="AB8343" s="9"/>
      <c r="AC8343" s="9"/>
      <c r="AD8343" s="9"/>
      <c r="AF8343" s="10"/>
      <c r="AG8343" s="10"/>
      <c r="AH8343" s="10"/>
      <c r="AI8343" s="10"/>
    </row>
    <row r="8344" spans="28:35" ht="15" hidden="1" customHeight="1">
      <c r="AB8344" s="9"/>
      <c r="AC8344" s="9"/>
      <c r="AD8344" s="9"/>
      <c r="AF8344" s="10"/>
      <c r="AG8344" s="10"/>
      <c r="AH8344" s="10"/>
      <c r="AI8344" s="10"/>
    </row>
    <row r="8345" spans="28:35" ht="15" hidden="1" customHeight="1">
      <c r="AB8345" s="9"/>
      <c r="AC8345" s="9"/>
      <c r="AD8345" s="9"/>
      <c r="AF8345" s="10"/>
      <c r="AG8345" s="10"/>
      <c r="AH8345" s="10"/>
      <c r="AI8345" s="10"/>
    </row>
    <row r="8346" spans="28:35" ht="15" hidden="1" customHeight="1">
      <c r="AB8346" s="9"/>
      <c r="AC8346" s="9"/>
      <c r="AD8346" s="9"/>
      <c r="AF8346" s="10"/>
      <c r="AG8346" s="10"/>
      <c r="AH8346" s="10"/>
      <c r="AI8346" s="10"/>
    </row>
    <row r="8347" spans="28:35" ht="15" hidden="1" customHeight="1">
      <c r="AB8347" s="9"/>
      <c r="AC8347" s="9"/>
      <c r="AD8347" s="9"/>
      <c r="AF8347" s="10"/>
      <c r="AG8347" s="10"/>
      <c r="AH8347" s="10"/>
      <c r="AI8347" s="10"/>
    </row>
    <row r="8348" spans="28:35" ht="15" hidden="1" customHeight="1">
      <c r="AB8348" s="9"/>
      <c r="AC8348" s="9"/>
      <c r="AD8348" s="9"/>
      <c r="AF8348" s="10"/>
      <c r="AG8348" s="10"/>
      <c r="AH8348" s="10"/>
      <c r="AI8348" s="10"/>
    </row>
    <row r="8349" spans="28:35" ht="15" hidden="1" customHeight="1">
      <c r="AB8349" s="9"/>
      <c r="AC8349" s="9"/>
      <c r="AD8349" s="9"/>
      <c r="AF8349" s="10"/>
      <c r="AG8349" s="10"/>
      <c r="AH8349" s="10"/>
      <c r="AI8349" s="10"/>
    </row>
    <row r="8350" spans="28:35" ht="15" hidden="1" customHeight="1">
      <c r="AB8350" s="9"/>
      <c r="AC8350" s="9"/>
      <c r="AD8350" s="9"/>
      <c r="AF8350" s="10"/>
      <c r="AG8350" s="10"/>
      <c r="AH8350" s="10"/>
      <c r="AI8350" s="10"/>
    </row>
    <row r="8351" spans="28:35" ht="15" hidden="1" customHeight="1">
      <c r="AB8351" s="9"/>
      <c r="AC8351" s="9"/>
      <c r="AD8351" s="9"/>
      <c r="AF8351" s="10"/>
      <c r="AG8351" s="10"/>
      <c r="AH8351" s="10"/>
      <c r="AI8351" s="10"/>
    </row>
    <row r="8352" spans="28:35" ht="15" hidden="1" customHeight="1">
      <c r="AB8352" s="9"/>
      <c r="AC8352" s="9"/>
      <c r="AD8352" s="9"/>
      <c r="AF8352" s="10"/>
      <c r="AG8352" s="10"/>
      <c r="AH8352" s="10"/>
      <c r="AI8352" s="10"/>
    </row>
    <row r="8353" spans="28:35" ht="15" hidden="1" customHeight="1">
      <c r="AB8353" s="9"/>
      <c r="AC8353" s="9"/>
      <c r="AD8353" s="9"/>
      <c r="AF8353" s="10"/>
      <c r="AG8353" s="10"/>
      <c r="AH8353" s="10"/>
      <c r="AI8353" s="10"/>
    </row>
    <row r="8354" spans="28:35" ht="15" hidden="1" customHeight="1">
      <c r="AB8354" s="9"/>
      <c r="AC8354" s="9"/>
      <c r="AD8354" s="9"/>
      <c r="AF8354" s="10"/>
      <c r="AG8354" s="10"/>
      <c r="AH8354" s="10"/>
      <c r="AI8354" s="10"/>
    </row>
    <row r="8355" spans="28:35" ht="15" hidden="1" customHeight="1">
      <c r="AB8355" s="9"/>
      <c r="AC8355" s="9"/>
      <c r="AD8355" s="9"/>
      <c r="AF8355" s="10"/>
      <c r="AG8355" s="10"/>
      <c r="AH8355" s="10"/>
      <c r="AI8355" s="10"/>
    </row>
    <row r="8356" spans="28:35" ht="15" hidden="1" customHeight="1">
      <c r="AB8356" s="9"/>
      <c r="AC8356" s="9"/>
      <c r="AD8356" s="9"/>
      <c r="AF8356" s="10"/>
      <c r="AG8356" s="10"/>
      <c r="AH8356" s="10"/>
      <c r="AI8356" s="10"/>
    </row>
    <row r="8357" spans="28:35" ht="15" hidden="1" customHeight="1">
      <c r="AB8357" s="9"/>
      <c r="AC8357" s="9"/>
      <c r="AD8357" s="9"/>
      <c r="AF8357" s="10"/>
      <c r="AG8357" s="10"/>
      <c r="AH8357" s="10"/>
      <c r="AI8357" s="10"/>
    </row>
    <row r="8358" spans="28:35" ht="15" hidden="1" customHeight="1">
      <c r="AB8358" s="9"/>
      <c r="AC8358" s="9"/>
      <c r="AD8358" s="9"/>
      <c r="AF8358" s="10"/>
      <c r="AG8358" s="10"/>
      <c r="AH8358" s="10"/>
      <c r="AI8358" s="10"/>
    </row>
    <row r="8359" spans="28:35" ht="15" hidden="1" customHeight="1">
      <c r="AB8359" s="9"/>
      <c r="AC8359" s="9"/>
      <c r="AD8359" s="9"/>
      <c r="AF8359" s="10"/>
      <c r="AG8359" s="10"/>
      <c r="AH8359" s="10"/>
      <c r="AI8359" s="10"/>
    </row>
    <row r="8360" spans="28:35" ht="15" hidden="1" customHeight="1">
      <c r="AB8360" s="9"/>
      <c r="AC8360" s="9"/>
      <c r="AD8360" s="9"/>
      <c r="AF8360" s="10"/>
      <c r="AG8360" s="10"/>
      <c r="AH8360" s="10"/>
      <c r="AI8360" s="10"/>
    </row>
    <row r="8361" spans="28:35" ht="15" hidden="1" customHeight="1">
      <c r="AB8361" s="9"/>
      <c r="AC8361" s="9"/>
      <c r="AD8361" s="9"/>
      <c r="AF8361" s="10"/>
      <c r="AG8361" s="10"/>
      <c r="AH8361" s="10"/>
      <c r="AI8361" s="10"/>
    </row>
    <row r="8362" spans="28:35" ht="15" hidden="1" customHeight="1">
      <c r="AB8362" s="9"/>
      <c r="AC8362" s="9"/>
      <c r="AD8362" s="9"/>
      <c r="AF8362" s="10"/>
      <c r="AG8362" s="10"/>
      <c r="AH8362" s="10"/>
      <c r="AI8362" s="10"/>
    </row>
    <row r="8363" spans="28:35" ht="15" hidden="1" customHeight="1">
      <c r="AB8363" s="9"/>
      <c r="AC8363" s="9"/>
      <c r="AD8363" s="9"/>
      <c r="AF8363" s="10"/>
      <c r="AG8363" s="10"/>
      <c r="AH8363" s="10"/>
      <c r="AI8363" s="10"/>
    </row>
    <row r="8364" spans="28:35" ht="15" hidden="1" customHeight="1">
      <c r="AB8364" s="9"/>
      <c r="AC8364" s="9"/>
      <c r="AD8364" s="9"/>
      <c r="AF8364" s="10"/>
      <c r="AG8364" s="10"/>
      <c r="AH8364" s="10"/>
      <c r="AI8364" s="10"/>
    </row>
    <row r="8365" spans="28:35" ht="15" hidden="1" customHeight="1">
      <c r="AB8365" s="9"/>
      <c r="AC8365" s="9"/>
      <c r="AD8365" s="9"/>
      <c r="AF8365" s="10"/>
      <c r="AG8365" s="10"/>
      <c r="AH8365" s="10"/>
      <c r="AI8365" s="10"/>
    </row>
    <row r="8366" spans="28:35" ht="15" hidden="1" customHeight="1">
      <c r="AB8366" s="9"/>
      <c r="AC8366" s="9"/>
      <c r="AD8366" s="9"/>
      <c r="AF8366" s="10"/>
      <c r="AG8366" s="10"/>
      <c r="AH8366" s="10"/>
      <c r="AI8366" s="10"/>
    </row>
    <row r="8367" spans="28:35" ht="15" hidden="1" customHeight="1">
      <c r="AB8367" s="9"/>
      <c r="AC8367" s="9"/>
      <c r="AD8367" s="9"/>
      <c r="AF8367" s="10"/>
      <c r="AG8367" s="10"/>
      <c r="AH8367" s="10"/>
      <c r="AI8367" s="10"/>
    </row>
    <row r="8368" spans="28:35" ht="15" hidden="1" customHeight="1">
      <c r="AB8368" s="9"/>
      <c r="AC8368" s="9"/>
      <c r="AD8368" s="9"/>
      <c r="AF8368" s="10"/>
      <c r="AG8368" s="10"/>
      <c r="AH8368" s="10"/>
      <c r="AI8368" s="10"/>
    </row>
    <row r="8369" spans="28:35" ht="15" hidden="1" customHeight="1">
      <c r="AB8369" s="9"/>
      <c r="AC8369" s="9"/>
      <c r="AD8369" s="9"/>
      <c r="AF8369" s="10"/>
      <c r="AG8369" s="10"/>
      <c r="AH8369" s="10"/>
      <c r="AI8369" s="10"/>
    </row>
    <row r="8370" spans="28:35" ht="15" hidden="1" customHeight="1">
      <c r="AB8370" s="9"/>
      <c r="AC8370" s="9"/>
      <c r="AD8370" s="9"/>
      <c r="AF8370" s="10"/>
      <c r="AG8370" s="10"/>
      <c r="AH8370" s="10"/>
      <c r="AI8370" s="10"/>
    </row>
    <row r="8371" spans="28:35" ht="15" hidden="1" customHeight="1">
      <c r="AB8371" s="9"/>
      <c r="AC8371" s="9"/>
      <c r="AD8371" s="9"/>
      <c r="AF8371" s="10"/>
      <c r="AG8371" s="10"/>
      <c r="AH8371" s="10"/>
      <c r="AI8371" s="10"/>
    </row>
    <row r="8372" spans="28:35" ht="15" hidden="1" customHeight="1">
      <c r="AB8372" s="9"/>
      <c r="AC8372" s="9"/>
      <c r="AD8372" s="9"/>
      <c r="AF8372" s="10"/>
      <c r="AG8372" s="10"/>
      <c r="AH8372" s="10"/>
      <c r="AI8372" s="10"/>
    </row>
    <row r="8373" spans="28:35" ht="15" hidden="1" customHeight="1">
      <c r="AB8373" s="9"/>
      <c r="AC8373" s="9"/>
      <c r="AD8373" s="9"/>
      <c r="AF8373" s="10"/>
      <c r="AG8373" s="10"/>
      <c r="AH8373" s="10"/>
      <c r="AI8373" s="10"/>
    </row>
    <row r="8374" spans="28:35" ht="15" hidden="1" customHeight="1">
      <c r="AB8374" s="9"/>
      <c r="AC8374" s="9"/>
      <c r="AD8374" s="9"/>
      <c r="AF8374" s="10"/>
      <c r="AG8374" s="10"/>
      <c r="AH8374" s="10"/>
      <c r="AI8374" s="10"/>
    </row>
    <row r="8375" spans="28:35" ht="15" hidden="1" customHeight="1">
      <c r="AB8375" s="9"/>
      <c r="AC8375" s="9"/>
      <c r="AD8375" s="9"/>
      <c r="AF8375" s="10"/>
      <c r="AG8375" s="10"/>
      <c r="AH8375" s="10"/>
      <c r="AI8375" s="10"/>
    </row>
    <row r="8376" spans="28:35" ht="15" hidden="1" customHeight="1">
      <c r="AB8376" s="9"/>
      <c r="AC8376" s="9"/>
      <c r="AD8376" s="9"/>
      <c r="AF8376" s="10"/>
      <c r="AG8376" s="10"/>
      <c r="AH8376" s="10"/>
      <c r="AI8376" s="10"/>
    </row>
    <row r="8377" spans="28:35" ht="15" hidden="1" customHeight="1">
      <c r="AB8377" s="9"/>
      <c r="AC8377" s="9"/>
      <c r="AD8377" s="9"/>
      <c r="AF8377" s="10"/>
      <c r="AG8377" s="10"/>
      <c r="AH8377" s="10"/>
      <c r="AI8377" s="10"/>
    </row>
    <row r="8378" spans="28:35" ht="15" hidden="1" customHeight="1">
      <c r="AB8378" s="9"/>
      <c r="AC8378" s="9"/>
      <c r="AD8378" s="9"/>
      <c r="AF8378" s="10"/>
      <c r="AG8378" s="10"/>
      <c r="AH8378" s="10"/>
      <c r="AI8378" s="10"/>
    </row>
    <row r="8379" spans="28:35" ht="15" hidden="1" customHeight="1">
      <c r="AB8379" s="9"/>
      <c r="AC8379" s="9"/>
      <c r="AD8379" s="9"/>
      <c r="AF8379" s="10"/>
      <c r="AG8379" s="10"/>
      <c r="AH8379" s="10"/>
      <c r="AI8379" s="10"/>
    </row>
    <row r="8380" spans="28:35" ht="15" hidden="1" customHeight="1">
      <c r="AB8380" s="9"/>
      <c r="AC8380" s="9"/>
      <c r="AD8380" s="9"/>
      <c r="AF8380" s="10"/>
      <c r="AG8380" s="10"/>
      <c r="AH8380" s="10"/>
      <c r="AI8380" s="10"/>
    </row>
    <row r="8381" spans="28:35" ht="15" hidden="1" customHeight="1">
      <c r="AB8381" s="9"/>
      <c r="AC8381" s="9"/>
      <c r="AD8381" s="9"/>
      <c r="AF8381" s="10"/>
      <c r="AG8381" s="10"/>
      <c r="AH8381" s="10"/>
      <c r="AI8381" s="10"/>
    </row>
    <row r="8382" spans="28:35" ht="15" hidden="1" customHeight="1">
      <c r="AB8382" s="9"/>
      <c r="AC8382" s="9"/>
      <c r="AD8382" s="9"/>
      <c r="AF8382" s="10"/>
      <c r="AG8382" s="10"/>
      <c r="AH8382" s="10"/>
      <c r="AI8382" s="10"/>
    </row>
    <row r="8383" spans="28:35" ht="15" hidden="1" customHeight="1">
      <c r="AB8383" s="9"/>
      <c r="AC8383" s="9"/>
      <c r="AD8383" s="9"/>
      <c r="AF8383" s="10"/>
      <c r="AG8383" s="10"/>
      <c r="AH8383" s="10"/>
      <c r="AI8383" s="10"/>
    </row>
    <row r="8384" spans="28:35" ht="15" hidden="1" customHeight="1">
      <c r="AB8384" s="9"/>
      <c r="AC8384" s="9"/>
      <c r="AD8384" s="9"/>
      <c r="AF8384" s="10"/>
      <c r="AG8384" s="10"/>
      <c r="AH8384" s="10"/>
      <c r="AI8384" s="10"/>
    </row>
    <row r="8385" spans="28:35" ht="15" hidden="1" customHeight="1">
      <c r="AB8385" s="9"/>
      <c r="AC8385" s="9"/>
      <c r="AD8385" s="9"/>
      <c r="AF8385" s="10"/>
      <c r="AG8385" s="10"/>
      <c r="AH8385" s="10"/>
      <c r="AI8385" s="10"/>
    </row>
    <row r="8386" spans="28:35" ht="15" hidden="1" customHeight="1">
      <c r="AB8386" s="9"/>
      <c r="AC8386" s="9"/>
      <c r="AD8386" s="9"/>
      <c r="AF8386" s="10"/>
      <c r="AG8386" s="10"/>
      <c r="AH8386" s="10"/>
      <c r="AI8386" s="10"/>
    </row>
    <row r="8387" spans="28:35" ht="15" hidden="1" customHeight="1">
      <c r="AB8387" s="9"/>
      <c r="AC8387" s="9"/>
      <c r="AD8387" s="9"/>
      <c r="AF8387" s="10"/>
      <c r="AG8387" s="10"/>
      <c r="AH8387" s="10"/>
      <c r="AI8387" s="10"/>
    </row>
    <row r="8388" spans="28:35" ht="15" hidden="1" customHeight="1">
      <c r="AB8388" s="9"/>
      <c r="AC8388" s="9"/>
      <c r="AD8388" s="9"/>
      <c r="AF8388" s="10"/>
      <c r="AG8388" s="10"/>
      <c r="AH8388" s="10"/>
      <c r="AI8388" s="10"/>
    </row>
    <row r="8389" spans="28:35" ht="15" hidden="1" customHeight="1">
      <c r="AB8389" s="9"/>
      <c r="AC8389" s="9"/>
      <c r="AD8389" s="9"/>
      <c r="AF8389" s="10"/>
      <c r="AG8389" s="10"/>
      <c r="AH8389" s="10"/>
      <c r="AI8389" s="10"/>
    </row>
    <row r="8390" spans="28:35" ht="15" hidden="1" customHeight="1">
      <c r="AB8390" s="9"/>
      <c r="AC8390" s="9"/>
      <c r="AD8390" s="9"/>
      <c r="AF8390" s="10"/>
      <c r="AG8390" s="10"/>
      <c r="AH8390" s="10"/>
      <c r="AI8390" s="10"/>
    </row>
    <row r="8391" spans="28:35" ht="15" hidden="1" customHeight="1">
      <c r="AB8391" s="9"/>
      <c r="AC8391" s="9"/>
      <c r="AD8391" s="9"/>
      <c r="AF8391" s="10"/>
      <c r="AG8391" s="10"/>
      <c r="AH8391" s="10"/>
      <c r="AI8391" s="10"/>
    </row>
    <row r="8392" spans="28:35" ht="15" hidden="1" customHeight="1">
      <c r="AB8392" s="9"/>
      <c r="AC8392" s="9"/>
      <c r="AD8392" s="9"/>
      <c r="AF8392" s="10"/>
      <c r="AG8392" s="10"/>
      <c r="AH8392" s="10"/>
      <c r="AI8392" s="10"/>
    </row>
    <row r="8393" spans="28:35" ht="15" hidden="1" customHeight="1">
      <c r="AB8393" s="9"/>
      <c r="AC8393" s="9"/>
      <c r="AD8393" s="9"/>
      <c r="AF8393" s="10"/>
      <c r="AG8393" s="10"/>
      <c r="AH8393" s="10"/>
      <c r="AI8393" s="10"/>
    </row>
    <row r="8394" spans="28:35" ht="15" hidden="1" customHeight="1">
      <c r="AB8394" s="9"/>
      <c r="AC8394" s="9"/>
      <c r="AD8394" s="9"/>
      <c r="AF8394" s="10"/>
      <c r="AG8394" s="10"/>
      <c r="AH8394" s="10"/>
      <c r="AI8394" s="10"/>
    </row>
    <row r="8395" spans="28:35" ht="15" hidden="1" customHeight="1">
      <c r="AB8395" s="9"/>
      <c r="AC8395" s="9"/>
      <c r="AD8395" s="9"/>
      <c r="AF8395" s="10"/>
      <c r="AG8395" s="10"/>
      <c r="AH8395" s="10"/>
      <c r="AI8395" s="10"/>
    </row>
    <row r="8396" spans="28:35" ht="15" hidden="1" customHeight="1">
      <c r="AB8396" s="9"/>
      <c r="AC8396" s="9"/>
      <c r="AD8396" s="9"/>
      <c r="AF8396" s="10"/>
      <c r="AG8396" s="10"/>
      <c r="AH8396" s="10"/>
      <c r="AI8396" s="10"/>
    </row>
    <row r="8397" spans="28:35" ht="15" hidden="1" customHeight="1">
      <c r="AB8397" s="9"/>
      <c r="AC8397" s="9"/>
      <c r="AD8397" s="9"/>
      <c r="AF8397" s="10"/>
      <c r="AG8397" s="10"/>
      <c r="AH8397" s="10"/>
      <c r="AI8397" s="10"/>
    </row>
    <row r="8398" spans="28:35" ht="15" hidden="1" customHeight="1">
      <c r="AB8398" s="9"/>
      <c r="AC8398" s="9"/>
      <c r="AD8398" s="9"/>
      <c r="AF8398" s="10"/>
      <c r="AG8398" s="10"/>
      <c r="AH8398" s="10"/>
      <c r="AI8398" s="10"/>
    </row>
    <row r="8399" spans="28:35" ht="15" hidden="1" customHeight="1">
      <c r="AB8399" s="9"/>
      <c r="AC8399" s="9"/>
      <c r="AD8399" s="9"/>
      <c r="AF8399" s="10"/>
      <c r="AG8399" s="10"/>
      <c r="AH8399" s="10"/>
      <c r="AI8399" s="10"/>
    </row>
    <row r="8400" spans="28:35" ht="15" hidden="1" customHeight="1">
      <c r="AB8400" s="9"/>
      <c r="AC8400" s="9"/>
      <c r="AD8400" s="9"/>
      <c r="AF8400" s="10"/>
      <c r="AG8400" s="10"/>
      <c r="AH8400" s="10"/>
      <c r="AI8400" s="10"/>
    </row>
    <row r="8401" spans="28:35" ht="15" hidden="1" customHeight="1">
      <c r="AB8401" s="9"/>
      <c r="AC8401" s="9"/>
      <c r="AD8401" s="9"/>
      <c r="AF8401" s="10"/>
      <c r="AG8401" s="10"/>
      <c r="AH8401" s="10"/>
      <c r="AI8401" s="10"/>
    </row>
    <row r="8402" spans="28:35" ht="15" hidden="1" customHeight="1">
      <c r="AB8402" s="9"/>
      <c r="AC8402" s="9"/>
      <c r="AD8402" s="9"/>
      <c r="AF8402" s="10"/>
      <c r="AG8402" s="10"/>
      <c r="AH8402" s="10"/>
      <c r="AI8402" s="10"/>
    </row>
    <row r="8403" spans="28:35" ht="15" hidden="1" customHeight="1">
      <c r="AB8403" s="9"/>
      <c r="AC8403" s="9"/>
      <c r="AD8403" s="9"/>
      <c r="AF8403" s="10"/>
      <c r="AG8403" s="10"/>
      <c r="AH8403" s="10"/>
      <c r="AI8403" s="10"/>
    </row>
    <row r="8404" spans="28:35" ht="15" hidden="1" customHeight="1">
      <c r="AB8404" s="9"/>
      <c r="AC8404" s="9"/>
      <c r="AD8404" s="9"/>
      <c r="AF8404" s="10"/>
      <c r="AG8404" s="10"/>
      <c r="AH8404" s="10"/>
      <c r="AI8404" s="10"/>
    </row>
    <row r="8405" spans="28:35" ht="15" hidden="1" customHeight="1">
      <c r="AB8405" s="9"/>
      <c r="AC8405" s="9"/>
      <c r="AD8405" s="9"/>
      <c r="AF8405" s="10"/>
      <c r="AG8405" s="10"/>
      <c r="AH8405" s="10"/>
      <c r="AI8405" s="10"/>
    </row>
    <row r="8406" spans="28:35" ht="15" hidden="1" customHeight="1">
      <c r="AB8406" s="9"/>
      <c r="AC8406" s="9"/>
      <c r="AD8406" s="9"/>
      <c r="AF8406" s="10"/>
      <c r="AG8406" s="10"/>
      <c r="AH8406" s="10"/>
      <c r="AI8406" s="10"/>
    </row>
    <row r="8407" spans="28:35" ht="15" hidden="1" customHeight="1">
      <c r="AB8407" s="9"/>
      <c r="AC8407" s="9"/>
      <c r="AD8407" s="9"/>
      <c r="AF8407" s="10"/>
      <c r="AG8407" s="10"/>
      <c r="AH8407" s="10"/>
      <c r="AI8407" s="10"/>
    </row>
    <row r="8408" spans="28:35" ht="15" hidden="1" customHeight="1">
      <c r="AB8408" s="9"/>
      <c r="AC8408" s="9"/>
      <c r="AD8408" s="9"/>
      <c r="AF8408" s="10"/>
      <c r="AG8408" s="10"/>
      <c r="AH8408" s="10"/>
      <c r="AI8408" s="10"/>
    </row>
    <row r="8409" spans="28:35" ht="15" hidden="1" customHeight="1">
      <c r="AB8409" s="9"/>
      <c r="AC8409" s="9"/>
      <c r="AD8409" s="9"/>
      <c r="AF8409" s="10"/>
      <c r="AG8409" s="10"/>
      <c r="AH8409" s="10"/>
      <c r="AI8409" s="10"/>
    </row>
    <row r="8410" spans="28:35" ht="15" hidden="1" customHeight="1">
      <c r="AB8410" s="9"/>
      <c r="AC8410" s="9"/>
      <c r="AD8410" s="9"/>
      <c r="AF8410" s="10"/>
      <c r="AG8410" s="10"/>
      <c r="AH8410" s="10"/>
      <c r="AI8410" s="10"/>
    </row>
    <row r="8411" spans="28:35" ht="15" hidden="1" customHeight="1">
      <c r="AB8411" s="9"/>
      <c r="AC8411" s="9"/>
      <c r="AD8411" s="9"/>
      <c r="AF8411" s="10"/>
      <c r="AG8411" s="10"/>
      <c r="AH8411" s="10"/>
      <c r="AI8411" s="10"/>
    </row>
    <row r="8412" spans="28:35" ht="15" hidden="1" customHeight="1">
      <c r="AB8412" s="9"/>
      <c r="AC8412" s="9"/>
      <c r="AD8412" s="9"/>
      <c r="AF8412" s="10"/>
      <c r="AG8412" s="10"/>
      <c r="AH8412" s="10"/>
      <c r="AI8412" s="10"/>
    </row>
    <row r="8413" spans="28:35" ht="15" hidden="1" customHeight="1">
      <c r="AB8413" s="9"/>
      <c r="AC8413" s="9"/>
      <c r="AD8413" s="9"/>
      <c r="AF8413" s="10"/>
      <c r="AG8413" s="10"/>
      <c r="AH8413" s="10"/>
      <c r="AI8413" s="10"/>
    </row>
    <row r="8414" spans="28:35" ht="15" hidden="1" customHeight="1">
      <c r="AB8414" s="9"/>
      <c r="AC8414" s="9"/>
      <c r="AD8414" s="9"/>
      <c r="AF8414" s="10"/>
      <c r="AG8414" s="10"/>
      <c r="AH8414" s="10"/>
      <c r="AI8414" s="10"/>
    </row>
    <row r="8415" spans="28:35" ht="15" hidden="1" customHeight="1">
      <c r="AB8415" s="9"/>
      <c r="AC8415" s="9"/>
      <c r="AD8415" s="9"/>
      <c r="AF8415" s="10"/>
      <c r="AG8415" s="10"/>
      <c r="AH8415" s="10"/>
      <c r="AI8415" s="10"/>
    </row>
    <row r="8416" spans="28:35" ht="15" hidden="1" customHeight="1">
      <c r="AB8416" s="9"/>
      <c r="AC8416" s="9"/>
      <c r="AD8416" s="9"/>
      <c r="AF8416" s="10"/>
      <c r="AG8416" s="10"/>
      <c r="AH8416" s="10"/>
      <c r="AI8416" s="10"/>
    </row>
    <row r="8417" spans="28:35" ht="15" hidden="1" customHeight="1">
      <c r="AB8417" s="9"/>
      <c r="AC8417" s="9"/>
      <c r="AD8417" s="9"/>
      <c r="AF8417" s="10"/>
      <c r="AG8417" s="10"/>
      <c r="AH8417" s="10"/>
      <c r="AI8417" s="10"/>
    </row>
    <row r="8418" spans="28:35" ht="15" hidden="1" customHeight="1">
      <c r="AB8418" s="9"/>
      <c r="AC8418" s="9"/>
      <c r="AD8418" s="9"/>
      <c r="AF8418" s="10"/>
      <c r="AG8418" s="10"/>
      <c r="AH8418" s="10"/>
      <c r="AI8418" s="10"/>
    </row>
    <row r="8419" spans="28:35" ht="15" hidden="1" customHeight="1">
      <c r="AB8419" s="9"/>
      <c r="AC8419" s="9"/>
      <c r="AD8419" s="9"/>
      <c r="AF8419" s="10"/>
      <c r="AG8419" s="10"/>
      <c r="AH8419" s="10"/>
      <c r="AI8419" s="10"/>
    </row>
    <row r="8420" spans="28:35" ht="15" hidden="1" customHeight="1">
      <c r="AB8420" s="9"/>
      <c r="AC8420" s="9"/>
      <c r="AD8420" s="9"/>
      <c r="AF8420" s="10"/>
      <c r="AG8420" s="10"/>
      <c r="AH8420" s="10"/>
      <c r="AI8420" s="10"/>
    </row>
    <row r="8421" spans="28:35" ht="15" hidden="1" customHeight="1">
      <c r="AB8421" s="9"/>
      <c r="AC8421" s="9"/>
      <c r="AD8421" s="9"/>
      <c r="AF8421" s="10"/>
      <c r="AG8421" s="10"/>
      <c r="AH8421" s="10"/>
      <c r="AI8421" s="10"/>
    </row>
    <row r="8422" spans="28:35" ht="15" hidden="1" customHeight="1">
      <c r="AB8422" s="9"/>
      <c r="AC8422" s="9"/>
      <c r="AD8422" s="9"/>
      <c r="AF8422" s="10"/>
      <c r="AG8422" s="10"/>
      <c r="AH8422" s="10"/>
      <c r="AI8422" s="10"/>
    </row>
    <row r="8423" spans="28:35" ht="15" hidden="1" customHeight="1">
      <c r="AB8423" s="9"/>
      <c r="AC8423" s="9"/>
      <c r="AD8423" s="9"/>
      <c r="AF8423" s="10"/>
      <c r="AG8423" s="10"/>
      <c r="AH8423" s="10"/>
      <c r="AI8423" s="10"/>
    </row>
    <row r="8424" spans="28:35" ht="15" hidden="1" customHeight="1">
      <c r="AB8424" s="9"/>
      <c r="AC8424" s="9"/>
      <c r="AD8424" s="9"/>
      <c r="AF8424" s="10"/>
      <c r="AG8424" s="10"/>
      <c r="AH8424" s="10"/>
      <c r="AI8424" s="10"/>
    </row>
    <row r="8425" spans="28:35" ht="15" hidden="1" customHeight="1">
      <c r="AB8425" s="9"/>
      <c r="AC8425" s="9"/>
      <c r="AD8425" s="9"/>
      <c r="AF8425" s="10"/>
      <c r="AG8425" s="10"/>
      <c r="AH8425" s="10"/>
      <c r="AI8425" s="10"/>
    </row>
    <row r="8426" spans="28:35" ht="15" hidden="1" customHeight="1">
      <c r="AB8426" s="9"/>
      <c r="AC8426" s="9"/>
      <c r="AD8426" s="9"/>
      <c r="AF8426" s="10"/>
      <c r="AG8426" s="10"/>
      <c r="AH8426" s="10"/>
      <c r="AI8426" s="10"/>
    </row>
    <row r="8427" spans="28:35" ht="15" hidden="1" customHeight="1">
      <c r="AB8427" s="9"/>
      <c r="AC8427" s="9"/>
      <c r="AD8427" s="9"/>
      <c r="AF8427" s="10"/>
      <c r="AG8427" s="10"/>
      <c r="AH8427" s="10"/>
      <c r="AI8427" s="10"/>
    </row>
    <row r="8428" spans="28:35" ht="15" hidden="1" customHeight="1">
      <c r="AB8428" s="9"/>
      <c r="AC8428" s="9"/>
      <c r="AD8428" s="9"/>
      <c r="AF8428" s="10"/>
      <c r="AG8428" s="10"/>
      <c r="AH8428" s="10"/>
      <c r="AI8428" s="10"/>
    </row>
    <row r="8429" spans="28:35" ht="15" hidden="1" customHeight="1">
      <c r="AB8429" s="9"/>
      <c r="AC8429" s="9"/>
      <c r="AD8429" s="9"/>
      <c r="AF8429" s="10"/>
      <c r="AG8429" s="10"/>
      <c r="AH8429" s="10"/>
      <c r="AI8429" s="10"/>
    </row>
    <row r="8430" spans="28:35" ht="15" hidden="1" customHeight="1">
      <c r="AB8430" s="9"/>
      <c r="AC8430" s="9"/>
      <c r="AD8430" s="9"/>
      <c r="AF8430" s="10"/>
      <c r="AG8430" s="10"/>
      <c r="AH8430" s="10"/>
      <c r="AI8430" s="10"/>
    </row>
    <row r="8431" spans="28:35" ht="15" hidden="1" customHeight="1">
      <c r="AB8431" s="9"/>
      <c r="AC8431" s="9"/>
      <c r="AD8431" s="9"/>
      <c r="AF8431" s="10"/>
      <c r="AG8431" s="10"/>
      <c r="AH8431" s="10"/>
      <c r="AI8431" s="10"/>
    </row>
    <row r="8432" spans="28:35" ht="15" hidden="1" customHeight="1">
      <c r="AB8432" s="9"/>
      <c r="AC8432" s="9"/>
      <c r="AD8432" s="9"/>
      <c r="AF8432" s="10"/>
      <c r="AG8432" s="10"/>
      <c r="AH8432" s="10"/>
      <c r="AI8432" s="10"/>
    </row>
    <row r="8433" spans="28:35" ht="15" hidden="1" customHeight="1">
      <c r="AB8433" s="9"/>
      <c r="AC8433" s="9"/>
      <c r="AD8433" s="9"/>
      <c r="AF8433" s="10"/>
      <c r="AG8433" s="10"/>
      <c r="AH8433" s="10"/>
      <c r="AI8433" s="10"/>
    </row>
    <row r="8434" spans="28:35" ht="15" hidden="1" customHeight="1">
      <c r="AB8434" s="9"/>
      <c r="AC8434" s="9"/>
      <c r="AD8434" s="9"/>
      <c r="AF8434" s="10"/>
      <c r="AG8434" s="10"/>
      <c r="AH8434" s="10"/>
      <c r="AI8434" s="10"/>
    </row>
    <row r="8435" spans="28:35" ht="15" hidden="1" customHeight="1">
      <c r="AB8435" s="9"/>
      <c r="AC8435" s="9"/>
      <c r="AD8435" s="9"/>
      <c r="AF8435" s="10"/>
      <c r="AG8435" s="10"/>
      <c r="AH8435" s="10"/>
      <c r="AI8435" s="10"/>
    </row>
    <row r="8436" spans="28:35" ht="15" hidden="1" customHeight="1">
      <c r="AB8436" s="9"/>
      <c r="AC8436" s="9"/>
      <c r="AD8436" s="9"/>
      <c r="AF8436" s="10"/>
      <c r="AG8436" s="10"/>
      <c r="AH8436" s="10"/>
      <c r="AI8436" s="10"/>
    </row>
    <row r="8437" spans="28:35" ht="15" hidden="1" customHeight="1">
      <c r="AB8437" s="9"/>
      <c r="AC8437" s="9"/>
      <c r="AD8437" s="9"/>
      <c r="AF8437" s="10"/>
      <c r="AG8437" s="10"/>
      <c r="AH8437" s="10"/>
      <c r="AI8437" s="10"/>
    </row>
    <row r="8438" spans="28:35" ht="15" hidden="1" customHeight="1">
      <c r="AB8438" s="9"/>
      <c r="AC8438" s="9"/>
      <c r="AD8438" s="9"/>
      <c r="AF8438" s="10"/>
      <c r="AG8438" s="10"/>
      <c r="AH8438" s="10"/>
      <c r="AI8438" s="10"/>
    </row>
    <row r="8439" spans="28:35" ht="15" hidden="1" customHeight="1">
      <c r="AB8439" s="9"/>
      <c r="AC8439" s="9"/>
      <c r="AD8439" s="9"/>
      <c r="AF8439" s="10"/>
      <c r="AG8439" s="10"/>
      <c r="AH8439" s="10"/>
      <c r="AI8439" s="10"/>
    </row>
    <row r="8440" spans="28:35" ht="15" hidden="1" customHeight="1">
      <c r="AB8440" s="9"/>
      <c r="AC8440" s="9"/>
      <c r="AD8440" s="9"/>
      <c r="AF8440" s="10"/>
      <c r="AG8440" s="10"/>
      <c r="AH8440" s="10"/>
      <c r="AI8440" s="10"/>
    </row>
    <row r="8441" spans="28:35" ht="15" hidden="1" customHeight="1">
      <c r="AB8441" s="9"/>
      <c r="AC8441" s="9"/>
      <c r="AD8441" s="9"/>
      <c r="AF8441" s="10"/>
      <c r="AG8441" s="10"/>
      <c r="AH8441" s="10"/>
      <c r="AI8441" s="10"/>
    </row>
    <row r="8442" spans="28:35" ht="15" hidden="1" customHeight="1">
      <c r="AB8442" s="9"/>
      <c r="AC8442" s="9"/>
      <c r="AD8442" s="9"/>
      <c r="AF8442" s="10"/>
      <c r="AG8442" s="10"/>
      <c r="AH8442" s="10"/>
      <c r="AI8442" s="10"/>
    </row>
    <row r="8443" spans="28:35" ht="15" hidden="1" customHeight="1">
      <c r="AB8443" s="9"/>
      <c r="AC8443" s="9"/>
      <c r="AD8443" s="9"/>
      <c r="AF8443" s="10"/>
      <c r="AG8443" s="10"/>
      <c r="AH8443" s="10"/>
      <c r="AI8443" s="10"/>
    </row>
    <row r="8444" spans="28:35" ht="15" hidden="1" customHeight="1">
      <c r="AB8444" s="9"/>
      <c r="AC8444" s="9"/>
      <c r="AD8444" s="9"/>
      <c r="AF8444" s="10"/>
      <c r="AG8444" s="10"/>
      <c r="AH8444" s="10"/>
      <c r="AI8444" s="10"/>
    </row>
    <row r="8445" spans="28:35" ht="15" hidden="1" customHeight="1">
      <c r="AB8445" s="9"/>
      <c r="AC8445" s="9"/>
      <c r="AD8445" s="9"/>
      <c r="AF8445" s="10"/>
      <c r="AG8445" s="10"/>
      <c r="AH8445" s="10"/>
      <c r="AI8445" s="10"/>
    </row>
    <row r="8446" spans="28:35" ht="15" hidden="1" customHeight="1">
      <c r="AB8446" s="9"/>
      <c r="AC8446" s="9"/>
      <c r="AD8446" s="9"/>
      <c r="AF8446" s="10"/>
      <c r="AG8446" s="10"/>
      <c r="AH8446" s="10"/>
      <c r="AI8446" s="10"/>
    </row>
    <row r="8447" spans="28:35" ht="15" hidden="1" customHeight="1">
      <c r="AB8447" s="9"/>
      <c r="AC8447" s="9"/>
      <c r="AD8447" s="9"/>
      <c r="AF8447" s="10"/>
      <c r="AG8447" s="10"/>
      <c r="AH8447" s="10"/>
      <c r="AI8447" s="10"/>
    </row>
    <row r="8448" spans="28:35" ht="15" hidden="1" customHeight="1">
      <c r="AB8448" s="9"/>
      <c r="AC8448" s="9"/>
      <c r="AD8448" s="9"/>
      <c r="AF8448" s="10"/>
      <c r="AG8448" s="10"/>
      <c r="AH8448" s="10"/>
      <c r="AI8448" s="10"/>
    </row>
    <row r="8449" spans="28:35" ht="15" hidden="1" customHeight="1">
      <c r="AB8449" s="9"/>
      <c r="AC8449" s="9"/>
      <c r="AD8449" s="9"/>
      <c r="AF8449" s="10"/>
      <c r="AG8449" s="10"/>
      <c r="AH8449" s="10"/>
      <c r="AI8449" s="10"/>
    </row>
    <row r="8450" spans="28:35" ht="15" hidden="1" customHeight="1">
      <c r="AB8450" s="9"/>
      <c r="AC8450" s="9"/>
      <c r="AD8450" s="9"/>
      <c r="AF8450" s="10"/>
      <c r="AG8450" s="10"/>
      <c r="AH8450" s="10"/>
      <c r="AI8450" s="10"/>
    </row>
    <row r="8451" spans="28:35" ht="15" hidden="1" customHeight="1">
      <c r="AB8451" s="9"/>
      <c r="AC8451" s="9"/>
      <c r="AD8451" s="9"/>
      <c r="AF8451" s="10"/>
      <c r="AG8451" s="10"/>
      <c r="AH8451" s="10"/>
      <c r="AI8451" s="10"/>
    </row>
    <row r="8452" spans="28:35" ht="15" hidden="1" customHeight="1">
      <c r="AB8452" s="9"/>
      <c r="AC8452" s="9"/>
      <c r="AD8452" s="9"/>
      <c r="AF8452" s="10"/>
      <c r="AG8452" s="10"/>
      <c r="AH8452" s="10"/>
      <c r="AI8452" s="10"/>
    </row>
    <row r="8453" spans="28:35" ht="15" hidden="1" customHeight="1">
      <c r="AB8453" s="9"/>
      <c r="AC8453" s="9"/>
      <c r="AD8453" s="9"/>
      <c r="AF8453" s="10"/>
      <c r="AG8453" s="10"/>
      <c r="AH8453" s="10"/>
      <c r="AI8453" s="10"/>
    </row>
    <row r="8454" spans="28:35" ht="15" hidden="1" customHeight="1">
      <c r="AB8454" s="9"/>
      <c r="AC8454" s="9"/>
      <c r="AD8454" s="9"/>
      <c r="AF8454" s="10"/>
      <c r="AG8454" s="10"/>
      <c r="AH8454" s="10"/>
      <c r="AI8454" s="10"/>
    </row>
    <row r="8455" spans="28:35" ht="15" hidden="1" customHeight="1">
      <c r="AB8455" s="9"/>
      <c r="AC8455" s="9"/>
      <c r="AD8455" s="9"/>
      <c r="AF8455" s="10"/>
      <c r="AG8455" s="10"/>
      <c r="AH8455" s="10"/>
      <c r="AI8455" s="10"/>
    </row>
    <row r="8456" spans="28:35" ht="15" hidden="1" customHeight="1">
      <c r="AB8456" s="9"/>
      <c r="AC8456" s="9"/>
      <c r="AD8456" s="9"/>
      <c r="AF8456" s="10"/>
      <c r="AG8456" s="10"/>
      <c r="AH8456" s="10"/>
      <c r="AI8456" s="10"/>
    </row>
    <row r="8457" spans="28:35" ht="15" hidden="1" customHeight="1">
      <c r="AB8457" s="9"/>
      <c r="AC8457" s="9"/>
      <c r="AD8457" s="9"/>
      <c r="AF8457" s="10"/>
      <c r="AG8457" s="10"/>
      <c r="AH8457" s="10"/>
      <c r="AI8457" s="10"/>
    </row>
    <row r="8458" spans="28:35" ht="15" hidden="1" customHeight="1">
      <c r="AB8458" s="9"/>
      <c r="AC8458" s="9"/>
      <c r="AD8458" s="9"/>
      <c r="AF8458" s="10"/>
      <c r="AG8458" s="10"/>
      <c r="AH8458" s="10"/>
      <c r="AI8458" s="10"/>
    </row>
    <row r="8459" spans="28:35" ht="15" hidden="1" customHeight="1">
      <c r="AB8459" s="9"/>
      <c r="AC8459" s="9"/>
      <c r="AD8459" s="9"/>
      <c r="AF8459" s="10"/>
      <c r="AG8459" s="10"/>
      <c r="AH8459" s="10"/>
      <c r="AI8459" s="10"/>
    </row>
    <row r="8460" spans="28:35" ht="15" hidden="1" customHeight="1">
      <c r="AB8460" s="9"/>
      <c r="AC8460" s="9"/>
      <c r="AD8460" s="9"/>
      <c r="AF8460" s="10"/>
      <c r="AG8460" s="10"/>
      <c r="AH8460" s="10"/>
      <c r="AI8460" s="10"/>
    </row>
    <row r="8461" spans="28:35" ht="15" hidden="1" customHeight="1">
      <c r="AB8461" s="9"/>
      <c r="AC8461" s="9"/>
      <c r="AD8461" s="9"/>
      <c r="AF8461" s="10"/>
      <c r="AG8461" s="10"/>
      <c r="AH8461" s="10"/>
      <c r="AI8461" s="10"/>
    </row>
    <row r="8462" spans="28:35" ht="15" hidden="1" customHeight="1">
      <c r="AB8462" s="9"/>
      <c r="AC8462" s="9"/>
      <c r="AD8462" s="9"/>
      <c r="AF8462" s="10"/>
      <c r="AG8462" s="10"/>
      <c r="AH8462" s="10"/>
      <c r="AI8462" s="10"/>
    </row>
    <row r="8463" spans="28:35" ht="15" hidden="1" customHeight="1">
      <c r="AB8463" s="9"/>
      <c r="AC8463" s="9"/>
      <c r="AD8463" s="9"/>
      <c r="AF8463" s="10"/>
      <c r="AG8463" s="10"/>
      <c r="AH8463" s="10"/>
      <c r="AI8463" s="10"/>
    </row>
    <row r="8464" spans="28:35" ht="15" hidden="1" customHeight="1">
      <c r="AB8464" s="9"/>
      <c r="AC8464" s="9"/>
      <c r="AD8464" s="9"/>
      <c r="AF8464" s="10"/>
      <c r="AG8464" s="10"/>
      <c r="AH8464" s="10"/>
      <c r="AI8464" s="10"/>
    </row>
    <row r="8465" spans="28:35" ht="15" hidden="1" customHeight="1">
      <c r="AB8465" s="9"/>
      <c r="AC8465" s="9"/>
      <c r="AD8465" s="9"/>
      <c r="AF8465" s="10"/>
      <c r="AG8465" s="10"/>
      <c r="AH8465" s="10"/>
      <c r="AI8465" s="10"/>
    </row>
    <row r="8466" spans="28:35" ht="15" hidden="1" customHeight="1">
      <c r="AB8466" s="9"/>
      <c r="AC8466" s="9"/>
      <c r="AD8466" s="9"/>
      <c r="AF8466" s="10"/>
      <c r="AG8466" s="10"/>
      <c r="AH8466" s="10"/>
      <c r="AI8466" s="10"/>
    </row>
    <row r="8467" spans="28:35" ht="15" hidden="1" customHeight="1">
      <c r="AB8467" s="9"/>
      <c r="AC8467" s="9"/>
      <c r="AD8467" s="9"/>
      <c r="AF8467" s="10"/>
      <c r="AG8467" s="10"/>
      <c r="AH8467" s="10"/>
      <c r="AI8467" s="10"/>
    </row>
    <row r="8468" spans="28:35" ht="15" hidden="1" customHeight="1">
      <c r="AB8468" s="9"/>
      <c r="AC8468" s="9"/>
      <c r="AD8468" s="9"/>
      <c r="AF8468" s="10"/>
      <c r="AG8468" s="10"/>
      <c r="AH8468" s="10"/>
      <c r="AI8468" s="10"/>
    </row>
    <row r="8469" spans="28:35" ht="15" hidden="1" customHeight="1">
      <c r="AB8469" s="9"/>
      <c r="AC8469" s="9"/>
      <c r="AD8469" s="9"/>
      <c r="AF8469" s="10"/>
      <c r="AG8469" s="10"/>
      <c r="AH8469" s="10"/>
      <c r="AI8469" s="10"/>
    </row>
    <row r="8470" spans="28:35" ht="15" hidden="1" customHeight="1">
      <c r="AB8470" s="9"/>
      <c r="AC8470" s="9"/>
      <c r="AD8470" s="9"/>
      <c r="AF8470" s="10"/>
      <c r="AG8470" s="10"/>
      <c r="AH8470" s="10"/>
      <c r="AI8470" s="10"/>
    </row>
    <row r="8471" spans="28:35" ht="15" hidden="1" customHeight="1">
      <c r="AB8471" s="9"/>
      <c r="AC8471" s="9"/>
      <c r="AD8471" s="9"/>
      <c r="AF8471" s="10"/>
      <c r="AG8471" s="10"/>
      <c r="AH8471" s="10"/>
      <c r="AI8471" s="10"/>
    </row>
    <row r="8472" spans="28:35" ht="15" hidden="1" customHeight="1">
      <c r="AB8472" s="9"/>
      <c r="AC8472" s="9"/>
      <c r="AD8472" s="9"/>
      <c r="AF8472" s="10"/>
      <c r="AG8472" s="10"/>
      <c r="AH8472" s="10"/>
      <c r="AI8472" s="10"/>
    </row>
    <row r="8473" spans="28:35" ht="15" hidden="1" customHeight="1">
      <c r="AB8473" s="9"/>
      <c r="AC8473" s="9"/>
      <c r="AD8473" s="9"/>
      <c r="AF8473" s="10"/>
      <c r="AG8473" s="10"/>
      <c r="AH8473" s="10"/>
      <c r="AI8473" s="10"/>
    </row>
    <row r="8474" spans="28:35" ht="15" hidden="1" customHeight="1">
      <c r="AB8474" s="9"/>
      <c r="AC8474" s="9"/>
      <c r="AD8474" s="9"/>
      <c r="AF8474" s="10"/>
      <c r="AG8474" s="10"/>
      <c r="AH8474" s="10"/>
      <c r="AI8474" s="10"/>
    </row>
    <row r="8475" spans="28:35" ht="15" hidden="1" customHeight="1">
      <c r="AB8475" s="9"/>
      <c r="AC8475" s="9"/>
      <c r="AD8475" s="9"/>
      <c r="AF8475" s="10"/>
      <c r="AG8475" s="10"/>
      <c r="AH8475" s="10"/>
      <c r="AI8475" s="10"/>
    </row>
    <row r="8476" spans="28:35" ht="15" hidden="1" customHeight="1">
      <c r="AB8476" s="9"/>
      <c r="AC8476" s="9"/>
      <c r="AD8476" s="9"/>
      <c r="AF8476" s="10"/>
      <c r="AG8476" s="10"/>
      <c r="AH8476" s="10"/>
      <c r="AI8476" s="10"/>
    </row>
    <row r="8477" spans="28:35" ht="15" hidden="1" customHeight="1">
      <c r="AB8477" s="9"/>
      <c r="AC8477" s="9"/>
      <c r="AD8477" s="9"/>
      <c r="AF8477" s="10"/>
      <c r="AG8477" s="10"/>
      <c r="AH8477" s="10"/>
      <c r="AI8477" s="10"/>
    </row>
    <row r="8478" spans="28:35" ht="15" hidden="1" customHeight="1">
      <c r="AB8478" s="9"/>
      <c r="AC8478" s="9"/>
      <c r="AD8478" s="9"/>
      <c r="AF8478" s="10"/>
      <c r="AG8478" s="10"/>
      <c r="AH8478" s="10"/>
      <c r="AI8478" s="10"/>
    </row>
    <row r="8479" spans="28:35" ht="15" hidden="1" customHeight="1">
      <c r="AB8479" s="9"/>
      <c r="AC8479" s="9"/>
      <c r="AD8479" s="9"/>
      <c r="AF8479" s="10"/>
      <c r="AG8479" s="10"/>
      <c r="AH8479" s="10"/>
      <c r="AI8479" s="10"/>
    </row>
    <row r="8480" spans="28:35" ht="15" hidden="1" customHeight="1">
      <c r="AB8480" s="9"/>
      <c r="AC8480" s="9"/>
      <c r="AD8480" s="9"/>
      <c r="AF8480" s="10"/>
      <c r="AG8480" s="10"/>
      <c r="AH8480" s="10"/>
      <c r="AI8480" s="10"/>
    </row>
    <row r="8481" spans="28:35" ht="15" hidden="1" customHeight="1">
      <c r="AB8481" s="9"/>
      <c r="AC8481" s="9"/>
      <c r="AD8481" s="9"/>
      <c r="AF8481" s="10"/>
      <c r="AG8481" s="10"/>
      <c r="AH8481" s="10"/>
      <c r="AI8481" s="10"/>
    </row>
    <row r="8482" spans="28:35" ht="15" hidden="1" customHeight="1">
      <c r="AB8482" s="9"/>
      <c r="AC8482" s="9"/>
      <c r="AD8482" s="9"/>
      <c r="AF8482" s="10"/>
      <c r="AG8482" s="10"/>
      <c r="AH8482" s="10"/>
      <c r="AI8482" s="10"/>
    </row>
    <row r="8483" spans="28:35" ht="15" hidden="1" customHeight="1">
      <c r="AB8483" s="9"/>
      <c r="AC8483" s="9"/>
      <c r="AD8483" s="9"/>
      <c r="AF8483" s="10"/>
      <c r="AG8483" s="10"/>
      <c r="AH8483" s="10"/>
      <c r="AI8483" s="10"/>
    </row>
    <row r="8484" spans="28:35" ht="15" hidden="1" customHeight="1">
      <c r="AB8484" s="9"/>
      <c r="AC8484" s="9"/>
      <c r="AD8484" s="9"/>
      <c r="AF8484" s="10"/>
      <c r="AG8484" s="10"/>
      <c r="AH8484" s="10"/>
      <c r="AI8484" s="10"/>
    </row>
    <row r="8485" spans="28:35" ht="15" hidden="1" customHeight="1">
      <c r="AB8485" s="9"/>
      <c r="AC8485" s="9"/>
      <c r="AD8485" s="9"/>
      <c r="AF8485" s="10"/>
      <c r="AG8485" s="10"/>
      <c r="AH8485" s="10"/>
      <c r="AI8485" s="10"/>
    </row>
    <row r="8486" spans="28:35" ht="15" hidden="1" customHeight="1">
      <c r="AB8486" s="9"/>
      <c r="AC8486" s="9"/>
      <c r="AD8486" s="9"/>
      <c r="AF8486" s="10"/>
      <c r="AG8486" s="10"/>
      <c r="AH8486" s="10"/>
      <c r="AI8486" s="10"/>
    </row>
    <row r="8487" spans="28:35" ht="15" hidden="1" customHeight="1">
      <c r="AB8487" s="9"/>
      <c r="AC8487" s="9"/>
      <c r="AD8487" s="9"/>
      <c r="AF8487" s="10"/>
      <c r="AG8487" s="10"/>
      <c r="AH8487" s="10"/>
      <c r="AI8487" s="10"/>
    </row>
    <row r="8488" spans="28:35" ht="15" hidden="1" customHeight="1">
      <c r="AB8488" s="9"/>
      <c r="AC8488" s="9"/>
      <c r="AD8488" s="9"/>
      <c r="AF8488" s="10"/>
      <c r="AG8488" s="10"/>
      <c r="AH8488" s="10"/>
      <c r="AI8488" s="10"/>
    </row>
    <row r="8489" spans="28:35" ht="15" hidden="1" customHeight="1">
      <c r="AB8489" s="9"/>
      <c r="AC8489" s="9"/>
      <c r="AD8489" s="9"/>
      <c r="AF8489" s="10"/>
      <c r="AG8489" s="10"/>
      <c r="AH8489" s="10"/>
      <c r="AI8489" s="10"/>
    </row>
    <row r="8490" spans="28:35" ht="15" hidden="1" customHeight="1">
      <c r="AB8490" s="9"/>
      <c r="AC8490" s="9"/>
      <c r="AD8490" s="9"/>
      <c r="AF8490" s="10"/>
      <c r="AG8490" s="10"/>
      <c r="AH8490" s="10"/>
      <c r="AI8490" s="10"/>
    </row>
    <row r="8491" spans="28:35" ht="15" hidden="1" customHeight="1">
      <c r="AB8491" s="9"/>
      <c r="AC8491" s="9"/>
      <c r="AD8491" s="9"/>
      <c r="AF8491" s="10"/>
      <c r="AG8491" s="10"/>
      <c r="AH8491" s="10"/>
      <c r="AI8491" s="10"/>
    </row>
    <row r="8492" spans="28:35" ht="15" hidden="1" customHeight="1">
      <c r="AB8492" s="9"/>
      <c r="AC8492" s="9"/>
      <c r="AD8492" s="9"/>
      <c r="AF8492" s="10"/>
      <c r="AG8492" s="10"/>
      <c r="AH8492" s="10"/>
      <c r="AI8492" s="10"/>
    </row>
    <row r="8493" spans="28:35" ht="15" hidden="1" customHeight="1">
      <c r="AB8493" s="9"/>
      <c r="AC8493" s="9"/>
      <c r="AD8493" s="9"/>
      <c r="AF8493" s="10"/>
      <c r="AG8493" s="10"/>
      <c r="AH8493" s="10"/>
      <c r="AI8493" s="10"/>
    </row>
    <row r="8494" spans="28:35" ht="15" hidden="1" customHeight="1">
      <c r="AB8494" s="9"/>
      <c r="AC8494" s="9"/>
      <c r="AD8494" s="9"/>
      <c r="AF8494" s="10"/>
      <c r="AG8494" s="10"/>
      <c r="AH8494" s="10"/>
      <c r="AI8494" s="10"/>
    </row>
    <row r="8495" spans="28:35" ht="15" hidden="1" customHeight="1">
      <c r="AB8495" s="9"/>
      <c r="AC8495" s="9"/>
      <c r="AD8495" s="9"/>
      <c r="AF8495" s="10"/>
      <c r="AG8495" s="10"/>
      <c r="AH8495" s="10"/>
      <c r="AI8495" s="10"/>
    </row>
    <row r="8496" spans="28:35" ht="15" hidden="1" customHeight="1">
      <c r="AB8496" s="9"/>
      <c r="AC8496" s="9"/>
      <c r="AD8496" s="9"/>
      <c r="AF8496" s="10"/>
      <c r="AG8496" s="10"/>
      <c r="AH8496" s="10"/>
      <c r="AI8496" s="10"/>
    </row>
    <row r="8497" spans="28:35" ht="15" hidden="1" customHeight="1">
      <c r="AB8497" s="9"/>
      <c r="AC8497" s="9"/>
      <c r="AD8497" s="9"/>
      <c r="AF8497" s="10"/>
      <c r="AG8497" s="10"/>
      <c r="AH8497" s="10"/>
      <c r="AI8497" s="10"/>
    </row>
    <row r="8498" spans="28:35" ht="15" hidden="1" customHeight="1">
      <c r="AB8498" s="9"/>
      <c r="AC8498" s="9"/>
      <c r="AD8498" s="9"/>
      <c r="AF8498" s="10"/>
      <c r="AG8498" s="10"/>
      <c r="AH8498" s="10"/>
      <c r="AI8498" s="10"/>
    </row>
    <row r="8499" spans="28:35" ht="15" hidden="1" customHeight="1">
      <c r="AB8499" s="9"/>
      <c r="AC8499" s="9"/>
      <c r="AD8499" s="9"/>
      <c r="AF8499" s="10"/>
      <c r="AG8499" s="10"/>
      <c r="AH8499" s="10"/>
      <c r="AI8499" s="10"/>
    </row>
    <row r="8500" spans="28:35" ht="15" hidden="1" customHeight="1">
      <c r="AB8500" s="9"/>
      <c r="AC8500" s="9"/>
      <c r="AD8500" s="9"/>
      <c r="AF8500" s="10"/>
      <c r="AG8500" s="10"/>
      <c r="AH8500" s="10"/>
      <c r="AI8500" s="10"/>
    </row>
    <row r="8501" spans="28:35" ht="15" hidden="1" customHeight="1">
      <c r="AB8501" s="9"/>
      <c r="AC8501" s="9"/>
      <c r="AD8501" s="9"/>
      <c r="AF8501" s="10"/>
      <c r="AG8501" s="10"/>
      <c r="AH8501" s="10"/>
      <c r="AI8501" s="10"/>
    </row>
    <row r="8502" spans="28:35" ht="15" hidden="1" customHeight="1">
      <c r="AB8502" s="9"/>
      <c r="AC8502" s="9"/>
      <c r="AD8502" s="9"/>
      <c r="AF8502" s="10"/>
      <c r="AG8502" s="10"/>
      <c r="AH8502" s="10"/>
      <c r="AI8502" s="10"/>
    </row>
    <row r="8503" spans="28:35" ht="15" hidden="1" customHeight="1">
      <c r="AB8503" s="9"/>
      <c r="AC8503" s="9"/>
      <c r="AD8503" s="9"/>
      <c r="AF8503" s="10"/>
      <c r="AG8503" s="10"/>
      <c r="AH8503" s="10"/>
      <c r="AI8503" s="10"/>
    </row>
    <row r="8504" spans="28:35" ht="15" hidden="1" customHeight="1">
      <c r="AB8504" s="9"/>
      <c r="AC8504" s="9"/>
      <c r="AD8504" s="9"/>
      <c r="AF8504" s="10"/>
      <c r="AG8504" s="10"/>
      <c r="AH8504" s="10"/>
      <c r="AI8504" s="10"/>
    </row>
    <row r="8505" spans="28:35" ht="15" hidden="1" customHeight="1">
      <c r="AB8505" s="9"/>
      <c r="AC8505" s="9"/>
      <c r="AD8505" s="9"/>
      <c r="AF8505" s="10"/>
      <c r="AG8505" s="10"/>
      <c r="AH8505" s="10"/>
      <c r="AI8505" s="10"/>
    </row>
    <row r="8506" spans="28:35" ht="15" hidden="1" customHeight="1">
      <c r="AB8506" s="9"/>
      <c r="AC8506" s="9"/>
      <c r="AD8506" s="9"/>
      <c r="AF8506" s="10"/>
      <c r="AG8506" s="10"/>
      <c r="AH8506" s="10"/>
      <c r="AI8506" s="10"/>
    </row>
    <row r="8507" spans="28:35" ht="15" hidden="1" customHeight="1">
      <c r="AB8507" s="9"/>
      <c r="AC8507" s="9"/>
      <c r="AD8507" s="9"/>
      <c r="AF8507" s="10"/>
      <c r="AG8507" s="10"/>
      <c r="AH8507" s="10"/>
      <c r="AI8507" s="10"/>
    </row>
    <row r="8508" spans="28:35" ht="15" hidden="1" customHeight="1">
      <c r="AB8508" s="9"/>
      <c r="AC8508" s="9"/>
      <c r="AD8508" s="9"/>
      <c r="AF8508" s="10"/>
      <c r="AG8508" s="10"/>
      <c r="AH8508" s="10"/>
      <c r="AI8508" s="10"/>
    </row>
    <row r="8509" spans="28:35" ht="15" hidden="1" customHeight="1">
      <c r="AB8509" s="9"/>
      <c r="AC8509" s="9"/>
      <c r="AD8509" s="9"/>
      <c r="AF8509" s="10"/>
      <c r="AG8509" s="10"/>
      <c r="AH8509" s="10"/>
      <c r="AI8509" s="10"/>
    </row>
    <row r="8510" spans="28:35" ht="15" hidden="1" customHeight="1">
      <c r="AB8510" s="9"/>
      <c r="AC8510" s="9"/>
      <c r="AD8510" s="9"/>
      <c r="AF8510" s="10"/>
      <c r="AG8510" s="10"/>
      <c r="AH8510" s="10"/>
      <c r="AI8510" s="10"/>
    </row>
    <row r="8511" spans="28:35" ht="15" hidden="1" customHeight="1">
      <c r="AB8511" s="9"/>
      <c r="AC8511" s="9"/>
      <c r="AD8511" s="9"/>
      <c r="AF8511" s="10"/>
      <c r="AG8511" s="10"/>
      <c r="AH8511" s="10"/>
      <c r="AI8511" s="10"/>
    </row>
    <row r="8512" spans="28:35" ht="15" hidden="1" customHeight="1">
      <c r="AB8512" s="9"/>
      <c r="AC8512" s="9"/>
      <c r="AD8512" s="9"/>
      <c r="AF8512" s="10"/>
      <c r="AG8512" s="10"/>
      <c r="AH8512" s="10"/>
      <c r="AI8512" s="10"/>
    </row>
    <row r="8513" spans="28:35" ht="15" hidden="1" customHeight="1">
      <c r="AB8513" s="9"/>
      <c r="AC8513" s="9"/>
      <c r="AD8513" s="9"/>
      <c r="AF8513" s="10"/>
      <c r="AG8513" s="10"/>
      <c r="AH8513" s="10"/>
      <c r="AI8513" s="10"/>
    </row>
    <row r="8514" spans="28:35" ht="15" hidden="1" customHeight="1">
      <c r="AB8514" s="9"/>
      <c r="AC8514" s="9"/>
      <c r="AD8514" s="9"/>
      <c r="AF8514" s="10"/>
      <c r="AG8514" s="10"/>
      <c r="AH8514" s="10"/>
      <c r="AI8514" s="10"/>
    </row>
    <row r="8515" spans="28:35" ht="15" hidden="1" customHeight="1">
      <c r="AB8515" s="9"/>
      <c r="AC8515" s="9"/>
      <c r="AD8515" s="9"/>
      <c r="AF8515" s="10"/>
      <c r="AG8515" s="10"/>
      <c r="AH8515" s="10"/>
      <c r="AI8515" s="10"/>
    </row>
    <row r="8516" spans="28:35" ht="15" hidden="1" customHeight="1">
      <c r="AB8516" s="9"/>
      <c r="AC8516" s="9"/>
      <c r="AD8516" s="9"/>
      <c r="AF8516" s="10"/>
      <c r="AG8516" s="10"/>
      <c r="AH8516" s="10"/>
      <c r="AI8516" s="10"/>
    </row>
    <row r="8517" spans="28:35" ht="15" hidden="1" customHeight="1">
      <c r="AB8517" s="9"/>
      <c r="AC8517" s="9"/>
      <c r="AD8517" s="9"/>
      <c r="AF8517" s="10"/>
      <c r="AG8517" s="10"/>
      <c r="AH8517" s="10"/>
      <c r="AI8517" s="10"/>
    </row>
    <row r="8518" spans="28:35" ht="15" hidden="1" customHeight="1">
      <c r="AB8518" s="9"/>
      <c r="AC8518" s="9"/>
      <c r="AD8518" s="9"/>
      <c r="AF8518" s="10"/>
      <c r="AG8518" s="10"/>
      <c r="AH8518" s="10"/>
      <c r="AI8518" s="10"/>
    </row>
    <row r="8519" spans="28:35" ht="15" hidden="1" customHeight="1">
      <c r="AB8519" s="9"/>
      <c r="AC8519" s="9"/>
      <c r="AD8519" s="9"/>
      <c r="AF8519" s="10"/>
      <c r="AG8519" s="10"/>
      <c r="AH8519" s="10"/>
      <c r="AI8519" s="10"/>
    </row>
    <row r="8520" spans="28:35" ht="15" hidden="1" customHeight="1">
      <c r="AB8520" s="9"/>
      <c r="AC8520" s="9"/>
      <c r="AD8520" s="9"/>
      <c r="AF8520" s="10"/>
      <c r="AG8520" s="10"/>
      <c r="AH8520" s="10"/>
      <c r="AI8520" s="10"/>
    </row>
    <row r="8521" spans="28:35" ht="15" hidden="1" customHeight="1">
      <c r="AB8521" s="9"/>
      <c r="AC8521" s="9"/>
      <c r="AD8521" s="9"/>
      <c r="AF8521" s="10"/>
      <c r="AG8521" s="10"/>
      <c r="AH8521" s="10"/>
      <c r="AI8521" s="10"/>
    </row>
    <row r="8522" spans="28:35" ht="15" hidden="1" customHeight="1">
      <c r="AB8522" s="9"/>
      <c r="AC8522" s="9"/>
      <c r="AD8522" s="9"/>
      <c r="AF8522" s="10"/>
      <c r="AG8522" s="10"/>
      <c r="AH8522" s="10"/>
      <c r="AI8522" s="10"/>
    </row>
    <row r="8523" spans="28:35" ht="15" hidden="1" customHeight="1">
      <c r="AB8523" s="9"/>
      <c r="AC8523" s="9"/>
      <c r="AD8523" s="9"/>
      <c r="AF8523" s="10"/>
      <c r="AG8523" s="10"/>
      <c r="AH8523" s="10"/>
      <c r="AI8523" s="10"/>
    </row>
    <row r="8524" spans="28:35" ht="15" hidden="1" customHeight="1">
      <c r="AB8524" s="9"/>
      <c r="AC8524" s="9"/>
      <c r="AD8524" s="9"/>
      <c r="AF8524" s="10"/>
      <c r="AG8524" s="10"/>
      <c r="AH8524" s="10"/>
      <c r="AI8524" s="10"/>
    </row>
    <row r="8525" spans="28:35" ht="15" hidden="1" customHeight="1">
      <c r="AB8525" s="9"/>
      <c r="AC8525" s="9"/>
      <c r="AD8525" s="9"/>
      <c r="AF8525" s="10"/>
      <c r="AG8525" s="10"/>
      <c r="AH8525" s="10"/>
      <c r="AI8525" s="10"/>
    </row>
    <row r="8526" spans="28:35" ht="15" hidden="1" customHeight="1">
      <c r="AB8526" s="9"/>
      <c r="AC8526" s="9"/>
      <c r="AD8526" s="9"/>
      <c r="AF8526" s="10"/>
      <c r="AG8526" s="10"/>
      <c r="AH8526" s="10"/>
      <c r="AI8526" s="10"/>
    </row>
    <row r="8527" spans="28:35" ht="15" hidden="1" customHeight="1">
      <c r="AB8527" s="9"/>
      <c r="AC8527" s="9"/>
      <c r="AD8527" s="9"/>
      <c r="AF8527" s="10"/>
      <c r="AG8527" s="10"/>
      <c r="AH8527" s="10"/>
      <c r="AI8527" s="10"/>
    </row>
    <row r="8528" spans="28:35" ht="15" hidden="1" customHeight="1">
      <c r="AB8528" s="9"/>
      <c r="AC8528" s="9"/>
      <c r="AD8528" s="9"/>
      <c r="AF8528" s="10"/>
      <c r="AG8528" s="10"/>
      <c r="AH8528" s="10"/>
      <c r="AI8528" s="10"/>
    </row>
    <row r="8529" spans="28:35" ht="15" hidden="1" customHeight="1">
      <c r="AB8529" s="9"/>
      <c r="AC8529" s="9"/>
      <c r="AD8529" s="9"/>
      <c r="AF8529" s="10"/>
      <c r="AG8529" s="10"/>
      <c r="AH8529" s="10"/>
      <c r="AI8529" s="10"/>
    </row>
    <row r="8530" spans="28:35" ht="15" hidden="1" customHeight="1">
      <c r="AB8530" s="9"/>
      <c r="AC8530" s="9"/>
      <c r="AD8530" s="9"/>
      <c r="AF8530" s="10"/>
      <c r="AG8530" s="10"/>
      <c r="AH8530" s="10"/>
      <c r="AI8530" s="10"/>
    </row>
    <row r="8531" spans="28:35" ht="15" hidden="1" customHeight="1">
      <c r="AB8531" s="9"/>
      <c r="AC8531" s="9"/>
      <c r="AD8531" s="9"/>
      <c r="AF8531" s="10"/>
      <c r="AG8531" s="10"/>
      <c r="AH8531" s="10"/>
      <c r="AI8531" s="10"/>
    </row>
    <row r="8532" spans="28:35" ht="15" hidden="1" customHeight="1">
      <c r="AB8532" s="9"/>
      <c r="AC8532" s="9"/>
      <c r="AD8532" s="9"/>
      <c r="AF8532" s="10"/>
      <c r="AG8532" s="10"/>
      <c r="AH8532" s="10"/>
      <c r="AI8532" s="10"/>
    </row>
    <row r="8533" spans="28:35" ht="15" hidden="1" customHeight="1">
      <c r="AB8533" s="9"/>
      <c r="AC8533" s="9"/>
      <c r="AD8533" s="9"/>
      <c r="AF8533" s="10"/>
      <c r="AG8533" s="10"/>
      <c r="AH8533" s="10"/>
      <c r="AI8533" s="10"/>
    </row>
    <row r="8534" spans="28:35" ht="15" hidden="1" customHeight="1">
      <c r="AB8534" s="9"/>
      <c r="AC8534" s="9"/>
      <c r="AD8534" s="9"/>
      <c r="AF8534" s="10"/>
      <c r="AG8534" s="10"/>
      <c r="AH8534" s="10"/>
      <c r="AI8534" s="10"/>
    </row>
    <row r="8535" spans="28:35" ht="15" hidden="1" customHeight="1">
      <c r="AB8535" s="9"/>
      <c r="AC8535" s="9"/>
      <c r="AD8535" s="9"/>
      <c r="AF8535" s="10"/>
      <c r="AG8535" s="10"/>
      <c r="AH8535" s="10"/>
      <c r="AI8535" s="10"/>
    </row>
    <row r="8536" spans="28:35" ht="15" hidden="1" customHeight="1">
      <c r="AB8536" s="9"/>
      <c r="AC8536" s="9"/>
      <c r="AD8536" s="9"/>
      <c r="AF8536" s="10"/>
      <c r="AG8536" s="10"/>
      <c r="AH8536" s="10"/>
      <c r="AI8536" s="10"/>
    </row>
    <row r="8537" spans="28:35" ht="15" hidden="1" customHeight="1">
      <c r="AB8537" s="9"/>
      <c r="AC8537" s="9"/>
      <c r="AD8537" s="9"/>
      <c r="AF8537" s="10"/>
      <c r="AG8537" s="10"/>
      <c r="AH8537" s="10"/>
      <c r="AI8537" s="10"/>
    </row>
    <row r="8538" spans="28:35" ht="15" hidden="1" customHeight="1">
      <c r="AB8538" s="9"/>
      <c r="AC8538" s="9"/>
      <c r="AD8538" s="9"/>
      <c r="AF8538" s="10"/>
      <c r="AG8538" s="10"/>
      <c r="AH8538" s="10"/>
      <c r="AI8538" s="10"/>
    </row>
    <row r="8539" spans="28:35" ht="15" hidden="1" customHeight="1">
      <c r="AB8539" s="9"/>
      <c r="AC8539" s="9"/>
      <c r="AD8539" s="9"/>
      <c r="AF8539" s="10"/>
      <c r="AG8539" s="10"/>
      <c r="AH8539" s="10"/>
      <c r="AI8539" s="10"/>
    </row>
    <row r="8540" spans="28:35" ht="15" hidden="1" customHeight="1">
      <c r="AB8540" s="9"/>
      <c r="AC8540" s="9"/>
      <c r="AD8540" s="9"/>
      <c r="AF8540" s="10"/>
      <c r="AG8540" s="10"/>
      <c r="AH8540" s="10"/>
      <c r="AI8540" s="10"/>
    </row>
    <row r="8541" spans="28:35" ht="15" hidden="1" customHeight="1">
      <c r="AB8541" s="9"/>
      <c r="AC8541" s="9"/>
      <c r="AD8541" s="9"/>
      <c r="AF8541" s="10"/>
      <c r="AG8541" s="10"/>
      <c r="AH8541" s="10"/>
      <c r="AI8541" s="10"/>
    </row>
    <row r="8542" spans="28:35" ht="15" hidden="1" customHeight="1">
      <c r="AB8542" s="9"/>
      <c r="AC8542" s="9"/>
      <c r="AD8542" s="9"/>
      <c r="AF8542" s="10"/>
      <c r="AG8542" s="10"/>
      <c r="AH8542" s="10"/>
      <c r="AI8542" s="10"/>
    </row>
    <row r="8543" spans="28:35" ht="15" hidden="1" customHeight="1">
      <c r="AB8543" s="9"/>
      <c r="AC8543" s="9"/>
      <c r="AD8543" s="9"/>
      <c r="AF8543" s="10"/>
      <c r="AG8543" s="10"/>
      <c r="AH8543" s="10"/>
      <c r="AI8543" s="10"/>
    </row>
    <row r="8544" spans="28:35" ht="15" hidden="1" customHeight="1">
      <c r="AB8544" s="9"/>
      <c r="AC8544" s="9"/>
      <c r="AD8544" s="9"/>
      <c r="AF8544" s="10"/>
      <c r="AG8544" s="10"/>
      <c r="AH8544" s="10"/>
      <c r="AI8544" s="10"/>
    </row>
    <row r="8545" spans="28:35" ht="15" hidden="1" customHeight="1">
      <c r="AB8545" s="9"/>
      <c r="AC8545" s="9"/>
      <c r="AD8545" s="9"/>
      <c r="AF8545" s="10"/>
      <c r="AG8545" s="10"/>
      <c r="AH8545" s="10"/>
      <c r="AI8545" s="10"/>
    </row>
    <row r="8546" spans="28:35" ht="15" hidden="1" customHeight="1">
      <c r="AB8546" s="9"/>
      <c r="AC8546" s="9"/>
      <c r="AD8546" s="9"/>
      <c r="AF8546" s="10"/>
      <c r="AG8546" s="10"/>
      <c r="AH8546" s="10"/>
      <c r="AI8546" s="10"/>
    </row>
    <row r="8547" spans="28:35" ht="15" hidden="1" customHeight="1">
      <c r="AB8547" s="9"/>
      <c r="AC8547" s="9"/>
      <c r="AD8547" s="9"/>
      <c r="AF8547" s="10"/>
      <c r="AG8547" s="10"/>
      <c r="AH8547" s="10"/>
      <c r="AI8547" s="10"/>
    </row>
    <row r="8548" spans="28:35" ht="15" hidden="1" customHeight="1">
      <c r="AB8548" s="9"/>
      <c r="AC8548" s="9"/>
      <c r="AD8548" s="9"/>
      <c r="AF8548" s="10"/>
      <c r="AG8548" s="10"/>
      <c r="AH8548" s="10"/>
      <c r="AI8548" s="10"/>
    </row>
    <row r="8549" spans="28:35" ht="15" hidden="1" customHeight="1">
      <c r="AB8549" s="9"/>
      <c r="AC8549" s="9"/>
      <c r="AD8549" s="9"/>
      <c r="AF8549" s="10"/>
      <c r="AG8549" s="10"/>
      <c r="AH8549" s="10"/>
      <c r="AI8549" s="10"/>
    </row>
    <row r="8550" spans="28:35" ht="15" hidden="1" customHeight="1">
      <c r="AB8550" s="9"/>
      <c r="AC8550" s="9"/>
      <c r="AD8550" s="9"/>
      <c r="AF8550" s="10"/>
      <c r="AG8550" s="10"/>
      <c r="AH8550" s="10"/>
      <c r="AI8550" s="10"/>
    </row>
    <row r="8551" spans="28:35" ht="15" hidden="1" customHeight="1">
      <c r="AB8551" s="9"/>
      <c r="AC8551" s="9"/>
      <c r="AD8551" s="9"/>
      <c r="AF8551" s="10"/>
      <c r="AG8551" s="10"/>
      <c r="AH8551" s="10"/>
      <c r="AI8551" s="10"/>
    </row>
    <row r="8552" spans="28:35" ht="15" hidden="1" customHeight="1">
      <c r="AB8552" s="9"/>
      <c r="AC8552" s="9"/>
      <c r="AD8552" s="9"/>
      <c r="AF8552" s="10"/>
      <c r="AG8552" s="10"/>
      <c r="AH8552" s="10"/>
      <c r="AI8552" s="10"/>
    </row>
    <row r="8553" spans="28:35" ht="15" hidden="1" customHeight="1">
      <c r="AB8553" s="9"/>
      <c r="AC8553" s="9"/>
      <c r="AD8553" s="9"/>
      <c r="AF8553" s="10"/>
      <c r="AG8553" s="10"/>
      <c r="AH8553" s="10"/>
      <c r="AI8553" s="10"/>
    </row>
    <row r="8554" spans="28:35" ht="15" hidden="1" customHeight="1">
      <c r="AB8554" s="9"/>
      <c r="AC8554" s="9"/>
      <c r="AD8554" s="9"/>
      <c r="AF8554" s="10"/>
      <c r="AG8554" s="10"/>
      <c r="AH8554" s="10"/>
      <c r="AI8554" s="10"/>
    </row>
    <row r="8555" spans="28:35" ht="15" hidden="1" customHeight="1">
      <c r="AB8555" s="9"/>
      <c r="AC8555" s="9"/>
      <c r="AD8555" s="9"/>
      <c r="AF8555" s="10"/>
      <c r="AG8555" s="10"/>
      <c r="AH8555" s="10"/>
      <c r="AI8555" s="10"/>
    </row>
    <row r="8556" spans="28:35" ht="15" hidden="1" customHeight="1">
      <c r="AB8556" s="9"/>
      <c r="AC8556" s="9"/>
      <c r="AD8556" s="9"/>
      <c r="AF8556" s="10"/>
      <c r="AG8556" s="10"/>
      <c r="AH8556" s="10"/>
      <c r="AI8556" s="10"/>
    </row>
    <row r="8557" spans="28:35" ht="15" hidden="1" customHeight="1">
      <c r="AB8557" s="9"/>
      <c r="AC8557" s="9"/>
      <c r="AD8557" s="9"/>
      <c r="AF8557" s="10"/>
      <c r="AG8557" s="10"/>
      <c r="AH8557" s="10"/>
      <c r="AI8557" s="10"/>
    </row>
    <row r="8558" spans="28:35" ht="15" hidden="1" customHeight="1">
      <c r="AB8558" s="9"/>
      <c r="AC8558" s="9"/>
      <c r="AD8558" s="9"/>
      <c r="AF8558" s="10"/>
      <c r="AG8558" s="10"/>
      <c r="AH8558" s="10"/>
      <c r="AI8558" s="10"/>
    </row>
    <row r="8559" spans="28:35" ht="15" hidden="1" customHeight="1">
      <c r="AB8559" s="9"/>
      <c r="AC8559" s="9"/>
      <c r="AD8559" s="9"/>
      <c r="AF8559" s="10"/>
      <c r="AG8559" s="10"/>
      <c r="AH8559" s="10"/>
      <c r="AI8559" s="10"/>
    </row>
    <row r="8560" spans="28:35" ht="15" hidden="1" customHeight="1">
      <c r="AB8560" s="9"/>
      <c r="AC8560" s="9"/>
      <c r="AD8560" s="9"/>
      <c r="AF8560" s="10"/>
      <c r="AG8560" s="10"/>
      <c r="AH8560" s="10"/>
      <c r="AI8560" s="10"/>
    </row>
    <row r="8561" spans="28:35" ht="15" hidden="1" customHeight="1">
      <c r="AB8561" s="9"/>
      <c r="AC8561" s="9"/>
      <c r="AD8561" s="9"/>
      <c r="AF8561" s="10"/>
      <c r="AG8561" s="10"/>
      <c r="AH8561" s="10"/>
      <c r="AI8561" s="10"/>
    </row>
    <row r="8562" spans="28:35" ht="15" hidden="1" customHeight="1">
      <c r="AB8562" s="9"/>
      <c r="AC8562" s="9"/>
      <c r="AD8562" s="9"/>
      <c r="AF8562" s="10"/>
      <c r="AG8562" s="10"/>
      <c r="AH8562" s="10"/>
      <c r="AI8562" s="10"/>
    </row>
    <row r="8563" spans="28:35" ht="15" hidden="1" customHeight="1">
      <c r="AB8563" s="9"/>
      <c r="AC8563" s="9"/>
      <c r="AD8563" s="9"/>
      <c r="AF8563" s="10"/>
      <c r="AG8563" s="10"/>
      <c r="AH8563" s="10"/>
      <c r="AI8563" s="10"/>
    </row>
    <row r="8564" spans="28:35" ht="15" hidden="1" customHeight="1">
      <c r="AB8564" s="9"/>
      <c r="AC8564" s="9"/>
      <c r="AD8564" s="9"/>
      <c r="AF8564" s="10"/>
      <c r="AG8564" s="10"/>
      <c r="AH8564" s="10"/>
      <c r="AI8564" s="10"/>
    </row>
    <row r="8565" spans="28:35" ht="15" hidden="1" customHeight="1">
      <c r="AB8565" s="9"/>
      <c r="AC8565" s="9"/>
      <c r="AD8565" s="9"/>
      <c r="AF8565" s="10"/>
      <c r="AG8565" s="10"/>
      <c r="AH8565" s="10"/>
      <c r="AI8565" s="10"/>
    </row>
    <row r="8566" spans="28:35" ht="15" hidden="1" customHeight="1">
      <c r="AB8566" s="9"/>
      <c r="AC8566" s="9"/>
      <c r="AD8566" s="9"/>
      <c r="AF8566" s="10"/>
      <c r="AG8566" s="10"/>
      <c r="AH8566" s="10"/>
      <c r="AI8566" s="10"/>
    </row>
    <row r="8567" spans="28:35" ht="15" hidden="1" customHeight="1">
      <c r="AB8567" s="9"/>
      <c r="AC8567" s="9"/>
      <c r="AD8567" s="9"/>
      <c r="AF8567" s="10"/>
      <c r="AG8567" s="10"/>
      <c r="AH8567" s="10"/>
      <c r="AI8567" s="10"/>
    </row>
    <row r="8568" spans="28:35" ht="15" hidden="1" customHeight="1">
      <c r="AB8568" s="9"/>
      <c r="AC8568" s="9"/>
      <c r="AD8568" s="9"/>
      <c r="AF8568" s="10"/>
      <c r="AG8568" s="10"/>
      <c r="AH8568" s="10"/>
      <c r="AI8568" s="10"/>
    </row>
    <row r="8569" spans="28:35" ht="15" hidden="1" customHeight="1">
      <c r="AB8569" s="9"/>
      <c r="AC8569" s="9"/>
      <c r="AD8569" s="9"/>
      <c r="AF8569" s="10"/>
      <c r="AG8569" s="10"/>
      <c r="AH8569" s="10"/>
      <c r="AI8569" s="10"/>
    </row>
    <row r="8570" spans="28:35" ht="15" hidden="1" customHeight="1">
      <c r="AB8570" s="9"/>
      <c r="AC8570" s="9"/>
      <c r="AD8570" s="9"/>
      <c r="AF8570" s="10"/>
      <c r="AG8570" s="10"/>
      <c r="AH8570" s="10"/>
      <c r="AI8570" s="10"/>
    </row>
    <row r="8571" spans="28:35" ht="15" hidden="1" customHeight="1">
      <c r="AB8571" s="9"/>
      <c r="AC8571" s="9"/>
      <c r="AD8571" s="9"/>
      <c r="AF8571" s="10"/>
      <c r="AG8571" s="10"/>
      <c r="AH8571" s="10"/>
      <c r="AI8571" s="10"/>
    </row>
    <row r="8572" spans="28:35" ht="15" hidden="1" customHeight="1">
      <c r="AB8572" s="9"/>
      <c r="AC8572" s="9"/>
      <c r="AD8572" s="9"/>
      <c r="AF8572" s="10"/>
      <c r="AG8572" s="10"/>
      <c r="AH8572" s="10"/>
      <c r="AI8572" s="10"/>
    </row>
    <row r="8573" spans="28:35" ht="15" hidden="1" customHeight="1">
      <c r="AB8573" s="9"/>
      <c r="AC8573" s="9"/>
      <c r="AD8573" s="9"/>
      <c r="AF8573" s="10"/>
      <c r="AG8573" s="10"/>
      <c r="AH8573" s="10"/>
      <c r="AI8573" s="10"/>
    </row>
    <row r="8574" spans="28:35" ht="15" hidden="1" customHeight="1">
      <c r="AB8574" s="9"/>
      <c r="AC8574" s="9"/>
      <c r="AD8574" s="9"/>
      <c r="AF8574" s="10"/>
      <c r="AG8574" s="10"/>
      <c r="AH8574" s="10"/>
      <c r="AI8574" s="10"/>
    </row>
    <row r="8575" spans="28:35" ht="15" hidden="1" customHeight="1">
      <c r="AB8575" s="9"/>
      <c r="AC8575" s="9"/>
      <c r="AD8575" s="9"/>
      <c r="AF8575" s="10"/>
      <c r="AG8575" s="10"/>
      <c r="AH8575" s="10"/>
      <c r="AI8575" s="10"/>
    </row>
    <row r="8576" spans="28:35" ht="15" hidden="1" customHeight="1">
      <c r="AB8576" s="9"/>
      <c r="AC8576" s="9"/>
      <c r="AD8576" s="9"/>
      <c r="AF8576" s="10"/>
      <c r="AG8576" s="10"/>
      <c r="AH8576" s="10"/>
      <c r="AI8576" s="10"/>
    </row>
    <row r="8577" spans="28:35" ht="15" hidden="1" customHeight="1">
      <c r="AB8577" s="9"/>
      <c r="AC8577" s="9"/>
      <c r="AD8577" s="9"/>
      <c r="AF8577" s="10"/>
      <c r="AG8577" s="10"/>
      <c r="AH8577" s="10"/>
      <c r="AI8577" s="10"/>
    </row>
    <row r="8578" spans="28:35" ht="15" hidden="1" customHeight="1">
      <c r="AB8578" s="9"/>
      <c r="AC8578" s="9"/>
      <c r="AD8578" s="9"/>
      <c r="AF8578" s="10"/>
      <c r="AG8578" s="10"/>
      <c r="AH8578" s="10"/>
      <c r="AI8578" s="10"/>
    </row>
    <row r="8579" spans="28:35" ht="15" hidden="1" customHeight="1">
      <c r="AB8579" s="9"/>
      <c r="AC8579" s="9"/>
      <c r="AD8579" s="9"/>
      <c r="AF8579" s="10"/>
      <c r="AG8579" s="10"/>
      <c r="AH8579" s="10"/>
      <c r="AI8579" s="10"/>
    </row>
    <row r="8580" spans="28:35" ht="15" hidden="1" customHeight="1">
      <c r="AB8580" s="9"/>
      <c r="AC8580" s="9"/>
      <c r="AD8580" s="9"/>
      <c r="AF8580" s="10"/>
      <c r="AG8580" s="10"/>
      <c r="AH8580" s="10"/>
      <c r="AI8580" s="10"/>
    </row>
    <row r="8581" spans="28:35" ht="15" hidden="1" customHeight="1">
      <c r="AB8581" s="9"/>
      <c r="AC8581" s="9"/>
      <c r="AD8581" s="9"/>
      <c r="AF8581" s="10"/>
      <c r="AG8581" s="10"/>
      <c r="AH8581" s="10"/>
      <c r="AI8581" s="10"/>
    </row>
    <row r="8582" spans="28:35" ht="15" hidden="1" customHeight="1">
      <c r="AB8582" s="9"/>
      <c r="AC8582" s="9"/>
      <c r="AD8582" s="9"/>
      <c r="AF8582" s="10"/>
      <c r="AG8582" s="10"/>
      <c r="AH8582" s="10"/>
      <c r="AI8582" s="10"/>
    </row>
    <row r="8583" spans="28:35" ht="15" hidden="1" customHeight="1">
      <c r="AB8583" s="9"/>
      <c r="AC8583" s="9"/>
      <c r="AD8583" s="9"/>
      <c r="AF8583" s="10"/>
      <c r="AG8583" s="10"/>
      <c r="AH8583" s="10"/>
      <c r="AI8583" s="10"/>
    </row>
    <row r="8584" spans="28:35" ht="15" hidden="1" customHeight="1">
      <c r="AB8584" s="9"/>
      <c r="AC8584" s="9"/>
      <c r="AD8584" s="9"/>
      <c r="AF8584" s="10"/>
      <c r="AG8584" s="10"/>
      <c r="AH8584" s="10"/>
      <c r="AI8584" s="10"/>
    </row>
    <row r="8585" spans="28:35" ht="15" hidden="1" customHeight="1">
      <c r="AB8585" s="9"/>
      <c r="AC8585" s="9"/>
      <c r="AD8585" s="9"/>
      <c r="AF8585" s="10"/>
      <c r="AG8585" s="10"/>
      <c r="AH8585" s="10"/>
      <c r="AI8585" s="10"/>
    </row>
    <row r="8586" spans="28:35" ht="15" hidden="1" customHeight="1">
      <c r="AB8586" s="9"/>
      <c r="AC8586" s="9"/>
      <c r="AD8586" s="9"/>
      <c r="AF8586" s="10"/>
      <c r="AG8586" s="10"/>
      <c r="AH8586" s="10"/>
      <c r="AI8586" s="10"/>
    </row>
    <row r="8587" spans="28:35" ht="15" hidden="1" customHeight="1">
      <c r="AB8587" s="9"/>
      <c r="AC8587" s="9"/>
      <c r="AD8587" s="9"/>
      <c r="AF8587" s="10"/>
      <c r="AG8587" s="10"/>
      <c r="AH8587" s="10"/>
      <c r="AI8587" s="10"/>
    </row>
    <row r="8588" spans="28:35" ht="15" hidden="1" customHeight="1">
      <c r="AB8588" s="9"/>
      <c r="AC8588" s="9"/>
      <c r="AD8588" s="9"/>
      <c r="AF8588" s="10"/>
      <c r="AG8588" s="10"/>
      <c r="AH8588" s="10"/>
      <c r="AI8588" s="10"/>
    </row>
    <row r="8589" spans="28:35" ht="15" hidden="1" customHeight="1">
      <c r="AB8589" s="9"/>
      <c r="AC8589" s="9"/>
      <c r="AD8589" s="9"/>
      <c r="AF8589" s="10"/>
      <c r="AG8589" s="10"/>
      <c r="AH8589" s="10"/>
      <c r="AI8589" s="10"/>
    </row>
    <row r="8590" spans="28:35" ht="15" hidden="1" customHeight="1">
      <c r="AB8590" s="9"/>
      <c r="AC8590" s="9"/>
      <c r="AD8590" s="9"/>
      <c r="AF8590" s="10"/>
      <c r="AG8590" s="10"/>
      <c r="AH8590" s="10"/>
      <c r="AI8590" s="10"/>
    </row>
    <row r="8591" spans="28:35" ht="15" hidden="1" customHeight="1">
      <c r="AB8591" s="9"/>
      <c r="AC8591" s="9"/>
      <c r="AD8591" s="9"/>
      <c r="AF8591" s="10"/>
      <c r="AG8591" s="10"/>
      <c r="AH8591" s="10"/>
      <c r="AI8591" s="10"/>
    </row>
    <row r="8592" spans="28:35" ht="15" hidden="1" customHeight="1">
      <c r="AB8592" s="9"/>
      <c r="AC8592" s="9"/>
      <c r="AD8592" s="9"/>
      <c r="AF8592" s="10"/>
      <c r="AG8592" s="10"/>
      <c r="AH8592" s="10"/>
      <c r="AI8592" s="10"/>
    </row>
    <row r="8593" spans="28:35" ht="15" hidden="1" customHeight="1">
      <c r="AB8593" s="9"/>
      <c r="AC8593" s="9"/>
      <c r="AD8593" s="9"/>
      <c r="AF8593" s="10"/>
      <c r="AG8593" s="10"/>
      <c r="AH8593" s="10"/>
      <c r="AI8593" s="10"/>
    </row>
    <row r="8594" spans="28:35" ht="15" hidden="1" customHeight="1">
      <c r="AB8594" s="9"/>
      <c r="AC8594" s="9"/>
      <c r="AD8594" s="9"/>
      <c r="AF8594" s="10"/>
      <c r="AG8594" s="10"/>
      <c r="AH8594" s="10"/>
      <c r="AI8594" s="10"/>
    </row>
    <row r="8595" spans="28:35" ht="15" hidden="1" customHeight="1">
      <c r="AB8595" s="9"/>
      <c r="AC8595" s="9"/>
      <c r="AD8595" s="9"/>
      <c r="AF8595" s="10"/>
      <c r="AG8595" s="10"/>
      <c r="AH8595" s="10"/>
      <c r="AI8595" s="10"/>
    </row>
    <row r="8596" spans="28:35" ht="15" hidden="1" customHeight="1">
      <c r="AB8596" s="9"/>
      <c r="AC8596" s="9"/>
      <c r="AD8596" s="9"/>
      <c r="AF8596" s="10"/>
      <c r="AG8596" s="10"/>
      <c r="AH8596" s="10"/>
      <c r="AI8596" s="10"/>
    </row>
    <row r="8597" spans="28:35" ht="15" hidden="1" customHeight="1">
      <c r="AB8597" s="9"/>
      <c r="AC8597" s="9"/>
      <c r="AD8597" s="9"/>
      <c r="AF8597" s="10"/>
      <c r="AG8597" s="10"/>
      <c r="AH8597" s="10"/>
      <c r="AI8597" s="10"/>
    </row>
    <row r="8598" spans="28:35" ht="15" hidden="1" customHeight="1">
      <c r="AB8598" s="9"/>
      <c r="AC8598" s="9"/>
      <c r="AD8598" s="9"/>
      <c r="AF8598" s="10"/>
      <c r="AG8598" s="10"/>
      <c r="AH8598" s="10"/>
      <c r="AI8598" s="10"/>
    </row>
    <row r="8599" spans="28:35" ht="15" hidden="1" customHeight="1">
      <c r="AB8599" s="9"/>
      <c r="AC8599" s="9"/>
      <c r="AD8599" s="9"/>
      <c r="AF8599" s="10"/>
      <c r="AG8599" s="10"/>
      <c r="AH8599" s="10"/>
      <c r="AI8599" s="10"/>
    </row>
    <row r="8600" spans="28:35" ht="15" hidden="1" customHeight="1">
      <c r="AB8600" s="9"/>
      <c r="AC8600" s="9"/>
      <c r="AD8600" s="9"/>
      <c r="AF8600" s="10"/>
      <c r="AG8600" s="10"/>
      <c r="AH8600" s="10"/>
      <c r="AI8600" s="10"/>
    </row>
    <row r="8601" spans="28:35" ht="15" hidden="1" customHeight="1">
      <c r="AB8601" s="9"/>
      <c r="AC8601" s="9"/>
      <c r="AD8601" s="9"/>
      <c r="AF8601" s="10"/>
      <c r="AG8601" s="10"/>
      <c r="AH8601" s="10"/>
      <c r="AI8601" s="10"/>
    </row>
    <row r="8602" spans="28:35" ht="15" hidden="1" customHeight="1">
      <c r="AB8602" s="9"/>
      <c r="AC8602" s="9"/>
      <c r="AD8602" s="9"/>
      <c r="AF8602" s="10"/>
      <c r="AG8602" s="10"/>
      <c r="AH8602" s="10"/>
      <c r="AI8602" s="10"/>
    </row>
    <row r="8603" spans="28:35" ht="15" hidden="1" customHeight="1">
      <c r="AB8603" s="9"/>
      <c r="AC8603" s="9"/>
      <c r="AD8603" s="9"/>
      <c r="AF8603" s="10"/>
      <c r="AG8603" s="10"/>
      <c r="AH8603" s="10"/>
      <c r="AI8603" s="10"/>
    </row>
    <row r="8604" spans="28:35" ht="15" hidden="1" customHeight="1">
      <c r="AB8604" s="9"/>
      <c r="AC8604" s="9"/>
      <c r="AD8604" s="9"/>
      <c r="AF8604" s="10"/>
      <c r="AG8604" s="10"/>
      <c r="AH8604" s="10"/>
      <c r="AI8604" s="10"/>
    </row>
    <row r="8605" spans="28:35" ht="15" hidden="1" customHeight="1">
      <c r="AB8605" s="9"/>
      <c r="AC8605" s="9"/>
      <c r="AD8605" s="9"/>
      <c r="AF8605" s="10"/>
      <c r="AG8605" s="10"/>
      <c r="AH8605" s="10"/>
      <c r="AI8605" s="10"/>
    </row>
    <row r="8606" spans="28:35" ht="15" hidden="1" customHeight="1">
      <c r="AB8606" s="9"/>
      <c r="AC8606" s="9"/>
      <c r="AD8606" s="9"/>
      <c r="AF8606" s="10"/>
      <c r="AG8606" s="10"/>
      <c r="AH8606" s="10"/>
      <c r="AI8606" s="10"/>
    </row>
    <row r="8607" spans="28:35" ht="15" hidden="1" customHeight="1">
      <c r="AB8607" s="9"/>
      <c r="AC8607" s="9"/>
      <c r="AD8607" s="9"/>
      <c r="AF8607" s="10"/>
      <c r="AG8607" s="10"/>
      <c r="AH8607" s="10"/>
      <c r="AI8607" s="10"/>
    </row>
    <row r="8608" spans="28:35" ht="15" hidden="1" customHeight="1">
      <c r="AB8608" s="9"/>
      <c r="AC8608" s="9"/>
      <c r="AD8608" s="9"/>
      <c r="AF8608" s="10"/>
      <c r="AG8608" s="10"/>
      <c r="AH8608" s="10"/>
      <c r="AI8608" s="10"/>
    </row>
    <row r="8609" spans="28:35" ht="15" hidden="1" customHeight="1">
      <c r="AB8609" s="9"/>
      <c r="AC8609" s="9"/>
      <c r="AD8609" s="9"/>
      <c r="AF8609" s="10"/>
      <c r="AG8609" s="10"/>
      <c r="AH8609" s="10"/>
      <c r="AI8609" s="10"/>
    </row>
    <row r="8610" spans="28:35" ht="15" hidden="1" customHeight="1">
      <c r="AB8610" s="9"/>
      <c r="AC8610" s="9"/>
      <c r="AD8610" s="9"/>
      <c r="AF8610" s="10"/>
      <c r="AG8610" s="10"/>
      <c r="AH8610" s="10"/>
      <c r="AI8610" s="10"/>
    </row>
    <row r="8611" spans="28:35" ht="15" hidden="1" customHeight="1">
      <c r="AB8611" s="9"/>
      <c r="AC8611" s="9"/>
      <c r="AD8611" s="9"/>
      <c r="AF8611" s="10"/>
      <c r="AG8611" s="10"/>
      <c r="AH8611" s="10"/>
      <c r="AI8611" s="10"/>
    </row>
    <row r="8612" spans="28:35" ht="15" hidden="1" customHeight="1">
      <c r="AB8612" s="9"/>
      <c r="AC8612" s="9"/>
      <c r="AD8612" s="9"/>
      <c r="AF8612" s="10"/>
      <c r="AG8612" s="10"/>
      <c r="AH8612" s="10"/>
      <c r="AI8612" s="10"/>
    </row>
    <row r="8613" spans="28:35" ht="15" hidden="1" customHeight="1">
      <c r="AB8613" s="9"/>
      <c r="AC8613" s="9"/>
      <c r="AD8613" s="9"/>
      <c r="AF8613" s="10"/>
      <c r="AG8613" s="10"/>
      <c r="AH8613" s="10"/>
      <c r="AI8613" s="10"/>
    </row>
    <row r="8614" spans="28:35" ht="15" hidden="1" customHeight="1">
      <c r="AB8614" s="9"/>
      <c r="AC8614" s="9"/>
      <c r="AD8614" s="9"/>
      <c r="AF8614" s="10"/>
      <c r="AG8614" s="10"/>
      <c r="AH8614" s="10"/>
      <c r="AI8614" s="10"/>
    </row>
    <row r="8615" spans="28:35" ht="15" hidden="1" customHeight="1">
      <c r="AB8615" s="9"/>
      <c r="AC8615" s="9"/>
      <c r="AD8615" s="9"/>
      <c r="AF8615" s="10"/>
      <c r="AG8615" s="10"/>
      <c r="AH8615" s="10"/>
      <c r="AI8615" s="10"/>
    </row>
    <row r="8616" spans="28:35" ht="15" hidden="1" customHeight="1">
      <c r="AB8616" s="9"/>
      <c r="AC8616" s="9"/>
      <c r="AD8616" s="9"/>
      <c r="AF8616" s="10"/>
      <c r="AG8616" s="10"/>
      <c r="AH8616" s="10"/>
      <c r="AI8616" s="10"/>
    </row>
    <row r="8617" spans="28:35" ht="15" hidden="1" customHeight="1">
      <c r="AB8617" s="9"/>
      <c r="AC8617" s="9"/>
      <c r="AD8617" s="9"/>
      <c r="AF8617" s="10"/>
      <c r="AG8617" s="10"/>
      <c r="AH8617" s="10"/>
      <c r="AI8617" s="10"/>
    </row>
    <row r="8618" spans="28:35" ht="15" hidden="1" customHeight="1">
      <c r="AB8618" s="9"/>
      <c r="AC8618" s="9"/>
      <c r="AD8618" s="9"/>
      <c r="AF8618" s="10"/>
      <c r="AG8618" s="10"/>
      <c r="AH8618" s="10"/>
      <c r="AI8618" s="10"/>
    </row>
    <row r="8619" spans="28:35" ht="15" hidden="1" customHeight="1">
      <c r="AB8619" s="9"/>
      <c r="AC8619" s="9"/>
      <c r="AD8619" s="9"/>
      <c r="AF8619" s="10"/>
      <c r="AG8619" s="10"/>
      <c r="AH8619" s="10"/>
      <c r="AI8619" s="10"/>
    </row>
    <row r="8620" spans="28:35" ht="15" hidden="1" customHeight="1">
      <c r="AB8620" s="9"/>
      <c r="AC8620" s="9"/>
      <c r="AD8620" s="9"/>
      <c r="AF8620" s="10"/>
      <c r="AG8620" s="10"/>
      <c r="AH8620" s="10"/>
      <c r="AI8620" s="10"/>
    </row>
    <row r="8621" spans="28:35" ht="15" hidden="1" customHeight="1">
      <c r="AB8621" s="9"/>
      <c r="AC8621" s="9"/>
      <c r="AD8621" s="9"/>
      <c r="AF8621" s="10"/>
      <c r="AG8621" s="10"/>
      <c r="AH8621" s="10"/>
      <c r="AI8621" s="10"/>
    </row>
    <row r="8622" spans="28:35" ht="15" hidden="1" customHeight="1">
      <c r="AB8622" s="9"/>
      <c r="AC8622" s="9"/>
      <c r="AD8622" s="9"/>
      <c r="AF8622" s="10"/>
      <c r="AG8622" s="10"/>
      <c r="AH8622" s="10"/>
      <c r="AI8622" s="10"/>
    </row>
    <row r="8623" spans="28:35" ht="15" hidden="1" customHeight="1">
      <c r="AB8623" s="9"/>
      <c r="AC8623" s="9"/>
      <c r="AD8623" s="9"/>
      <c r="AF8623" s="10"/>
      <c r="AG8623" s="10"/>
      <c r="AH8623" s="10"/>
      <c r="AI8623" s="10"/>
    </row>
    <row r="8624" spans="28:35" ht="15" hidden="1" customHeight="1">
      <c r="AB8624" s="9"/>
      <c r="AC8624" s="9"/>
      <c r="AD8624" s="9"/>
      <c r="AF8624" s="10"/>
      <c r="AG8624" s="10"/>
      <c r="AH8624" s="10"/>
      <c r="AI8624" s="10"/>
    </row>
    <row r="8625" spans="28:35" ht="15" hidden="1" customHeight="1">
      <c r="AB8625" s="9"/>
      <c r="AC8625" s="9"/>
      <c r="AD8625" s="9"/>
      <c r="AF8625" s="10"/>
      <c r="AG8625" s="10"/>
      <c r="AH8625" s="10"/>
      <c r="AI8625" s="10"/>
    </row>
    <row r="8626" spans="28:35" ht="15" hidden="1" customHeight="1">
      <c r="AB8626" s="9"/>
      <c r="AC8626" s="9"/>
      <c r="AD8626" s="9"/>
      <c r="AF8626" s="10"/>
      <c r="AG8626" s="10"/>
      <c r="AH8626" s="10"/>
      <c r="AI8626" s="10"/>
    </row>
    <row r="8627" spans="28:35" ht="15" hidden="1" customHeight="1">
      <c r="AB8627" s="9"/>
      <c r="AC8627" s="9"/>
      <c r="AD8627" s="9"/>
      <c r="AF8627" s="10"/>
      <c r="AG8627" s="10"/>
      <c r="AH8627" s="10"/>
      <c r="AI8627" s="10"/>
    </row>
    <row r="8628" spans="28:35" ht="15" hidden="1" customHeight="1">
      <c r="AB8628" s="9"/>
      <c r="AC8628" s="9"/>
      <c r="AD8628" s="9"/>
      <c r="AF8628" s="10"/>
      <c r="AG8628" s="10"/>
      <c r="AH8628" s="10"/>
      <c r="AI8628" s="10"/>
    </row>
    <row r="8629" spans="28:35" ht="15" hidden="1" customHeight="1">
      <c r="AB8629" s="9"/>
      <c r="AC8629" s="9"/>
      <c r="AD8629" s="9"/>
      <c r="AF8629" s="10"/>
      <c r="AG8629" s="10"/>
      <c r="AH8629" s="10"/>
      <c r="AI8629" s="10"/>
    </row>
    <row r="8630" spans="28:35" ht="15" hidden="1" customHeight="1">
      <c r="AB8630" s="9"/>
      <c r="AC8630" s="9"/>
      <c r="AD8630" s="9"/>
      <c r="AF8630" s="10"/>
      <c r="AG8630" s="10"/>
      <c r="AH8630" s="10"/>
      <c r="AI8630" s="10"/>
    </row>
    <row r="8631" spans="28:35" ht="15" hidden="1" customHeight="1">
      <c r="AB8631" s="9"/>
      <c r="AC8631" s="9"/>
      <c r="AD8631" s="9"/>
      <c r="AF8631" s="10"/>
      <c r="AG8631" s="10"/>
      <c r="AH8631" s="10"/>
      <c r="AI8631" s="10"/>
    </row>
    <row r="8632" spans="28:35" ht="15" hidden="1" customHeight="1">
      <c r="AB8632" s="9"/>
      <c r="AC8632" s="9"/>
      <c r="AD8632" s="9"/>
      <c r="AF8632" s="10"/>
      <c r="AG8632" s="10"/>
      <c r="AH8632" s="10"/>
      <c r="AI8632" s="10"/>
    </row>
    <row r="8633" spans="28:35" ht="15" hidden="1" customHeight="1">
      <c r="AB8633" s="9"/>
      <c r="AC8633" s="9"/>
      <c r="AD8633" s="9"/>
      <c r="AF8633" s="10"/>
      <c r="AG8633" s="10"/>
      <c r="AH8633" s="10"/>
      <c r="AI8633" s="10"/>
    </row>
    <row r="8634" spans="28:35" ht="15" hidden="1" customHeight="1">
      <c r="AB8634" s="9"/>
      <c r="AC8634" s="9"/>
      <c r="AD8634" s="9"/>
      <c r="AF8634" s="10"/>
      <c r="AG8634" s="10"/>
      <c r="AH8634" s="10"/>
      <c r="AI8634" s="10"/>
    </row>
    <row r="8635" spans="28:35" ht="15" hidden="1" customHeight="1">
      <c r="AB8635" s="9"/>
      <c r="AC8635" s="9"/>
      <c r="AD8635" s="9"/>
      <c r="AF8635" s="10"/>
      <c r="AG8635" s="10"/>
      <c r="AH8635" s="10"/>
      <c r="AI8635" s="10"/>
    </row>
    <row r="8636" spans="28:35" ht="15" hidden="1" customHeight="1">
      <c r="AB8636" s="9"/>
      <c r="AC8636" s="9"/>
      <c r="AD8636" s="9"/>
      <c r="AF8636" s="10"/>
      <c r="AG8636" s="10"/>
      <c r="AH8636" s="10"/>
      <c r="AI8636" s="10"/>
    </row>
    <row r="8637" spans="28:35" ht="15" hidden="1" customHeight="1">
      <c r="AB8637" s="9"/>
      <c r="AC8637" s="9"/>
      <c r="AD8637" s="9"/>
      <c r="AF8637" s="10"/>
      <c r="AG8637" s="10"/>
      <c r="AH8637" s="10"/>
      <c r="AI8637" s="10"/>
    </row>
    <row r="8638" spans="28:35" ht="15" hidden="1" customHeight="1">
      <c r="AB8638" s="9"/>
      <c r="AC8638" s="9"/>
      <c r="AD8638" s="9"/>
      <c r="AF8638" s="10"/>
      <c r="AG8638" s="10"/>
      <c r="AH8638" s="10"/>
      <c r="AI8638" s="10"/>
    </row>
    <row r="8639" spans="28:35" ht="15" hidden="1" customHeight="1">
      <c r="AB8639" s="9"/>
      <c r="AC8639" s="9"/>
      <c r="AD8639" s="9"/>
      <c r="AF8639" s="10"/>
      <c r="AG8639" s="10"/>
      <c r="AH8639" s="10"/>
      <c r="AI8639" s="10"/>
    </row>
    <row r="8640" spans="28:35" ht="15" hidden="1" customHeight="1">
      <c r="AB8640" s="9"/>
      <c r="AC8640" s="9"/>
      <c r="AD8640" s="9"/>
      <c r="AF8640" s="10"/>
      <c r="AG8640" s="10"/>
      <c r="AH8640" s="10"/>
      <c r="AI8640" s="10"/>
    </row>
    <row r="8641" spans="28:35" ht="15" hidden="1" customHeight="1">
      <c r="AB8641" s="9"/>
      <c r="AC8641" s="9"/>
      <c r="AD8641" s="9"/>
      <c r="AF8641" s="10"/>
      <c r="AG8641" s="10"/>
      <c r="AH8641" s="10"/>
      <c r="AI8641" s="10"/>
    </row>
    <row r="8642" spans="28:35" ht="15" hidden="1" customHeight="1">
      <c r="AB8642" s="9"/>
      <c r="AC8642" s="9"/>
      <c r="AD8642" s="9"/>
      <c r="AF8642" s="10"/>
      <c r="AG8642" s="10"/>
      <c r="AH8642" s="10"/>
      <c r="AI8642" s="10"/>
    </row>
    <row r="8643" spans="28:35" ht="15" hidden="1" customHeight="1">
      <c r="AB8643" s="9"/>
      <c r="AC8643" s="9"/>
      <c r="AD8643" s="9"/>
      <c r="AF8643" s="10"/>
      <c r="AG8643" s="10"/>
      <c r="AH8643" s="10"/>
      <c r="AI8643" s="10"/>
    </row>
    <row r="8644" spans="28:35" ht="15" hidden="1" customHeight="1">
      <c r="AB8644" s="9"/>
      <c r="AC8644" s="9"/>
      <c r="AD8644" s="9"/>
      <c r="AF8644" s="10"/>
      <c r="AG8644" s="10"/>
      <c r="AH8644" s="10"/>
      <c r="AI8644" s="10"/>
    </row>
    <row r="8645" spans="28:35" ht="15" hidden="1" customHeight="1">
      <c r="AB8645" s="9"/>
      <c r="AC8645" s="9"/>
      <c r="AD8645" s="9"/>
      <c r="AF8645" s="10"/>
      <c r="AG8645" s="10"/>
      <c r="AH8645" s="10"/>
      <c r="AI8645" s="10"/>
    </row>
    <row r="8646" spans="28:35" ht="15" hidden="1" customHeight="1">
      <c r="AB8646" s="9"/>
      <c r="AC8646" s="9"/>
      <c r="AD8646" s="9"/>
      <c r="AF8646" s="10"/>
      <c r="AG8646" s="10"/>
      <c r="AH8646" s="10"/>
      <c r="AI8646" s="10"/>
    </row>
    <row r="8647" spans="28:35" ht="15" hidden="1" customHeight="1">
      <c r="AB8647" s="9"/>
      <c r="AC8647" s="9"/>
      <c r="AD8647" s="9"/>
      <c r="AF8647" s="10"/>
      <c r="AG8647" s="10"/>
      <c r="AH8647" s="10"/>
      <c r="AI8647" s="10"/>
    </row>
    <row r="8648" spans="28:35" ht="15" hidden="1" customHeight="1">
      <c r="AB8648" s="9"/>
      <c r="AC8648" s="9"/>
      <c r="AD8648" s="9"/>
      <c r="AF8648" s="10"/>
      <c r="AG8648" s="10"/>
      <c r="AH8648" s="10"/>
      <c r="AI8648" s="10"/>
    </row>
    <row r="8649" spans="28:35" ht="15" hidden="1" customHeight="1">
      <c r="AB8649" s="9"/>
      <c r="AC8649" s="9"/>
      <c r="AD8649" s="9"/>
      <c r="AF8649" s="10"/>
      <c r="AG8649" s="10"/>
      <c r="AH8649" s="10"/>
      <c r="AI8649" s="10"/>
    </row>
    <row r="8650" spans="28:35" ht="15" hidden="1" customHeight="1">
      <c r="AB8650" s="9"/>
      <c r="AC8650" s="9"/>
      <c r="AD8650" s="9"/>
      <c r="AF8650" s="10"/>
      <c r="AG8650" s="10"/>
      <c r="AH8650" s="10"/>
      <c r="AI8650" s="10"/>
    </row>
    <row r="8651" spans="28:35" ht="15" hidden="1" customHeight="1">
      <c r="AB8651" s="9"/>
      <c r="AC8651" s="9"/>
      <c r="AD8651" s="9"/>
      <c r="AF8651" s="10"/>
      <c r="AG8651" s="10"/>
      <c r="AH8651" s="10"/>
      <c r="AI8651" s="10"/>
    </row>
    <row r="8652" spans="28:35" ht="15" hidden="1" customHeight="1">
      <c r="AB8652" s="9"/>
      <c r="AC8652" s="9"/>
      <c r="AD8652" s="9"/>
      <c r="AF8652" s="10"/>
      <c r="AG8652" s="10"/>
      <c r="AH8652" s="10"/>
      <c r="AI8652" s="10"/>
    </row>
    <row r="8653" spans="28:35" ht="15" hidden="1" customHeight="1">
      <c r="AB8653" s="9"/>
      <c r="AC8653" s="9"/>
      <c r="AD8653" s="9"/>
      <c r="AF8653" s="10"/>
      <c r="AG8653" s="10"/>
      <c r="AH8653" s="10"/>
      <c r="AI8653" s="10"/>
    </row>
    <row r="8654" spans="28:35" ht="15" hidden="1" customHeight="1">
      <c r="AB8654" s="9"/>
      <c r="AC8654" s="9"/>
      <c r="AD8654" s="9"/>
      <c r="AF8654" s="10"/>
      <c r="AG8654" s="10"/>
      <c r="AH8654" s="10"/>
      <c r="AI8654" s="10"/>
    </row>
    <row r="8655" spans="28:35" ht="15" hidden="1" customHeight="1">
      <c r="AB8655" s="9"/>
      <c r="AC8655" s="9"/>
      <c r="AD8655" s="9"/>
      <c r="AF8655" s="10"/>
      <c r="AG8655" s="10"/>
      <c r="AH8655" s="10"/>
      <c r="AI8655" s="10"/>
    </row>
    <row r="8656" spans="28:35" ht="15" hidden="1" customHeight="1">
      <c r="AB8656" s="9"/>
      <c r="AC8656" s="9"/>
      <c r="AD8656" s="9"/>
      <c r="AF8656" s="10"/>
      <c r="AG8656" s="10"/>
      <c r="AH8656" s="10"/>
      <c r="AI8656" s="10"/>
    </row>
    <row r="8657" spans="28:35" ht="15" hidden="1" customHeight="1">
      <c r="AB8657" s="9"/>
      <c r="AC8657" s="9"/>
      <c r="AD8657" s="9"/>
      <c r="AF8657" s="10"/>
      <c r="AG8657" s="10"/>
      <c r="AH8657" s="10"/>
      <c r="AI8657" s="10"/>
    </row>
    <row r="8658" spans="28:35" ht="15" hidden="1" customHeight="1">
      <c r="AB8658" s="9"/>
      <c r="AC8658" s="9"/>
      <c r="AD8658" s="9"/>
      <c r="AF8658" s="10"/>
      <c r="AG8658" s="10"/>
      <c r="AH8658" s="10"/>
      <c r="AI8658" s="10"/>
    </row>
    <row r="8659" spans="28:35" ht="15" hidden="1" customHeight="1">
      <c r="AB8659" s="9"/>
      <c r="AC8659" s="9"/>
      <c r="AD8659" s="9"/>
      <c r="AF8659" s="10"/>
      <c r="AG8659" s="10"/>
      <c r="AH8659" s="10"/>
      <c r="AI8659" s="10"/>
    </row>
    <row r="8660" spans="28:35" ht="15" hidden="1" customHeight="1">
      <c r="AB8660" s="9"/>
      <c r="AC8660" s="9"/>
      <c r="AD8660" s="9"/>
      <c r="AF8660" s="10"/>
      <c r="AG8660" s="10"/>
      <c r="AH8660" s="10"/>
      <c r="AI8660" s="10"/>
    </row>
    <row r="8661" spans="28:35" ht="15" hidden="1" customHeight="1">
      <c r="AB8661" s="9"/>
      <c r="AC8661" s="9"/>
      <c r="AD8661" s="9"/>
      <c r="AF8661" s="10"/>
      <c r="AG8661" s="10"/>
      <c r="AH8661" s="10"/>
      <c r="AI8661" s="10"/>
    </row>
    <row r="8662" spans="28:35" ht="15" hidden="1" customHeight="1">
      <c r="AB8662" s="9"/>
      <c r="AC8662" s="9"/>
      <c r="AD8662" s="9"/>
      <c r="AF8662" s="10"/>
      <c r="AG8662" s="10"/>
      <c r="AH8662" s="10"/>
      <c r="AI8662" s="10"/>
    </row>
    <row r="8663" spans="28:35" ht="15" hidden="1" customHeight="1">
      <c r="AB8663" s="9"/>
      <c r="AC8663" s="9"/>
      <c r="AD8663" s="9"/>
      <c r="AF8663" s="10"/>
      <c r="AG8663" s="10"/>
      <c r="AH8663" s="10"/>
      <c r="AI8663" s="10"/>
    </row>
    <row r="8664" spans="28:35" ht="15" hidden="1" customHeight="1">
      <c r="AB8664" s="9"/>
      <c r="AC8664" s="9"/>
      <c r="AD8664" s="9"/>
      <c r="AF8664" s="10"/>
      <c r="AG8664" s="10"/>
      <c r="AH8664" s="10"/>
      <c r="AI8664" s="10"/>
    </row>
    <row r="8665" spans="28:35" ht="15" hidden="1" customHeight="1">
      <c r="AB8665" s="9"/>
      <c r="AC8665" s="9"/>
      <c r="AD8665" s="9"/>
      <c r="AF8665" s="10"/>
      <c r="AG8665" s="10"/>
      <c r="AH8665" s="10"/>
      <c r="AI8665" s="10"/>
    </row>
    <row r="8666" spans="28:35" ht="15" hidden="1" customHeight="1">
      <c r="AB8666" s="9"/>
      <c r="AC8666" s="9"/>
      <c r="AD8666" s="9"/>
      <c r="AF8666" s="10"/>
      <c r="AG8666" s="10"/>
      <c r="AH8666" s="10"/>
      <c r="AI8666" s="10"/>
    </row>
    <row r="8667" spans="28:35" ht="15" hidden="1" customHeight="1">
      <c r="AB8667" s="9"/>
      <c r="AC8667" s="9"/>
      <c r="AD8667" s="9"/>
      <c r="AF8667" s="10"/>
      <c r="AG8667" s="10"/>
      <c r="AH8667" s="10"/>
      <c r="AI8667" s="10"/>
    </row>
    <row r="8668" spans="28:35" ht="15" hidden="1" customHeight="1">
      <c r="AB8668" s="9"/>
      <c r="AC8668" s="9"/>
      <c r="AD8668" s="9"/>
      <c r="AF8668" s="10"/>
      <c r="AG8668" s="10"/>
      <c r="AH8668" s="10"/>
      <c r="AI8668" s="10"/>
    </row>
    <row r="8669" spans="28:35" ht="15" hidden="1" customHeight="1">
      <c r="AB8669" s="9"/>
      <c r="AC8669" s="9"/>
      <c r="AD8669" s="9"/>
      <c r="AF8669" s="10"/>
      <c r="AG8669" s="10"/>
      <c r="AH8669" s="10"/>
      <c r="AI8669" s="10"/>
    </row>
    <row r="8670" spans="28:35" ht="15" hidden="1" customHeight="1">
      <c r="AB8670" s="9"/>
      <c r="AC8670" s="9"/>
      <c r="AD8670" s="9"/>
      <c r="AF8670" s="10"/>
      <c r="AG8670" s="10"/>
      <c r="AH8670" s="10"/>
      <c r="AI8670" s="10"/>
    </row>
    <row r="8671" spans="28:35" ht="15" hidden="1" customHeight="1">
      <c r="AB8671" s="9"/>
      <c r="AC8671" s="9"/>
      <c r="AD8671" s="9"/>
      <c r="AF8671" s="10"/>
      <c r="AG8671" s="10"/>
      <c r="AH8671" s="10"/>
      <c r="AI8671" s="10"/>
    </row>
    <row r="8672" spans="28:35" ht="15" hidden="1" customHeight="1">
      <c r="AB8672" s="9"/>
      <c r="AC8672" s="9"/>
      <c r="AD8672" s="9"/>
      <c r="AF8672" s="10"/>
      <c r="AG8672" s="10"/>
      <c r="AH8672" s="10"/>
      <c r="AI8672" s="10"/>
    </row>
    <row r="8673" spans="28:35" ht="15" hidden="1" customHeight="1">
      <c r="AB8673" s="9"/>
      <c r="AC8673" s="9"/>
      <c r="AD8673" s="9"/>
      <c r="AF8673" s="10"/>
      <c r="AG8673" s="10"/>
      <c r="AH8673" s="10"/>
      <c r="AI8673" s="10"/>
    </row>
    <row r="8674" spans="28:35" ht="15" hidden="1" customHeight="1">
      <c r="AB8674" s="9"/>
      <c r="AC8674" s="9"/>
      <c r="AD8674" s="9"/>
      <c r="AF8674" s="10"/>
      <c r="AG8674" s="10"/>
      <c r="AH8674" s="10"/>
      <c r="AI8674" s="10"/>
    </row>
    <row r="8675" spans="28:35" ht="15" hidden="1" customHeight="1">
      <c r="AB8675" s="9"/>
      <c r="AC8675" s="9"/>
      <c r="AD8675" s="9"/>
      <c r="AF8675" s="10"/>
      <c r="AG8675" s="10"/>
      <c r="AH8675" s="10"/>
      <c r="AI8675" s="10"/>
    </row>
    <row r="8676" spans="28:35" ht="15" hidden="1" customHeight="1">
      <c r="AB8676" s="9"/>
      <c r="AC8676" s="9"/>
      <c r="AD8676" s="9"/>
      <c r="AF8676" s="10"/>
      <c r="AG8676" s="10"/>
      <c r="AH8676" s="10"/>
      <c r="AI8676" s="10"/>
    </row>
    <row r="8677" spans="28:35" ht="15" hidden="1" customHeight="1">
      <c r="AB8677" s="9"/>
      <c r="AC8677" s="9"/>
      <c r="AD8677" s="9"/>
      <c r="AF8677" s="10"/>
      <c r="AG8677" s="10"/>
      <c r="AH8677" s="10"/>
      <c r="AI8677" s="10"/>
    </row>
    <row r="8678" spans="28:35" ht="15" hidden="1" customHeight="1">
      <c r="AB8678" s="9"/>
      <c r="AC8678" s="9"/>
      <c r="AD8678" s="9"/>
      <c r="AF8678" s="10"/>
      <c r="AG8678" s="10"/>
      <c r="AH8678" s="10"/>
      <c r="AI8678" s="10"/>
    </row>
    <row r="8679" spans="28:35" ht="15" hidden="1" customHeight="1">
      <c r="AB8679" s="9"/>
      <c r="AC8679" s="9"/>
      <c r="AD8679" s="9"/>
      <c r="AF8679" s="10"/>
      <c r="AG8679" s="10"/>
      <c r="AH8679" s="10"/>
      <c r="AI8679" s="10"/>
    </row>
    <row r="8680" spans="28:35" ht="15" hidden="1" customHeight="1">
      <c r="AB8680" s="9"/>
      <c r="AC8680" s="9"/>
      <c r="AD8680" s="9"/>
      <c r="AF8680" s="10"/>
      <c r="AG8680" s="10"/>
      <c r="AH8680" s="10"/>
      <c r="AI8680" s="10"/>
    </row>
    <row r="8681" spans="28:35" ht="15" hidden="1" customHeight="1">
      <c r="AB8681" s="9"/>
      <c r="AC8681" s="9"/>
      <c r="AD8681" s="9"/>
      <c r="AF8681" s="10"/>
      <c r="AG8681" s="10"/>
      <c r="AH8681" s="10"/>
      <c r="AI8681" s="10"/>
    </row>
    <row r="8682" spans="28:35" ht="15" hidden="1" customHeight="1">
      <c r="AB8682" s="9"/>
      <c r="AC8682" s="9"/>
      <c r="AD8682" s="9"/>
      <c r="AF8682" s="10"/>
      <c r="AG8682" s="10"/>
      <c r="AH8682" s="10"/>
      <c r="AI8682" s="10"/>
    </row>
    <row r="8683" spans="28:35" ht="15" hidden="1" customHeight="1">
      <c r="AB8683" s="9"/>
      <c r="AC8683" s="9"/>
      <c r="AD8683" s="9"/>
      <c r="AF8683" s="10"/>
      <c r="AG8683" s="10"/>
      <c r="AH8683" s="10"/>
      <c r="AI8683" s="10"/>
    </row>
    <row r="8684" spans="28:35" ht="15" hidden="1" customHeight="1">
      <c r="AB8684" s="9"/>
      <c r="AC8684" s="9"/>
      <c r="AD8684" s="9"/>
      <c r="AF8684" s="10"/>
      <c r="AG8684" s="10"/>
      <c r="AH8684" s="10"/>
      <c r="AI8684" s="10"/>
    </row>
    <row r="8685" spans="28:35" ht="15" hidden="1" customHeight="1">
      <c r="AB8685" s="9"/>
      <c r="AC8685" s="9"/>
      <c r="AD8685" s="9"/>
      <c r="AF8685" s="10"/>
      <c r="AG8685" s="10"/>
      <c r="AH8685" s="10"/>
      <c r="AI8685" s="10"/>
    </row>
    <row r="8686" spans="28:35" ht="15" hidden="1" customHeight="1">
      <c r="AB8686" s="9"/>
      <c r="AC8686" s="9"/>
      <c r="AD8686" s="9"/>
      <c r="AF8686" s="10"/>
      <c r="AG8686" s="10"/>
      <c r="AH8686" s="10"/>
      <c r="AI8686" s="10"/>
    </row>
    <row r="8687" spans="28:35" ht="15" hidden="1" customHeight="1">
      <c r="AB8687" s="9"/>
      <c r="AC8687" s="9"/>
      <c r="AD8687" s="9"/>
      <c r="AF8687" s="10"/>
      <c r="AG8687" s="10"/>
      <c r="AH8687" s="10"/>
      <c r="AI8687" s="10"/>
    </row>
    <row r="8688" spans="28:35" ht="15" hidden="1" customHeight="1">
      <c r="AB8688" s="9"/>
      <c r="AC8688" s="9"/>
      <c r="AD8688" s="9"/>
      <c r="AF8688" s="10"/>
      <c r="AG8688" s="10"/>
      <c r="AH8688" s="10"/>
      <c r="AI8688" s="10"/>
    </row>
    <row r="8689" spans="28:35" ht="15" hidden="1" customHeight="1">
      <c r="AB8689" s="9"/>
      <c r="AC8689" s="9"/>
      <c r="AD8689" s="9"/>
      <c r="AF8689" s="10"/>
      <c r="AG8689" s="10"/>
      <c r="AH8689" s="10"/>
      <c r="AI8689" s="10"/>
    </row>
    <row r="8690" spans="28:35" ht="15" hidden="1" customHeight="1">
      <c r="AB8690" s="9"/>
      <c r="AC8690" s="9"/>
      <c r="AD8690" s="9"/>
      <c r="AF8690" s="10"/>
      <c r="AG8690" s="10"/>
      <c r="AH8690" s="10"/>
      <c r="AI8690" s="10"/>
    </row>
    <row r="8691" spans="28:35" ht="15" hidden="1" customHeight="1">
      <c r="AB8691" s="9"/>
      <c r="AC8691" s="9"/>
      <c r="AD8691" s="9"/>
      <c r="AF8691" s="10"/>
      <c r="AG8691" s="10"/>
      <c r="AH8691" s="10"/>
      <c r="AI8691" s="10"/>
    </row>
    <row r="8692" spans="28:35" ht="15" hidden="1" customHeight="1">
      <c r="AB8692" s="9"/>
      <c r="AC8692" s="9"/>
      <c r="AD8692" s="9"/>
      <c r="AF8692" s="10"/>
      <c r="AG8692" s="10"/>
      <c r="AH8692" s="10"/>
      <c r="AI8692" s="10"/>
    </row>
    <row r="8693" spans="28:35" ht="15" hidden="1" customHeight="1">
      <c r="AB8693" s="9"/>
      <c r="AC8693" s="9"/>
      <c r="AD8693" s="9"/>
      <c r="AF8693" s="10"/>
      <c r="AG8693" s="10"/>
      <c r="AH8693" s="10"/>
      <c r="AI8693" s="10"/>
    </row>
    <row r="8694" spans="28:35" ht="15" hidden="1" customHeight="1">
      <c r="AB8694" s="9"/>
      <c r="AC8694" s="9"/>
      <c r="AD8694" s="9"/>
      <c r="AF8694" s="10"/>
      <c r="AG8694" s="10"/>
      <c r="AH8694" s="10"/>
      <c r="AI8694" s="10"/>
    </row>
    <row r="8695" spans="28:35" ht="15" hidden="1" customHeight="1">
      <c r="AB8695" s="9"/>
      <c r="AC8695" s="9"/>
      <c r="AD8695" s="9"/>
      <c r="AF8695" s="10"/>
      <c r="AG8695" s="10"/>
      <c r="AH8695" s="10"/>
      <c r="AI8695" s="10"/>
    </row>
    <row r="8696" spans="28:35" ht="15" hidden="1" customHeight="1">
      <c r="AB8696" s="9"/>
      <c r="AC8696" s="9"/>
      <c r="AD8696" s="9"/>
      <c r="AF8696" s="10"/>
      <c r="AG8696" s="10"/>
      <c r="AH8696" s="10"/>
      <c r="AI8696" s="10"/>
    </row>
    <row r="8697" spans="28:35" ht="15" hidden="1" customHeight="1">
      <c r="AB8697" s="9"/>
      <c r="AC8697" s="9"/>
      <c r="AD8697" s="9"/>
      <c r="AF8697" s="10"/>
      <c r="AG8697" s="10"/>
      <c r="AH8697" s="10"/>
      <c r="AI8697" s="10"/>
    </row>
    <row r="8698" spans="28:35" ht="15" hidden="1" customHeight="1">
      <c r="AB8698" s="9"/>
      <c r="AC8698" s="9"/>
      <c r="AD8698" s="9"/>
      <c r="AF8698" s="10"/>
      <c r="AG8698" s="10"/>
      <c r="AH8698" s="10"/>
      <c r="AI8698" s="10"/>
    </row>
    <row r="8699" spans="28:35" ht="15" hidden="1" customHeight="1">
      <c r="AB8699" s="9"/>
      <c r="AC8699" s="9"/>
      <c r="AD8699" s="9"/>
      <c r="AF8699" s="10"/>
      <c r="AG8699" s="10"/>
      <c r="AH8699" s="10"/>
      <c r="AI8699" s="10"/>
    </row>
    <row r="8700" spans="28:35" ht="15" hidden="1" customHeight="1">
      <c r="AB8700" s="9"/>
      <c r="AC8700" s="9"/>
      <c r="AD8700" s="9"/>
      <c r="AF8700" s="10"/>
      <c r="AG8700" s="10"/>
      <c r="AH8700" s="10"/>
      <c r="AI8700" s="10"/>
    </row>
    <row r="8701" spans="28:35" ht="15" hidden="1" customHeight="1">
      <c r="AB8701" s="9"/>
      <c r="AC8701" s="9"/>
      <c r="AD8701" s="9"/>
      <c r="AF8701" s="10"/>
      <c r="AG8701" s="10"/>
      <c r="AH8701" s="10"/>
      <c r="AI8701" s="10"/>
    </row>
    <row r="8702" spans="28:35" ht="15" hidden="1" customHeight="1">
      <c r="AB8702" s="9"/>
      <c r="AC8702" s="9"/>
      <c r="AD8702" s="9"/>
      <c r="AF8702" s="10"/>
      <c r="AG8702" s="10"/>
      <c r="AH8702" s="10"/>
      <c r="AI8702" s="10"/>
    </row>
    <row r="8703" spans="28:35" ht="15" hidden="1" customHeight="1">
      <c r="AB8703" s="9"/>
      <c r="AC8703" s="9"/>
      <c r="AD8703" s="9"/>
      <c r="AF8703" s="10"/>
      <c r="AG8703" s="10"/>
      <c r="AH8703" s="10"/>
      <c r="AI8703" s="10"/>
    </row>
    <row r="8704" spans="28:35" ht="15" hidden="1" customHeight="1">
      <c r="AB8704" s="9"/>
      <c r="AC8704" s="9"/>
      <c r="AD8704" s="9"/>
      <c r="AF8704" s="10"/>
      <c r="AG8704" s="10"/>
      <c r="AH8704" s="10"/>
      <c r="AI8704" s="10"/>
    </row>
    <row r="8705" spans="28:35" ht="15" hidden="1" customHeight="1">
      <c r="AB8705" s="9"/>
      <c r="AC8705" s="9"/>
      <c r="AD8705" s="9"/>
      <c r="AF8705" s="10"/>
      <c r="AG8705" s="10"/>
      <c r="AH8705" s="10"/>
      <c r="AI8705" s="10"/>
    </row>
    <row r="8706" spans="28:35" ht="15" hidden="1" customHeight="1">
      <c r="AB8706" s="9"/>
      <c r="AC8706" s="9"/>
      <c r="AD8706" s="9"/>
      <c r="AF8706" s="10"/>
      <c r="AG8706" s="10"/>
      <c r="AH8706" s="10"/>
      <c r="AI8706" s="10"/>
    </row>
    <row r="8707" spans="28:35" ht="15" hidden="1" customHeight="1">
      <c r="AB8707" s="9"/>
      <c r="AC8707" s="9"/>
      <c r="AD8707" s="9"/>
      <c r="AF8707" s="10"/>
      <c r="AG8707" s="10"/>
      <c r="AH8707" s="10"/>
      <c r="AI8707" s="10"/>
    </row>
    <row r="8708" spans="28:35" ht="15" hidden="1" customHeight="1">
      <c r="AB8708" s="9"/>
      <c r="AC8708" s="9"/>
      <c r="AD8708" s="9"/>
      <c r="AF8708" s="10"/>
      <c r="AG8708" s="10"/>
      <c r="AH8708" s="10"/>
      <c r="AI8708" s="10"/>
    </row>
    <row r="8709" spans="28:35" ht="15" hidden="1" customHeight="1">
      <c r="AB8709" s="9"/>
      <c r="AC8709" s="9"/>
      <c r="AD8709" s="9"/>
      <c r="AF8709" s="10"/>
      <c r="AG8709" s="10"/>
      <c r="AH8709" s="10"/>
      <c r="AI8709" s="10"/>
    </row>
    <row r="8710" spans="28:35" ht="15" hidden="1" customHeight="1">
      <c r="AB8710" s="9"/>
      <c r="AC8710" s="9"/>
      <c r="AD8710" s="9"/>
      <c r="AF8710" s="10"/>
      <c r="AG8710" s="10"/>
      <c r="AH8710" s="10"/>
      <c r="AI8710" s="10"/>
    </row>
    <row r="8711" spans="28:35" ht="15" hidden="1" customHeight="1">
      <c r="AB8711" s="9"/>
      <c r="AC8711" s="9"/>
      <c r="AD8711" s="9"/>
      <c r="AF8711" s="10"/>
      <c r="AG8711" s="10"/>
      <c r="AH8711" s="10"/>
      <c r="AI8711" s="10"/>
    </row>
    <row r="8712" spans="28:35" ht="15" hidden="1" customHeight="1">
      <c r="AB8712" s="9"/>
      <c r="AC8712" s="9"/>
      <c r="AD8712" s="9"/>
      <c r="AF8712" s="10"/>
      <c r="AG8712" s="10"/>
      <c r="AH8712" s="10"/>
      <c r="AI8712" s="10"/>
    </row>
    <row r="8713" spans="28:35" ht="15" hidden="1" customHeight="1">
      <c r="AB8713" s="9"/>
      <c r="AC8713" s="9"/>
      <c r="AD8713" s="9"/>
      <c r="AF8713" s="10"/>
      <c r="AG8713" s="10"/>
      <c r="AH8713" s="10"/>
      <c r="AI8713" s="10"/>
    </row>
    <row r="8714" spans="28:35" ht="15" hidden="1" customHeight="1">
      <c r="AB8714" s="9"/>
      <c r="AC8714" s="9"/>
      <c r="AD8714" s="9"/>
      <c r="AF8714" s="10"/>
      <c r="AG8714" s="10"/>
      <c r="AH8714" s="10"/>
      <c r="AI8714" s="10"/>
    </row>
    <row r="8715" spans="28:35" ht="15" hidden="1" customHeight="1">
      <c r="AB8715" s="9"/>
      <c r="AC8715" s="9"/>
      <c r="AD8715" s="9"/>
      <c r="AF8715" s="10"/>
      <c r="AG8715" s="10"/>
      <c r="AH8715" s="10"/>
      <c r="AI8715" s="10"/>
    </row>
    <row r="8716" spans="28:35" ht="15" hidden="1" customHeight="1">
      <c r="AB8716" s="9"/>
      <c r="AC8716" s="9"/>
      <c r="AD8716" s="9"/>
      <c r="AF8716" s="10"/>
      <c r="AG8716" s="10"/>
      <c r="AH8716" s="10"/>
      <c r="AI8716" s="10"/>
    </row>
    <row r="8717" spans="28:35" ht="15" hidden="1" customHeight="1">
      <c r="AB8717" s="9"/>
      <c r="AC8717" s="9"/>
      <c r="AD8717" s="9"/>
      <c r="AF8717" s="10"/>
      <c r="AG8717" s="10"/>
      <c r="AH8717" s="10"/>
      <c r="AI8717" s="10"/>
    </row>
    <row r="8718" spans="28:35" ht="15" hidden="1" customHeight="1">
      <c r="AB8718" s="9"/>
      <c r="AC8718" s="9"/>
      <c r="AD8718" s="9"/>
      <c r="AF8718" s="10"/>
      <c r="AG8718" s="10"/>
      <c r="AH8718" s="10"/>
      <c r="AI8718" s="10"/>
    </row>
    <row r="8719" spans="28:35" ht="15" hidden="1" customHeight="1">
      <c r="AB8719" s="9"/>
      <c r="AC8719" s="9"/>
      <c r="AD8719" s="9"/>
      <c r="AF8719" s="10"/>
      <c r="AG8719" s="10"/>
      <c r="AH8719" s="10"/>
      <c r="AI8719" s="10"/>
    </row>
    <row r="8720" spans="28:35" ht="15" hidden="1" customHeight="1">
      <c r="AB8720" s="9"/>
      <c r="AC8720" s="9"/>
      <c r="AD8720" s="9"/>
      <c r="AF8720" s="10"/>
      <c r="AG8720" s="10"/>
      <c r="AH8720" s="10"/>
      <c r="AI8720" s="10"/>
    </row>
    <row r="8721" spans="28:35" ht="15" hidden="1" customHeight="1">
      <c r="AB8721" s="9"/>
      <c r="AC8721" s="9"/>
      <c r="AD8721" s="9"/>
      <c r="AF8721" s="10"/>
      <c r="AG8721" s="10"/>
      <c r="AH8721" s="10"/>
      <c r="AI8721" s="10"/>
    </row>
    <row r="8722" spans="28:35" ht="15" hidden="1" customHeight="1">
      <c r="AB8722" s="9"/>
      <c r="AC8722" s="9"/>
      <c r="AD8722" s="9"/>
      <c r="AF8722" s="10"/>
      <c r="AG8722" s="10"/>
      <c r="AH8722" s="10"/>
      <c r="AI8722" s="10"/>
    </row>
    <row r="8723" spans="28:35" ht="15" hidden="1" customHeight="1">
      <c r="AB8723" s="9"/>
      <c r="AC8723" s="9"/>
      <c r="AD8723" s="9"/>
      <c r="AF8723" s="10"/>
      <c r="AG8723" s="10"/>
      <c r="AH8723" s="10"/>
      <c r="AI8723" s="10"/>
    </row>
    <row r="8724" spans="28:35" ht="15" hidden="1" customHeight="1">
      <c r="AB8724" s="9"/>
      <c r="AC8724" s="9"/>
      <c r="AD8724" s="9"/>
      <c r="AF8724" s="10"/>
      <c r="AG8724" s="10"/>
      <c r="AH8724" s="10"/>
      <c r="AI8724" s="10"/>
    </row>
    <row r="8725" spans="28:35" ht="15" hidden="1" customHeight="1">
      <c r="AB8725" s="9"/>
      <c r="AC8725" s="9"/>
      <c r="AD8725" s="9"/>
      <c r="AF8725" s="10"/>
      <c r="AG8725" s="10"/>
      <c r="AH8725" s="10"/>
      <c r="AI8725" s="10"/>
    </row>
    <row r="8726" spans="28:35" ht="15" hidden="1" customHeight="1">
      <c r="AB8726" s="9"/>
      <c r="AC8726" s="9"/>
      <c r="AD8726" s="9"/>
      <c r="AF8726" s="10"/>
      <c r="AG8726" s="10"/>
      <c r="AH8726" s="10"/>
      <c r="AI8726" s="10"/>
    </row>
    <row r="8727" spans="28:35" ht="15" hidden="1" customHeight="1">
      <c r="AB8727" s="9"/>
      <c r="AC8727" s="9"/>
      <c r="AD8727" s="9"/>
      <c r="AF8727" s="10"/>
      <c r="AG8727" s="10"/>
      <c r="AH8727" s="10"/>
      <c r="AI8727" s="10"/>
    </row>
    <row r="8728" spans="28:35" ht="15" hidden="1" customHeight="1">
      <c r="AB8728" s="9"/>
      <c r="AC8728" s="9"/>
      <c r="AD8728" s="9"/>
      <c r="AF8728" s="10"/>
      <c r="AG8728" s="10"/>
      <c r="AH8728" s="10"/>
      <c r="AI8728" s="10"/>
    </row>
    <row r="8729" spans="28:35" ht="15" hidden="1" customHeight="1">
      <c r="AB8729" s="9"/>
      <c r="AC8729" s="9"/>
      <c r="AD8729" s="9"/>
      <c r="AF8729" s="10"/>
      <c r="AG8729" s="10"/>
      <c r="AH8729" s="10"/>
      <c r="AI8729" s="10"/>
    </row>
    <row r="8730" spans="28:35" ht="15" hidden="1" customHeight="1">
      <c r="AB8730" s="9"/>
      <c r="AC8730" s="9"/>
      <c r="AD8730" s="9"/>
      <c r="AF8730" s="10"/>
      <c r="AG8730" s="10"/>
      <c r="AH8730" s="10"/>
      <c r="AI8730" s="10"/>
    </row>
    <row r="8731" spans="28:35" ht="15" hidden="1" customHeight="1">
      <c r="AB8731" s="9"/>
      <c r="AC8731" s="9"/>
      <c r="AD8731" s="9"/>
      <c r="AF8731" s="10"/>
      <c r="AG8731" s="10"/>
      <c r="AH8731" s="10"/>
      <c r="AI8731" s="10"/>
    </row>
    <row r="8732" spans="28:35" ht="15" hidden="1" customHeight="1">
      <c r="AB8732" s="9"/>
      <c r="AC8732" s="9"/>
      <c r="AD8732" s="9"/>
      <c r="AF8732" s="10"/>
      <c r="AG8732" s="10"/>
      <c r="AH8732" s="10"/>
      <c r="AI8732" s="10"/>
    </row>
    <row r="8733" spans="28:35" ht="15" hidden="1" customHeight="1">
      <c r="AB8733" s="9"/>
      <c r="AC8733" s="9"/>
      <c r="AD8733" s="9"/>
      <c r="AF8733" s="10"/>
      <c r="AG8733" s="10"/>
      <c r="AH8733" s="10"/>
      <c r="AI8733" s="10"/>
    </row>
    <row r="8734" spans="28:35" ht="15" hidden="1" customHeight="1">
      <c r="AB8734" s="9"/>
      <c r="AC8734" s="9"/>
      <c r="AD8734" s="9"/>
      <c r="AF8734" s="10"/>
      <c r="AG8734" s="10"/>
      <c r="AH8734" s="10"/>
      <c r="AI8734" s="10"/>
    </row>
    <row r="8735" spans="28:35" ht="15" hidden="1" customHeight="1">
      <c r="AB8735" s="9"/>
      <c r="AC8735" s="9"/>
      <c r="AD8735" s="9"/>
      <c r="AF8735" s="10"/>
      <c r="AG8735" s="10"/>
      <c r="AH8735" s="10"/>
      <c r="AI8735" s="10"/>
    </row>
    <row r="8736" spans="28:35" ht="15" hidden="1" customHeight="1">
      <c r="AB8736" s="9"/>
      <c r="AC8736" s="9"/>
      <c r="AD8736" s="9"/>
      <c r="AF8736" s="10"/>
      <c r="AG8736" s="10"/>
      <c r="AH8736" s="10"/>
      <c r="AI8736" s="10"/>
    </row>
    <row r="8737" spans="28:35" ht="15" hidden="1" customHeight="1">
      <c r="AB8737" s="9"/>
      <c r="AC8737" s="9"/>
      <c r="AD8737" s="9"/>
      <c r="AF8737" s="10"/>
      <c r="AG8737" s="10"/>
      <c r="AH8737" s="10"/>
      <c r="AI8737" s="10"/>
    </row>
    <row r="8738" spans="28:35" ht="15" hidden="1" customHeight="1">
      <c r="AB8738" s="9"/>
      <c r="AC8738" s="9"/>
      <c r="AD8738" s="9"/>
      <c r="AF8738" s="10"/>
      <c r="AG8738" s="10"/>
      <c r="AH8738" s="10"/>
      <c r="AI8738" s="10"/>
    </row>
    <row r="8739" spans="28:35" ht="15" hidden="1" customHeight="1">
      <c r="AB8739" s="9"/>
      <c r="AC8739" s="9"/>
      <c r="AD8739" s="9"/>
      <c r="AF8739" s="10"/>
      <c r="AG8739" s="10"/>
      <c r="AH8739" s="10"/>
      <c r="AI8739" s="10"/>
    </row>
    <row r="8740" spans="28:35" ht="15" hidden="1" customHeight="1">
      <c r="AB8740" s="9"/>
      <c r="AC8740" s="9"/>
      <c r="AD8740" s="9"/>
      <c r="AF8740" s="10"/>
      <c r="AG8740" s="10"/>
      <c r="AH8740" s="10"/>
      <c r="AI8740" s="10"/>
    </row>
    <row r="8741" spans="28:35" ht="15" hidden="1" customHeight="1">
      <c r="AB8741" s="9"/>
      <c r="AC8741" s="9"/>
      <c r="AD8741" s="9"/>
      <c r="AF8741" s="10"/>
      <c r="AG8741" s="10"/>
      <c r="AH8741" s="10"/>
      <c r="AI8741" s="10"/>
    </row>
    <row r="8742" spans="28:35" ht="15" hidden="1" customHeight="1">
      <c r="AB8742" s="9"/>
      <c r="AC8742" s="9"/>
      <c r="AD8742" s="9"/>
      <c r="AF8742" s="10"/>
      <c r="AG8742" s="10"/>
      <c r="AH8742" s="10"/>
      <c r="AI8742" s="10"/>
    </row>
    <row r="8743" spans="28:35" ht="15" hidden="1" customHeight="1">
      <c r="AB8743" s="9"/>
      <c r="AC8743" s="9"/>
      <c r="AD8743" s="9"/>
      <c r="AF8743" s="10"/>
      <c r="AG8743" s="10"/>
      <c r="AH8743" s="10"/>
      <c r="AI8743" s="10"/>
    </row>
    <row r="8744" spans="28:35" ht="15" hidden="1" customHeight="1">
      <c r="AB8744" s="9"/>
      <c r="AC8744" s="9"/>
      <c r="AD8744" s="9"/>
      <c r="AF8744" s="10"/>
      <c r="AG8744" s="10"/>
      <c r="AH8744" s="10"/>
      <c r="AI8744" s="10"/>
    </row>
    <row r="8745" spans="28:35" ht="15" hidden="1" customHeight="1">
      <c r="AB8745" s="9"/>
      <c r="AC8745" s="9"/>
      <c r="AD8745" s="9"/>
      <c r="AF8745" s="10"/>
      <c r="AG8745" s="10"/>
      <c r="AH8745" s="10"/>
      <c r="AI8745" s="10"/>
    </row>
    <row r="8746" spans="28:35" ht="15" hidden="1" customHeight="1">
      <c r="AB8746" s="9"/>
      <c r="AC8746" s="9"/>
      <c r="AD8746" s="9"/>
      <c r="AF8746" s="10"/>
      <c r="AG8746" s="10"/>
      <c r="AH8746" s="10"/>
      <c r="AI8746" s="10"/>
    </row>
    <row r="8747" spans="28:35" ht="15" hidden="1" customHeight="1">
      <c r="AB8747" s="9"/>
      <c r="AC8747" s="9"/>
      <c r="AD8747" s="9"/>
      <c r="AF8747" s="10"/>
      <c r="AG8747" s="10"/>
      <c r="AH8747" s="10"/>
      <c r="AI8747" s="10"/>
    </row>
    <row r="8748" spans="28:35" ht="15" hidden="1" customHeight="1">
      <c r="AB8748" s="9"/>
      <c r="AC8748" s="9"/>
      <c r="AD8748" s="9"/>
      <c r="AF8748" s="10"/>
      <c r="AG8748" s="10"/>
      <c r="AH8748" s="10"/>
      <c r="AI8748" s="10"/>
    </row>
    <row r="8749" spans="28:35" ht="15" hidden="1" customHeight="1">
      <c r="AB8749" s="9"/>
      <c r="AC8749" s="9"/>
      <c r="AD8749" s="9"/>
      <c r="AF8749" s="10"/>
      <c r="AG8749" s="10"/>
      <c r="AH8749" s="10"/>
      <c r="AI8749" s="10"/>
    </row>
    <row r="8750" spans="28:35" ht="15" hidden="1" customHeight="1">
      <c r="AB8750" s="9"/>
      <c r="AC8750" s="9"/>
      <c r="AD8750" s="9"/>
      <c r="AF8750" s="10"/>
      <c r="AG8750" s="10"/>
      <c r="AH8750" s="10"/>
      <c r="AI8750" s="10"/>
    </row>
    <row r="8751" spans="28:35" ht="15" hidden="1" customHeight="1">
      <c r="AB8751" s="9"/>
      <c r="AC8751" s="9"/>
      <c r="AD8751" s="9"/>
      <c r="AF8751" s="10"/>
      <c r="AG8751" s="10"/>
      <c r="AH8751" s="10"/>
      <c r="AI8751" s="10"/>
    </row>
    <row r="8752" spans="28:35" ht="15" hidden="1" customHeight="1">
      <c r="AB8752" s="9"/>
      <c r="AC8752" s="9"/>
      <c r="AD8752" s="9"/>
      <c r="AF8752" s="10"/>
      <c r="AG8752" s="10"/>
      <c r="AH8752" s="10"/>
      <c r="AI8752" s="10"/>
    </row>
    <row r="8753" spans="28:35" ht="15" hidden="1" customHeight="1">
      <c r="AB8753" s="9"/>
      <c r="AC8753" s="9"/>
      <c r="AD8753" s="9"/>
      <c r="AF8753" s="10"/>
      <c r="AG8753" s="10"/>
      <c r="AH8753" s="10"/>
      <c r="AI8753" s="10"/>
    </row>
    <row r="8754" spans="28:35" ht="15" hidden="1" customHeight="1">
      <c r="AB8754" s="9"/>
      <c r="AC8754" s="9"/>
      <c r="AD8754" s="9"/>
      <c r="AF8754" s="10"/>
      <c r="AG8754" s="10"/>
      <c r="AH8754" s="10"/>
      <c r="AI8754" s="10"/>
    </row>
    <row r="8755" spans="28:35" ht="15" hidden="1" customHeight="1">
      <c r="AB8755" s="9"/>
      <c r="AC8755" s="9"/>
      <c r="AD8755" s="9"/>
      <c r="AF8755" s="10"/>
      <c r="AG8755" s="10"/>
      <c r="AH8755" s="10"/>
      <c r="AI8755" s="10"/>
    </row>
    <row r="8756" spans="28:35" ht="15" hidden="1" customHeight="1">
      <c r="AB8756" s="9"/>
      <c r="AC8756" s="9"/>
      <c r="AD8756" s="9"/>
      <c r="AF8756" s="10"/>
      <c r="AG8756" s="10"/>
      <c r="AH8756" s="10"/>
      <c r="AI8756" s="10"/>
    </row>
    <row r="8757" spans="28:35" ht="15" hidden="1" customHeight="1">
      <c r="AB8757" s="9"/>
      <c r="AC8757" s="9"/>
      <c r="AD8757" s="9"/>
      <c r="AF8757" s="10"/>
      <c r="AG8757" s="10"/>
      <c r="AH8757" s="10"/>
      <c r="AI8757" s="10"/>
    </row>
    <row r="8758" spans="28:35" ht="15" hidden="1" customHeight="1">
      <c r="AB8758" s="9"/>
      <c r="AC8758" s="9"/>
      <c r="AD8758" s="9"/>
      <c r="AF8758" s="10"/>
      <c r="AG8758" s="10"/>
      <c r="AH8758" s="10"/>
      <c r="AI8758" s="10"/>
    </row>
    <row r="8759" spans="28:35" ht="15" hidden="1" customHeight="1">
      <c r="AB8759" s="9"/>
      <c r="AC8759" s="9"/>
      <c r="AD8759" s="9"/>
      <c r="AF8759" s="10"/>
      <c r="AG8759" s="10"/>
      <c r="AH8759" s="10"/>
      <c r="AI8759" s="10"/>
    </row>
    <row r="8760" spans="28:35" ht="15" hidden="1" customHeight="1">
      <c r="AB8760" s="9"/>
      <c r="AC8760" s="9"/>
      <c r="AD8760" s="9"/>
      <c r="AF8760" s="10"/>
      <c r="AG8760" s="10"/>
      <c r="AH8760" s="10"/>
      <c r="AI8760" s="10"/>
    </row>
    <row r="8761" spans="28:35" ht="15" hidden="1" customHeight="1">
      <c r="AB8761" s="9"/>
      <c r="AC8761" s="9"/>
      <c r="AD8761" s="9"/>
      <c r="AF8761" s="10"/>
      <c r="AG8761" s="10"/>
      <c r="AH8761" s="10"/>
      <c r="AI8761" s="10"/>
    </row>
    <row r="8762" spans="28:35" ht="15" hidden="1" customHeight="1">
      <c r="AB8762" s="9"/>
      <c r="AC8762" s="9"/>
      <c r="AD8762" s="9"/>
      <c r="AF8762" s="10"/>
      <c r="AG8762" s="10"/>
      <c r="AH8762" s="10"/>
      <c r="AI8762" s="10"/>
    </row>
    <row r="8763" spans="28:35" ht="15" hidden="1" customHeight="1">
      <c r="AB8763" s="9"/>
      <c r="AC8763" s="9"/>
      <c r="AD8763" s="9"/>
      <c r="AF8763" s="10"/>
      <c r="AG8763" s="10"/>
      <c r="AH8763" s="10"/>
      <c r="AI8763" s="10"/>
    </row>
    <row r="8764" spans="28:35" ht="15" hidden="1" customHeight="1">
      <c r="AB8764" s="9"/>
      <c r="AC8764" s="9"/>
      <c r="AD8764" s="9"/>
      <c r="AF8764" s="10"/>
      <c r="AG8764" s="10"/>
      <c r="AH8764" s="10"/>
      <c r="AI8764" s="10"/>
    </row>
    <row r="8765" spans="28:35" ht="15" hidden="1" customHeight="1">
      <c r="AB8765" s="9"/>
      <c r="AC8765" s="9"/>
      <c r="AD8765" s="9"/>
      <c r="AF8765" s="10"/>
      <c r="AG8765" s="10"/>
      <c r="AH8765" s="10"/>
      <c r="AI8765" s="10"/>
    </row>
    <row r="8766" spans="28:35" ht="15" hidden="1" customHeight="1">
      <c r="AB8766" s="9"/>
      <c r="AC8766" s="9"/>
      <c r="AD8766" s="9"/>
      <c r="AF8766" s="10"/>
      <c r="AG8766" s="10"/>
      <c r="AH8766" s="10"/>
      <c r="AI8766" s="10"/>
    </row>
    <row r="8767" spans="28:35" ht="15" hidden="1" customHeight="1">
      <c r="AB8767" s="9"/>
      <c r="AC8767" s="9"/>
      <c r="AD8767" s="9"/>
      <c r="AF8767" s="10"/>
      <c r="AG8767" s="10"/>
      <c r="AH8767" s="10"/>
      <c r="AI8767" s="10"/>
    </row>
    <row r="8768" spans="28:35" ht="15" hidden="1" customHeight="1">
      <c r="AB8768" s="9"/>
      <c r="AC8768" s="9"/>
      <c r="AD8768" s="9"/>
      <c r="AF8768" s="10"/>
      <c r="AG8768" s="10"/>
      <c r="AH8768" s="10"/>
      <c r="AI8768" s="10"/>
    </row>
    <row r="8769" spans="28:35" ht="15" hidden="1" customHeight="1">
      <c r="AB8769" s="9"/>
      <c r="AC8769" s="9"/>
      <c r="AD8769" s="9"/>
      <c r="AF8769" s="10"/>
      <c r="AG8769" s="10"/>
      <c r="AH8769" s="10"/>
      <c r="AI8769" s="10"/>
    </row>
    <row r="8770" spans="28:35" ht="15" hidden="1" customHeight="1">
      <c r="AB8770" s="9"/>
      <c r="AC8770" s="9"/>
      <c r="AD8770" s="9"/>
      <c r="AF8770" s="10"/>
      <c r="AG8770" s="10"/>
      <c r="AH8770" s="10"/>
      <c r="AI8770" s="10"/>
    </row>
    <row r="8771" spans="28:35" ht="15" hidden="1" customHeight="1">
      <c r="AB8771" s="9"/>
      <c r="AC8771" s="9"/>
      <c r="AD8771" s="9"/>
      <c r="AF8771" s="10"/>
      <c r="AG8771" s="10"/>
      <c r="AH8771" s="10"/>
      <c r="AI8771" s="10"/>
    </row>
    <row r="8772" spans="28:35" ht="15" hidden="1" customHeight="1">
      <c r="AB8772" s="9"/>
      <c r="AC8772" s="9"/>
      <c r="AD8772" s="9"/>
      <c r="AF8772" s="10"/>
      <c r="AG8772" s="10"/>
      <c r="AH8772" s="10"/>
      <c r="AI8772" s="10"/>
    </row>
    <row r="8773" spans="28:35" ht="15" hidden="1" customHeight="1">
      <c r="AB8773" s="9"/>
      <c r="AC8773" s="9"/>
      <c r="AD8773" s="9"/>
      <c r="AF8773" s="10"/>
      <c r="AG8773" s="10"/>
      <c r="AH8773" s="10"/>
      <c r="AI8773" s="10"/>
    </row>
    <row r="8774" spans="28:35" ht="15" hidden="1" customHeight="1">
      <c r="AB8774" s="9"/>
      <c r="AC8774" s="9"/>
      <c r="AD8774" s="9"/>
      <c r="AF8774" s="10"/>
      <c r="AG8774" s="10"/>
      <c r="AH8774" s="10"/>
      <c r="AI8774" s="10"/>
    </row>
    <row r="8775" spans="28:35" ht="15" hidden="1" customHeight="1">
      <c r="AB8775" s="9"/>
      <c r="AC8775" s="9"/>
      <c r="AD8775" s="9"/>
      <c r="AF8775" s="10"/>
      <c r="AG8775" s="10"/>
      <c r="AH8775" s="10"/>
      <c r="AI8775" s="10"/>
    </row>
    <row r="8776" spans="28:35" ht="15" hidden="1" customHeight="1">
      <c r="AB8776" s="9"/>
      <c r="AC8776" s="9"/>
      <c r="AD8776" s="9"/>
      <c r="AF8776" s="10"/>
      <c r="AG8776" s="10"/>
      <c r="AH8776" s="10"/>
      <c r="AI8776" s="10"/>
    </row>
    <row r="8777" spans="28:35" ht="15" hidden="1" customHeight="1">
      <c r="AB8777" s="9"/>
      <c r="AC8777" s="9"/>
      <c r="AD8777" s="9"/>
      <c r="AF8777" s="10"/>
      <c r="AG8777" s="10"/>
      <c r="AH8777" s="10"/>
      <c r="AI8777" s="10"/>
    </row>
    <row r="8778" spans="28:35" ht="15" hidden="1" customHeight="1">
      <c r="AB8778" s="9"/>
      <c r="AC8778" s="9"/>
      <c r="AD8778" s="9"/>
      <c r="AF8778" s="10"/>
      <c r="AG8778" s="10"/>
      <c r="AH8778" s="10"/>
      <c r="AI8778" s="10"/>
    </row>
    <row r="8779" spans="28:35" ht="15" hidden="1" customHeight="1">
      <c r="AB8779" s="9"/>
      <c r="AC8779" s="9"/>
      <c r="AD8779" s="9"/>
      <c r="AF8779" s="10"/>
      <c r="AG8779" s="10"/>
      <c r="AH8779" s="10"/>
      <c r="AI8779" s="10"/>
    </row>
    <row r="8780" spans="28:35" ht="15" hidden="1" customHeight="1">
      <c r="AB8780" s="9"/>
      <c r="AC8780" s="9"/>
      <c r="AD8780" s="9"/>
      <c r="AF8780" s="10"/>
      <c r="AG8780" s="10"/>
      <c r="AH8780" s="10"/>
      <c r="AI8780" s="10"/>
    </row>
    <row r="8781" spans="28:35" ht="15" hidden="1" customHeight="1">
      <c r="AB8781" s="9"/>
      <c r="AC8781" s="9"/>
      <c r="AD8781" s="9"/>
      <c r="AF8781" s="10"/>
      <c r="AG8781" s="10"/>
      <c r="AH8781" s="10"/>
      <c r="AI8781" s="10"/>
    </row>
    <row r="8782" spans="28:35" ht="15" hidden="1" customHeight="1">
      <c r="AB8782" s="9"/>
      <c r="AC8782" s="9"/>
      <c r="AD8782" s="9"/>
      <c r="AF8782" s="10"/>
      <c r="AG8782" s="10"/>
      <c r="AH8782" s="10"/>
      <c r="AI8782" s="10"/>
    </row>
    <row r="8783" spans="28:35" ht="15" hidden="1" customHeight="1">
      <c r="AB8783" s="9"/>
      <c r="AC8783" s="9"/>
      <c r="AD8783" s="9"/>
      <c r="AF8783" s="10"/>
      <c r="AG8783" s="10"/>
      <c r="AH8783" s="10"/>
      <c r="AI8783" s="10"/>
    </row>
    <row r="8784" spans="28:35" ht="15" hidden="1" customHeight="1">
      <c r="AB8784" s="9"/>
      <c r="AC8784" s="9"/>
      <c r="AD8784" s="9"/>
      <c r="AF8784" s="10"/>
      <c r="AG8784" s="10"/>
      <c r="AH8784" s="10"/>
      <c r="AI8784" s="10"/>
    </row>
    <row r="8785" spans="28:35" ht="15" hidden="1" customHeight="1">
      <c r="AB8785" s="9"/>
      <c r="AC8785" s="9"/>
      <c r="AD8785" s="9"/>
      <c r="AF8785" s="10"/>
      <c r="AG8785" s="10"/>
      <c r="AH8785" s="10"/>
      <c r="AI8785" s="10"/>
    </row>
    <row r="8786" spans="28:35" ht="15" hidden="1" customHeight="1">
      <c r="AB8786" s="9"/>
      <c r="AC8786" s="9"/>
      <c r="AD8786" s="9"/>
      <c r="AF8786" s="10"/>
      <c r="AG8786" s="10"/>
      <c r="AH8786" s="10"/>
      <c r="AI8786" s="10"/>
    </row>
    <row r="8787" spans="28:35" ht="15" hidden="1" customHeight="1">
      <c r="AB8787" s="9"/>
      <c r="AC8787" s="9"/>
      <c r="AD8787" s="9"/>
      <c r="AF8787" s="10"/>
      <c r="AG8787" s="10"/>
      <c r="AH8787" s="10"/>
      <c r="AI8787" s="10"/>
    </row>
    <row r="8788" spans="28:35" ht="15" hidden="1" customHeight="1">
      <c r="AB8788" s="9"/>
      <c r="AC8788" s="9"/>
      <c r="AD8788" s="9"/>
      <c r="AF8788" s="10"/>
      <c r="AG8788" s="10"/>
      <c r="AH8788" s="10"/>
      <c r="AI8788" s="10"/>
    </row>
    <row r="8789" spans="28:35" ht="15" hidden="1" customHeight="1">
      <c r="AB8789" s="9"/>
      <c r="AC8789" s="9"/>
      <c r="AD8789" s="9"/>
      <c r="AF8789" s="10"/>
      <c r="AG8789" s="10"/>
      <c r="AH8789" s="10"/>
      <c r="AI8789" s="10"/>
    </row>
    <row r="8790" spans="28:35" ht="15" hidden="1" customHeight="1">
      <c r="AB8790" s="9"/>
      <c r="AC8790" s="9"/>
      <c r="AD8790" s="9"/>
      <c r="AF8790" s="10"/>
      <c r="AG8790" s="10"/>
      <c r="AH8790" s="10"/>
      <c r="AI8790" s="10"/>
    </row>
    <row r="8791" spans="28:35" ht="15" hidden="1" customHeight="1">
      <c r="AB8791" s="9"/>
      <c r="AC8791" s="9"/>
      <c r="AD8791" s="9"/>
      <c r="AF8791" s="10"/>
      <c r="AG8791" s="10"/>
      <c r="AH8791" s="10"/>
      <c r="AI8791" s="10"/>
    </row>
    <row r="8792" spans="28:35" ht="15" hidden="1" customHeight="1">
      <c r="AB8792" s="9"/>
      <c r="AC8792" s="9"/>
      <c r="AD8792" s="9"/>
      <c r="AF8792" s="10"/>
      <c r="AG8792" s="10"/>
      <c r="AH8792" s="10"/>
      <c r="AI8792" s="10"/>
    </row>
    <row r="8793" spans="28:35" ht="15" hidden="1" customHeight="1">
      <c r="AB8793" s="9"/>
      <c r="AC8793" s="9"/>
      <c r="AD8793" s="9"/>
      <c r="AF8793" s="10"/>
      <c r="AG8793" s="10"/>
      <c r="AH8793" s="10"/>
      <c r="AI8793" s="10"/>
    </row>
    <row r="8794" spans="28:35" ht="15" hidden="1" customHeight="1">
      <c r="AB8794" s="9"/>
      <c r="AC8794" s="9"/>
      <c r="AD8794" s="9"/>
      <c r="AF8794" s="10"/>
      <c r="AG8794" s="10"/>
      <c r="AH8794" s="10"/>
      <c r="AI8794" s="10"/>
    </row>
    <row r="8795" spans="28:35" ht="15" hidden="1" customHeight="1">
      <c r="AB8795" s="9"/>
      <c r="AC8795" s="9"/>
      <c r="AD8795" s="9"/>
      <c r="AF8795" s="10"/>
      <c r="AG8795" s="10"/>
      <c r="AH8795" s="10"/>
      <c r="AI8795" s="10"/>
    </row>
    <row r="8796" spans="28:35" ht="15" hidden="1" customHeight="1">
      <c r="AB8796" s="9"/>
      <c r="AC8796" s="9"/>
      <c r="AD8796" s="9"/>
      <c r="AF8796" s="10"/>
      <c r="AG8796" s="10"/>
      <c r="AH8796" s="10"/>
      <c r="AI8796" s="10"/>
    </row>
    <row r="8797" spans="28:35" ht="15" hidden="1" customHeight="1">
      <c r="AB8797" s="9"/>
      <c r="AC8797" s="9"/>
      <c r="AD8797" s="9"/>
      <c r="AF8797" s="10"/>
      <c r="AG8797" s="10"/>
      <c r="AH8797" s="10"/>
      <c r="AI8797" s="10"/>
    </row>
    <row r="8798" spans="28:35" ht="15" hidden="1" customHeight="1">
      <c r="AB8798" s="9"/>
      <c r="AC8798" s="9"/>
      <c r="AD8798" s="9"/>
      <c r="AF8798" s="10"/>
      <c r="AG8798" s="10"/>
      <c r="AH8798" s="10"/>
      <c r="AI8798" s="10"/>
    </row>
    <row r="8799" spans="28:35" ht="15" hidden="1" customHeight="1">
      <c r="AB8799" s="9"/>
      <c r="AC8799" s="9"/>
      <c r="AD8799" s="9"/>
      <c r="AF8799" s="10"/>
      <c r="AG8799" s="10"/>
      <c r="AH8799" s="10"/>
      <c r="AI8799" s="10"/>
    </row>
    <row r="8800" spans="28:35" ht="15" hidden="1" customHeight="1">
      <c r="AB8800" s="9"/>
      <c r="AC8800" s="9"/>
      <c r="AD8800" s="9"/>
      <c r="AF8800" s="10"/>
      <c r="AG8800" s="10"/>
      <c r="AH8800" s="10"/>
      <c r="AI8800" s="10"/>
    </row>
    <row r="8801" spans="28:35" ht="15" hidden="1" customHeight="1">
      <c r="AB8801" s="9"/>
      <c r="AC8801" s="9"/>
      <c r="AD8801" s="9"/>
      <c r="AF8801" s="10"/>
      <c r="AG8801" s="10"/>
      <c r="AH8801" s="10"/>
      <c r="AI8801" s="10"/>
    </row>
    <row r="8802" spans="28:35" ht="15" hidden="1" customHeight="1">
      <c r="AB8802" s="9"/>
      <c r="AC8802" s="9"/>
      <c r="AD8802" s="9"/>
      <c r="AF8802" s="10"/>
      <c r="AG8802" s="10"/>
      <c r="AH8802" s="10"/>
      <c r="AI8802" s="10"/>
    </row>
    <row r="8803" spans="28:35" ht="15" hidden="1" customHeight="1">
      <c r="AB8803" s="9"/>
      <c r="AC8803" s="9"/>
      <c r="AD8803" s="9"/>
      <c r="AF8803" s="10"/>
      <c r="AG8803" s="10"/>
      <c r="AH8803" s="10"/>
      <c r="AI8803" s="10"/>
    </row>
    <row r="8804" spans="28:35" ht="15" hidden="1" customHeight="1">
      <c r="AB8804" s="9"/>
      <c r="AC8804" s="9"/>
      <c r="AD8804" s="9"/>
      <c r="AF8804" s="10"/>
      <c r="AG8804" s="10"/>
      <c r="AH8804" s="10"/>
      <c r="AI8804" s="10"/>
    </row>
    <row r="8805" spans="28:35" ht="15" hidden="1" customHeight="1">
      <c r="AB8805" s="9"/>
      <c r="AC8805" s="9"/>
      <c r="AD8805" s="9"/>
      <c r="AF8805" s="10"/>
      <c r="AG8805" s="10"/>
      <c r="AH8805" s="10"/>
      <c r="AI8805" s="10"/>
    </row>
    <row r="8806" spans="28:35" ht="15" hidden="1" customHeight="1">
      <c r="AB8806" s="9"/>
      <c r="AC8806" s="9"/>
      <c r="AD8806" s="9"/>
      <c r="AF8806" s="10"/>
      <c r="AG8806" s="10"/>
      <c r="AH8806" s="10"/>
      <c r="AI8806" s="10"/>
    </row>
    <row r="8807" spans="28:35" ht="15" hidden="1" customHeight="1">
      <c r="AB8807" s="9"/>
      <c r="AC8807" s="9"/>
      <c r="AD8807" s="9"/>
      <c r="AF8807" s="10"/>
      <c r="AG8807" s="10"/>
      <c r="AH8807" s="10"/>
      <c r="AI8807" s="10"/>
    </row>
    <row r="8808" spans="28:35" ht="15" hidden="1" customHeight="1">
      <c r="AB8808" s="9"/>
      <c r="AC8808" s="9"/>
      <c r="AD8808" s="9"/>
      <c r="AF8808" s="10"/>
      <c r="AG8808" s="10"/>
      <c r="AH8808" s="10"/>
      <c r="AI8808" s="10"/>
    </row>
    <row r="8809" spans="28:35" ht="15" hidden="1" customHeight="1">
      <c r="AB8809" s="9"/>
      <c r="AC8809" s="9"/>
      <c r="AD8809" s="9"/>
      <c r="AF8809" s="10"/>
      <c r="AG8809" s="10"/>
      <c r="AH8809" s="10"/>
      <c r="AI8809" s="10"/>
    </row>
    <row r="8810" spans="28:35" ht="15" hidden="1" customHeight="1">
      <c r="AB8810" s="9"/>
      <c r="AC8810" s="9"/>
      <c r="AD8810" s="9"/>
      <c r="AF8810" s="10"/>
      <c r="AG8810" s="10"/>
      <c r="AH8810" s="10"/>
      <c r="AI8810" s="10"/>
    </row>
    <row r="8811" spans="28:35" ht="15" hidden="1" customHeight="1">
      <c r="AB8811" s="9"/>
      <c r="AC8811" s="9"/>
      <c r="AD8811" s="9"/>
      <c r="AF8811" s="10"/>
      <c r="AG8811" s="10"/>
      <c r="AH8811" s="10"/>
      <c r="AI8811" s="10"/>
    </row>
    <row r="8812" spans="28:35" ht="15" hidden="1" customHeight="1">
      <c r="AB8812" s="9"/>
      <c r="AC8812" s="9"/>
      <c r="AD8812" s="9"/>
      <c r="AF8812" s="10"/>
      <c r="AG8812" s="10"/>
      <c r="AH8812" s="10"/>
      <c r="AI8812" s="10"/>
    </row>
    <row r="8813" spans="28:35" ht="15" hidden="1" customHeight="1">
      <c r="AB8813" s="9"/>
      <c r="AC8813" s="9"/>
      <c r="AD8813" s="9"/>
      <c r="AF8813" s="10"/>
      <c r="AG8813" s="10"/>
      <c r="AH8813" s="10"/>
      <c r="AI8813" s="10"/>
    </row>
    <row r="8814" spans="28:35" ht="15" hidden="1" customHeight="1">
      <c r="AB8814" s="9"/>
      <c r="AC8814" s="9"/>
      <c r="AD8814" s="9"/>
      <c r="AF8814" s="10"/>
      <c r="AG8814" s="10"/>
      <c r="AH8814" s="10"/>
      <c r="AI8814" s="10"/>
    </row>
    <row r="8815" spans="28:35" ht="15" hidden="1" customHeight="1">
      <c r="AB8815" s="9"/>
      <c r="AC8815" s="9"/>
      <c r="AD8815" s="9"/>
      <c r="AF8815" s="10"/>
      <c r="AG8815" s="10"/>
      <c r="AH8815" s="10"/>
      <c r="AI8815" s="10"/>
    </row>
    <row r="8816" spans="28:35" ht="15" hidden="1" customHeight="1">
      <c r="AB8816" s="9"/>
      <c r="AC8816" s="9"/>
      <c r="AD8816" s="9"/>
      <c r="AF8816" s="10"/>
      <c r="AG8816" s="10"/>
      <c r="AH8816" s="10"/>
      <c r="AI8816" s="10"/>
    </row>
    <row r="8817" spans="28:35" ht="15" hidden="1" customHeight="1">
      <c r="AB8817" s="9"/>
      <c r="AC8817" s="9"/>
      <c r="AD8817" s="9"/>
      <c r="AF8817" s="10"/>
      <c r="AG8817" s="10"/>
      <c r="AH8817" s="10"/>
      <c r="AI8817" s="10"/>
    </row>
    <row r="8818" spans="28:35" ht="15" hidden="1" customHeight="1">
      <c r="AB8818" s="9"/>
      <c r="AC8818" s="9"/>
      <c r="AD8818" s="9"/>
      <c r="AF8818" s="10"/>
      <c r="AG8818" s="10"/>
      <c r="AH8818" s="10"/>
      <c r="AI8818" s="10"/>
    </row>
    <row r="8819" spans="28:35" ht="15" hidden="1" customHeight="1">
      <c r="AB8819" s="9"/>
      <c r="AC8819" s="9"/>
      <c r="AD8819" s="9"/>
      <c r="AF8819" s="10"/>
      <c r="AG8819" s="10"/>
      <c r="AH8819" s="10"/>
      <c r="AI8819" s="10"/>
    </row>
    <row r="8820" spans="28:35" ht="15" hidden="1" customHeight="1">
      <c r="AB8820" s="9"/>
      <c r="AC8820" s="9"/>
      <c r="AD8820" s="9"/>
      <c r="AF8820" s="10"/>
      <c r="AG8820" s="10"/>
      <c r="AH8820" s="10"/>
      <c r="AI8820" s="10"/>
    </row>
    <row r="8821" spans="28:35" ht="15" hidden="1" customHeight="1">
      <c r="AB8821" s="9"/>
      <c r="AC8821" s="9"/>
      <c r="AD8821" s="9"/>
      <c r="AF8821" s="10"/>
      <c r="AG8821" s="10"/>
      <c r="AH8821" s="10"/>
      <c r="AI8821" s="10"/>
    </row>
    <row r="8822" spans="28:35" ht="15" hidden="1" customHeight="1">
      <c r="AB8822" s="9"/>
      <c r="AC8822" s="9"/>
      <c r="AD8822" s="9"/>
      <c r="AF8822" s="10"/>
      <c r="AG8822" s="10"/>
      <c r="AH8822" s="10"/>
      <c r="AI8822" s="10"/>
    </row>
    <row r="8823" spans="28:35" ht="15" hidden="1" customHeight="1">
      <c r="AB8823" s="9"/>
      <c r="AC8823" s="9"/>
      <c r="AD8823" s="9"/>
      <c r="AF8823" s="10"/>
      <c r="AG8823" s="10"/>
      <c r="AH8823" s="10"/>
      <c r="AI8823" s="10"/>
    </row>
    <row r="8824" spans="28:35" ht="15" hidden="1" customHeight="1">
      <c r="AB8824" s="9"/>
      <c r="AC8824" s="9"/>
      <c r="AD8824" s="9"/>
      <c r="AF8824" s="10"/>
      <c r="AG8824" s="10"/>
      <c r="AH8824" s="10"/>
      <c r="AI8824" s="10"/>
    </row>
    <row r="8825" spans="28:35" ht="15" hidden="1" customHeight="1">
      <c r="AB8825" s="9"/>
      <c r="AC8825" s="9"/>
      <c r="AD8825" s="9"/>
      <c r="AF8825" s="10"/>
      <c r="AG8825" s="10"/>
      <c r="AH8825" s="10"/>
      <c r="AI8825" s="10"/>
    </row>
    <row r="8826" spans="28:35" ht="15" hidden="1" customHeight="1">
      <c r="AB8826" s="9"/>
      <c r="AC8826" s="9"/>
      <c r="AD8826" s="9"/>
      <c r="AF8826" s="10"/>
      <c r="AG8826" s="10"/>
      <c r="AH8826" s="10"/>
      <c r="AI8826" s="10"/>
    </row>
    <row r="8827" spans="28:35" ht="15" hidden="1" customHeight="1">
      <c r="AB8827" s="9"/>
      <c r="AC8827" s="9"/>
      <c r="AD8827" s="9"/>
      <c r="AF8827" s="10"/>
      <c r="AG8827" s="10"/>
      <c r="AH8827" s="10"/>
      <c r="AI8827" s="10"/>
    </row>
    <row r="8828" spans="28:35" ht="15" hidden="1" customHeight="1">
      <c r="AB8828" s="9"/>
      <c r="AC8828" s="9"/>
      <c r="AD8828" s="9"/>
      <c r="AF8828" s="10"/>
      <c r="AG8828" s="10"/>
      <c r="AH8828" s="10"/>
      <c r="AI8828" s="10"/>
    </row>
    <row r="8829" spans="28:35" ht="15" hidden="1" customHeight="1">
      <c r="AB8829" s="9"/>
      <c r="AC8829" s="9"/>
      <c r="AD8829" s="9"/>
      <c r="AF8829" s="10"/>
      <c r="AG8829" s="10"/>
      <c r="AH8829" s="10"/>
      <c r="AI8829" s="10"/>
    </row>
    <row r="8830" spans="28:35" ht="15" hidden="1" customHeight="1">
      <c r="AB8830" s="9"/>
      <c r="AC8830" s="9"/>
      <c r="AD8830" s="9"/>
      <c r="AF8830" s="10"/>
      <c r="AG8830" s="10"/>
      <c r="AH8830" s="10"/>
      <c r="AI8830" s="10"/>
    </row>
    <row r="8831" spans="28:35" ht="15" hidden="1" customHeight="1">
      <c r="AB8831" s="9"/>
      <c r="AC8831" s="9"/>
      <c r="AD8831" s="9"/>
      <c r="AF8831" s="10"/>
      <c r="AG8831" s="10"/>
      <c r="AH8831" s="10"/>
      <c r="AI8831" s="10"/>
    </row>
    <row r="8832" spans="28:35" ht="15" hidden="1" customHeight="1">
      <c r="AB8832" s="9"/>
      <c r="AC8832" s="9"/>
      <c r="AD8832" s="9"/>
      <c r="AF8832" s="10"/>
      <c r="AG8832" s="10"/>
      <c r="AH8832" s="10"/>
      <c r="AI8832" s="10"/>
    </row>
    <row r="8833" spans="28:35" ht="15" hidden="1" customHeight="1">
      <c r="AB8833" s="9"/>
      <c r="AC8833" s="9"/>
      <c r="AD8833" s="9"/>
      <c r="AF8833" s="10"/>
      <c r="AG8833" s="10"/>
      <c r="AH8833" s="10"/>
      <c r="AI8833" s="10"/>
    </row>
    <row r="8834" spans="28:35" ht="15" hidden="1" customHeight="1">
      <c r="AB8834" s="9"/>
      <c r="AC8834" s="9"/>
      <c r="AD8834" s="9"/>
      <c r="AF8834" s="10"/>
      <c r="AG8834" s="10"/>
      <c r="AH8834" s="10"/>
      <c r="AI8834" s="10"/>
    </row>
    <row r="8835" spans="28:35" ht="15" hidden="1" customHeight="1">
      <c r="AB8835" s="9"/>
      <c r="AC8835" s="9"/>
      <c r="AD8835" s="9"/>
      <c r="AF8835" s="10"/>
      <c r="AG8835" s="10"/>
      <c r="AH8835" s="10"/>
      <c r="AI8835" s="10"/>
    </row>
    <row r="8836" spans="28:35" ht="15" hidden="1" customHeight="1">
      <c r="AB8836" s="9"/>
      <c r="AC8836" s="9"/>
      <c r="AD8836" s="9"/>
      <c r="AF8836" s="10"/>
      <c r="AG8836" s="10"/>
      <c r="AH8836" s="10"/>
      <c r="AI8836" s="10"/>
    </row>
    <row r="8837" spans="28:35" ht="15" hidden="1" customHeight="1">
      <c r="AB8837" s="9"/>
      <c r="AC8837" s="9"/>
      <c r="AD8837" s="9"/>
      <c r="AF8837" s="10"/>
      <c r="AG8837" s="10"/>
      <c r="AH8837" s="10"/>
      <c r="AI8837" s="10"/>
    </row>
    <row r="8838" spans="28:35" ht="15" hidden="1" customHeight="1">
      <c r="AB8838" s="9"/>
      <c r="AC8838" s="9"/>
      <c r="AD8838" s="9"/>
      <c r="AF8838" s="10"/>
      <c r="AG8838" s="10"/>
      <c r="AH8838" s="10"/>
      <c r="AI8838" s="10"/>
    </row>
    <row r="8839" spans="28:35" ht="15" hidden="1" customHeight="1">
      <c r="AB8839" s="9"/>
      <c r="AC8839" s="9"/>
      <c r="AD8839" s="9"/>
      <c r="AF8839" s="10"/>
      <c r="AG8839" s="10"/>
      <c r="AH8839" s="10"/>
      <c r="AI8839" s="10"/>
    </row>
    <row r="8840" spans="28:35" ht="15" hidden="1" customHeight="1">
      <c r="AB8840" s="9"/>
      <c r="AC8840" s="9"/>
      <c r="AD8840" s="9"/>
      <c r="AF8840" s="10"/>
      <c r="AG8840" s="10"/>
      <c r="AH8840" s="10"/>
      <c r="AI8840" s="10"/>
    </row>
    <row r="8841" spans="28:35" ht="15" hidden="1" customHeight="1">
      <c r="AB8841" s="9"/>
      <c r="AC8841" s="9"/>
      <c r="AD8841" s="9"/>
      <c r="AF8841" s="10"/>
      <c r="AG8841" s="10"/>
      <c r="AH8841" s="10"/>
      <c r="AI8841" s="10"/>
    </row>
    <row r="8842" spans="28:35" ht="15" hidden="1" customHeight="1">
      <c r="AB8842" s="9"/>
      <c r="AC8842" s="9"/>
      <c r="AD8842" s="9"/>
      <c r="AF8842" s="10"/>
      <c r="AG8842" s="10"/>
      <c r="AH8842" s="10"/>
      <c r="AI8842" s="10"/>
    </row>
    <row r="8843" spans="28:35" ht="15" hidden="1" customHeight="1">
      <c r="AB8843" s="9"/>
      <c r="AC8843" s="9"/>
      <c r="AD8843" s="9"/>
      <c r="AF8843" s="10"/>
      <c r="AG8843" s="10"/>
      <c r="AH8843" s="10"/>
      <c r="AI8843" s="10"/>
    </row>
    <row r="8844" spans="28:35" ht="15" hidden="1" customHeight="1">
      <c r="AB8844" s="9"/>
      <c r="AC8844" s="9"/>
      <c r="AD8844" s="9"/>
      <c r="AF8844" s="10"/>
      <c r="AG8844" s="10"/>
      <c r="AH8844" s="10"/>
      <c r="AI8844" s="10"/>
    </row>
    <row r="8845" spans="28:35" ht="15" hidden="1" customHeight="1">
      <c r="AB8845" s="9"/>
      <c r="AC8845" s="9"/>
      <c r="AD8845" s="9"/>
      <c r="AF8845" s="10"/>
      <c r="AG8845" s="10"/>
      <c r="AH8845" s="10"/>
      <c r="AI8845" s="10"/>
    </row>
    <row r="8846" spans="28:35" ht="15" hidden="1" customHeight="1">
      <c r="AB8846" s="9"/>
      <c r="AC8846" s="9"/>
      <c r="AD8846" s="9"/>
      <c r="AF8846" s="10"/>
      <c r="AG8846" s="10"/>
      <c r="AH8846" s="10"/>
      <c r="AI8846" s="10"/>
    </row>
    <row r="8847" spans="28:35" ht="15" hidden="1" customHeight="1">
      <c r="AB8847" s="9"/>
      <c r="AC8847" s="9"/>
      <c r="AD8847" s="9"/>
      <c r="AF8847" s="10"/>
      <c r="AG8847" s="10"/>
      <c r="AH8847" s="10"/>
      <c r="AI8847" s="10"/>
    </row>
    <row r="8848" spans="28:35" ht="15" hidden="1" customHeight="1">
      <c r="AB8848" s="9"/>
      <c r="AC8848" s="9"/>
      <c r="AD8848" s="9"/>
      <c r="AF8848" s="10"/>
      <c r="AG8848" s="10"/>
      <c r="AH8848" s="10"/>
      <c r="AI8848" s="10"/>
    </row>
    <row r="8849" spans="28:35" ht="15" hidden="1" customHeight="1">
      <c r="AB8849" s="9"/>
      <c r="AC8849" s="9"/>
      <c r="AD8849" s="9"/>
      <c r="AF8849" s="10"/>
      <c r="AG8849" s="10"/>
      <c r="AH8849" s="10"/>
      <c r="AI8849" s="10"/>
    </row>
    <row r="8850" spans="28:35" ht="15" hidden="1" customHeight="1">
      <c r="AB8850" s="9"/>
      <c r="AC8850" s="9"/>
      <c r="AD8850" s="9"/>
      <c r="AF8850" s="10"/>
      <c r="AG8850" s="10"/>
      <c r="AH8850" s="10"/>
      <c r="AI8850" s="10"/>
    </row>
    <row r="8851" spans="28:35" ht="15" hidden="1" customHeight="1">
      <c r="AB8851" s="9"/>
      <c r="AC8851" s="9"/>
      <c r="AD8851" s="9"/>
      <c r="AF8851" s="10"/>
      <c r="AG8851" s="10"/>
      <c r="AH8851" s="10"/>
      <c r="AI8851" s="10"/>
    </row>
    <row r="8852" spans="28:35" ht="15" hidden="1" customHeight="1">
      <c r="AB8852" s="9"/>
      <c r="AC8852" s="9"/>
      <c r="AD8852" s="9"/>
      <c r="AF8852" s="10"/>
      <c r="AG8852" s="10"/>
      <c r="AH8852" s="10"/>
      <c r="AI8852" s="10"/>
    </row>
    <row r="8853" spans="28:35" ht="15" hidden="1" customHeight="1">
      <c r="AB8853" s="9"/>
      <c r="AC8853" s="9"/>
      <c r="AD8853" s="9"/>
      <c r="AF8853" s="10"/>
      <c r="AG8853" s="10"/>
      <c r="AH8853" s="10"/>
      <c r="AI8853" s="10"/>
    </row>
    <row r="8854" spans="28:35" ht="15" hidden="1" customHeight="1">
      <c r="AB8854" s="9"/>
      <c r="AC8854" s="9"/>
      <c r="AD8854" s="9"/>
      <c r="AF8854" s="10"/>
      <c r="AG8854" s="10"/>
      <c r="AH8854" s="10"/>
      <c r="AI8854" s="10"/>
    </row>
    <row r="8855" spans="28:35" ht="15" hidden="1" customHeight="1">
      <c r="AB8855" s="9"/>
      <c r="AC8855" s="9"/>
      <c r="AD8855" s="9"/>
      <c r="AF8855" s="10"/>
      <c r="AG8855" s="10"/>
      <c r="AH8855" s="10"/>
      <c r="AI8855" s="10"/>
    </row>
    <row r="8856" spans="28:35" ht="15" hidden="1" customHeight="1">
      <c r="AB8856" s="9"/>
      <c r="AC8856" s="9"/>
      <c r="AD8856" s="9"/>
      <c r="AF8856" s="10"/>
      <c r="AG8856" s="10"/>
      <c r="AH8856" s="10"/>
      <c r="AI8856" s="10"/>
    </row>
    <row r="8857" spans="28:35" ht="15" hidden="1" customHeight="1">
      <c r="AB8857" s="9"/>
      <c r="AC8857" s="9"/>
      <c r="AD8857" s="9"/>
      <c r="AF8857" s="10"/>
      <c r="AG8857" s="10"/>
      <c r="AH8857" s="10"/>
      <c r="AI8857" s="10"/>
    </row>
    <row r="8858" spans="28:35" ht="15" hidden="1" customHeight="1">
      <c r="AB8858" s="9"/>
      <c r="AC8858" s="9"/>
      <c r="AD8858" s="9"/>
      <c r="AF8858" s="10"/>
      <c r="AG8858" s="10"/>
      <c r="AH8858" s="10"/>
      <c r="AI8858" s="10"/>
    </row>
    <row r="8859" spans="28:35" ht="15" hidden="1" customHeight="1">
      <c r="AB8859" s="9"/>
      <c r="AC8859" s="9"/>
      <c r="AD8859" s="9"/>
      <c r="AF8859" s="10"/>
      <c r="AG8859" s="10"/>
      <c r="AH8859" s="10"/>
      <c r="AI8859" s="10"/>
    </row>
    <row r="8860" spans="28:35" ht="15" hidden="1" customHeight="1">
      <c r="AB8860" s="9"/>
      <c r="AC8860" s="9"/>
      <c r="AD8860" s="9"/>
      <c r="AF8860" s="10"/>
      <c r="AG8860" s="10"/>
      <c r="AH8860" s="10"/>
      <c r="AI8860" s="10"/>
    </row>
    <row r="8861" spans="28:35" ht="15" hidden="1" customHeight="1">
      <c r="AB8861" s="9"/>
      <c r="AC8861" s="9"/>
      <c r="AD8861" s="9"/>
      <c r="AF8861" s="10"/>
      <c r="AG8861" s="10"/>
      <c r="AH8861" s="10"/>
      <c r="AI8861" s="10"/>
    </row>
    <row r="8862" spans="28:35" ht="15" hidden="1" customHeight="1">
      <c r="AB8862" s="9"/>
      <c r="AC8862" s="9"/>
      <c r="AD8862" s="9"/>
      <c r="AF8862" s="10"/>
      <c r="AG8862" s="10"/>
      <c r="AH8862" s="10"/>
      <c r="AI8862" s="10"/>
    </row>
    <row r="8863" spans="28:35" ht="15" hidden="1" customHeight="1">
      <c r="AB8863" s="9"/>
      <c r="AC8863" s="9"/>
      <c r="AD8863" s="9"/>
      <c r="AF8863" s="10"/>
      <c r="AG8863" s="10"/>
      <c r="AH8863" s="10"/>
      <c r="AI8863" s="10"/>
    </row>
    <row r="8864" spans="28:35" ht="15" hidden="1" customHeight="1">
      <c r="AB8864" s="9"/>
      <c r="AC8864" s="9"/>
      <c r="AD8864" s="9"/>
      <c r="AF8864" s="10"/>
      <c r="AG8864" s="10"/>
      <c r="AH8864" s="10"/>
      <c r="AI8864" s="10"/>
    </row>
    <row r="8865" spans="28:35" ht="15" hidden="1" customHeight="1">
      <c r="AB8865" s="9"/>
      <c r="AC8865" s="9"/>
      <c r="AD8865" s="9"/>
      <c r="AF8865" s="10"/>
      <c r="AG8865" s="10"/>
      <c r="AH8865" s="10"/>
      <c r="AI8865" s="10"/>
    </row>
    <row r="8866" spans="28:35" ht="15" hidden="1" customHeight="1">
      <c r="AB8866" s="9"/>
      <c r="AC8866" s="9"/>
      <c r="AD8866" s="9"/>
      <c r="AF8866" s="10"/>
      <c r="AG8866" s="10"/>
      <c r="AH8866" s="10"/>
      <c r="AI8866" s="10"/>
    </row>
    <row r="8867" spans="28:35" ht="15" hidden="1" customHeight="1">
      <c r="AB8867" s="9"/>
      <c r="AC8867" s="9"/>
      <c r="AD8867" s="9"/>
      <c r="AF8867" s="10"/>
      <c r="AG8867" s="10"/>
      <c r="AH8867" s="10"/>
      <c r="AI8867" s="10"/>
    </row>
    <row r="8868" spans="28:35" ht="15" hidden="1" customHeight="1">
      <c r="AB8868" s="9"/>
      <c r="AC8868" s="9"/>
      <c r="AD8868" s="9"/>
      <c r="AF8868" s="10"/>
      <c r="AG8868" s="10"/>
      <c r="AH8868" s="10"/>
      <c r="AI8868" s="10"/>
    </row>
    <row r="8869" spans="28:35" ht="15" hidden="1" customHeight="1">
      <c r="AB8869" s="9"/>
      <c r="AC8869" s="9"/>
      <c r="AD8869" s="9"/>
      <c r="AF8869" s="10"/>
      <c r="AG8869" s="10"/>
      <c r="AH8869" s="10"/>
      <c r="AI8869" s="10"/>
    </row>
    <row r="8870" spans="28:35" ht="15" hidden="1" customHeight="1">
      <c r="AB8870" s="9"/>
      <c r="AC8870" s="9"/>
      <c r="AD8870" s="9"/>
      <c r="AF8870" s="10"/>
      <c r="AG8870" s="10"/>
      <c r="AH8870" s="10"/>
      <c r="AI8870" s="10"/>
    </row>
    <row r="8871" spans="28:35" ht="15" hidden="1" customHeight="1">
      <c r="AB8871" s="9"/>
      <c r="AC8871" s="9"/>
      <c r="AD8871" s="9"/>
      <c r="AF8871" s="10"/>
      <c r="AG8871" s="10"/>
      <c r="AH8871" s="10"/>
      <c r="AI8871" s="10"/>
    </row>
    <row r="8872" spans="28:35" ht="15" hidden="1" customHeight="1">
      <c r="AB8872" s="9"/>
      <c r="AC8872" s="9"/>
      <c r="AD8872" s="9"/>
      <c r="AF8872" s="10"/>
      <c r="AG8872" s="10"/>
      <c r="AH8872" s="10"/>
      <c r="AI8872" s="10"/>
    </row>
    <row r="8873" spans="28:35" ht="15" hidden="1" customHeight="1">
      <c r="AB8873" s="9"/>
      <c r="AC8873" s="9"/>
      <c r="AD8873" s="9"/>
      <c r="AF8873" s="10"/>
      <c r="AG8873" s="10"/>
      <c r="AH8873" s="10"/>
      <c r="AI8873" s="10"/>
    </row>
    <row r="8874" spans="28:35" ht="15" hidden="1" customHeight="1">
      <c r="AB8874" s="9"/>
      <c r="AC8874" s="9"/>
      <c r="AD8874" s="9"/>
      <c r="AF8874" s="10"/>
      <c r="AG8874" s="10"/>
      <c r="AH8874" s="10"/>
      <c r="AI8874" s="10"/>
    </row>
    <row r="8875" spans="28:35" ht="15" hidden="1" customHeight="1">
      <c r="AB8875" s="9"/>
      <c r="AC8875" s="9"/>
      <c r="AD8875" s="9"/>
      <c r="AF8875" s="10"/>
      <c r="AG8875" s="10"/>
      <c r="AH8875" s="10"/>
      <c r="AI8875" s="10"/>
    </row>
    <row r="8876" spans="28:35" ht="15" hidden="1" customHeight="1">
      <c r="AB8876" s="9"/>
      <c r="AC8876" s="9"/>
      <c r="AD8876" s="9"/>
      <c r="AF8876" s="10"/>
      <c r="AG8876" s="10"/>
      <c r="AH8876" s="10"/>
      <c r="AI8876" s="10"/>
    </row>
    <row r="8877" spans="28:35" ht="15" hidden="1" customHeight="1">
      <c r="AB8877" s="9"/>
      <c r="AC8877" s="9"/>
      <c r="AD8877" s="9"/>
      <c r="AF8877" s="10"/>
      <c r="AG8877" s="10"/>
      <c r="AH8877" s="10"/>
      <c r="AI8877" s="10"/>
    </row>
    <row r="8878" spans="28:35" ht="15" hidden="1" customHeight="1">
      <c r="AB8878" s="9"/>
      <c r="AC8878" s="9"/>
      <c r="AD8878" s="9"/>
      <c r="AF8878" s="10"/>
      <c r="AG8878" s="10"/>
      <c r="AH8878" s="10"/>
      <c r="AI8878" s="10"/>
    </row>
    <row r="8879" spans="28:35" ht="15" hidden="1" customHeight="1">
      <c r="AB8879" s="9"/>
      <c r="AC8879" s="9"/>
      <c r="AD8879" s="9"/>
      <c r="AF8879" s="10"/>
      <c r="AG8879" s="10"/>
      <c r="AH8879" s="10"/>
      <c r="AI8879" s="10"/>
    </row>
    <row r="8880" spans="28:35" ht="15" hidden="1" customHeight="1">
      <c r="AB8880" s="9"/>
      <c r="AC8880" s="9"/>
      <c r="AD8880" s="9"/>
      <c r="AF8880" s="10"/>
      <c r="AG8880" s="10"/>
      <c r="AH8880" s="10"/>
      <c r="AI8880" s="10"/>
    </row>
    <row r="8881" spans="28:35" ht="15" hidden="1" customHeight="1">
      <c r="AB8881" s="9"/>
      <c r="AC8881" s="9"/>
      <c r="AD8881" s="9"/>
      <c r="AF8881" s="10"/>
      <c r="AG8881" s="10"/>
      <c r="AH8881" s="10"/>
      <c r="AI8881" s="10"/>
    </row>
    <row r="8882" spans="28:35" ht="15" hidden="1" customHeight="1">
      <c r="AB8882" s="9"/>
      <c r="AC8882" s="9"/>
      <c r="AD8882" s="9"/>
      <c r="AF8882" s="10"/>
      <c r="AG8882" s="10"/>
      <c r="AH8882" s="10"/>
      <c r="AI8882" s="10"/>
    </row>
    <row r="8883" spans="28:35" ht="15" hidden="1" customHeight="1">
      <c r="AB8883" s="9"/>
      <c r="AC8883" s="9"/>
      <c r="AD8883" s="9"/>
      <c r="AF8883" s="10"/>
      <c r="AG8883" s="10"/>
      <c r="AH8883" s="10"/>
      <c r="AI8883" s="10"/>
    </row>
    <row r="8884" spans="28:35" ht="15" hidden="1" customHeight="1">
      <c r="AB8884" s="9"/>
      <c r="AC8884" s="9"/>
      <c r="AD8884" s="9"/>
      <c r="AF8884" s="10"/>
      <c r="AG8884" s="10"/>
      <c r="AH8884" s="10"/>
      <c r="AI8884" s="10"/>
    </row>
    <row r="8885" spans="28:35" ht="15" hidden="1" customHeight="1">
      <c r="AB8885" s="9"/>
      <c r="AC8885" s="9"/>
      <c r="AD8885" s="9"/>
      <c r="AF8885" s="10"/>
      <c r="AG8885" s="10"/>
      <c r="AH8885" s="10"/>
      <c r="AI8885" s="10"/>
    </row>
    <row r="8886" spans="28:35" ht="15" hidden="1" customHeight="1">
      <c r="AB8886" s="9"/>
      <c r="AC8886" s="9"/>
      <c r="AD8886" s="9"/>
      <c r="AF8886" s="10"/>
      <c r="AG8886" s="10"/>
      <c r="AH8886" s="10"/>
      <c r="AI8886" s="10"/>
    </row>
    <row r="8887" spans="28:35" ht="15" hidden="1" customHeight="1">
      <c r="AB8887" s="9"/>
      <c r="AC8887" s="9"/>
      <c r="AD8887" s="9"/>
      <c r="AF8887" s="10"/>
      <c r="AG8887" s="10"/>
      <c r="AH8887" s="10"/>
      <c r="AI8887" s="10"/>
    </row>
    <row r="8888" spans="28:35" ht="15" hidden="1" customHeight="1">
      <c r="AB8888" s="9"/>
      <c r="AC8888" s="9"/>
      <c r="AD8888" s="9"/>
      <c r="AF8888" s="10"/>
      <c r="AG8888" s="10"/>
      <c r="AH8888" s="10"/>
      <c r="AI8888" s="10"/>
    </row>
    <row r="8889" spans="28:35" ht="15" hidden="1" customHeight="1">
      <c r="AB8889" s="9"/>
      <c r="AC8889" s="9"/>
      <c r="AD8889" s="9"/>
      <c r="AF8889" s="10"/>
      <c r="AG8889" s="10"/>
      <c r="AH8889" s="10"/>
      <c r="AI8889" s="10"/>
    </row>
    <row r="8890" spans="28:35" ht="15" hidden="1" customHeight="1">
      <c r="AB8890" s="9"/>
      <c r="AC8890" s="9"/>
      <c r="AD8890" s="9"/>
      <c r="AF8890" s="10"/>
      <c r="AG8890" s="10"/>
      <c r="AH8890" s="10"/>
      <c r="AI8890" s="10"/>
    </row>
    <row r="8891" spans="28:35" ht="15" hidden="1" customHeight="1">
      <c r="AB8891" s="9"/>
      <c r="AC8891" s="9"/>
      <c r="AD8891" s="9"/>
      <c r="AF8891" s="10"/>
      <c r="AG8891" s="10"/>
      <c r="AH8891" s="10"/>
      <c r="AI8891" s="10"/>
    </row>
    <row r="8892" spans="28:35" ht="15" hidden="1" customHeight="1">
      <c r="AB8892" s="9"/>
      <c r="AC8892" s="9"/>
      <c r="AD8892" s="9"/>
      <c r="AF8892" s="10"/>
      <c r="AG8892" s="10"/>
      <c r="AH8892" s="10"/>
      <c r="AI8892" s="10"/>
    </row>
    <row r="8893" spans="28:35" ht="15" hidden="1" customHeight="1">
      <c r="AB8893" s="9"/>
      <c r="AC8893" s="9"/>
      <c r="AD8893" s="9"/>
      <c r="AF8893" s="10"/>
      <c r="AG8893" s="10"/>
      <c r="AH8893" s="10"/>
      <c r="AI8893" s="10"/>
    </row>
    <row r="8894" spans="28:35" ht="15" hidden="1" customHeight="1">
      <c r="AB8894" s="9"/>
      <c r="AC8894" s="9"/>
      <c r="AD8894" s="9"/>
      <c r="AF8894" s="10"/>
      <c r="AG8894" s="10"/>
      <c r="AH8894" s="10"/>
      <c r="AI8894" s="10"/>
    </row>
    <row r="8895" spans="28:35" ht="15" hidden="1" customHeight="1">
      <c r="AB8895" s="9"/>
      <c r="AC8895" s="9"/>
      <c r="AD8895" s="9"/>
      <c r="AF8895" s="10"/>
      <c r="AG8895" s="10"/>
      <c r="AH8895" s="10"/>
      <c r="AI8895" s="10"/>
    </row>
    <row r="8896" spans="28:35" ht="15" hidden="1" customHeight="1">
      <c r="AB8896" s="9"/>
      <c r="AC8896" s="9"/>
      <c r="AD8896" s="9"/>
      <c r="AF8896" s="10"/>
      <c r="AG8896" s="10"/>
      <c r="AH8896" s="10"/>
      <c r="AI8896" s="10"/>
    </row>
    <row r="8897" spans="28:35" ht="15" hidden="1" customHeight="1">
      <c r="AB8897" s="9"/>
      <c r="AC8897" s="9"/>
      <c r="AD8897" s="9"/>
      <c r="AF8897" s="10"/>
      <c r="AG8897" s="10"/>
      <c r="AH8897" s="10"/>
      <c r="AI8897" s="10"/>
    </row>
    <row r="8898" spans="28:35" ht="15" hidden="1" customHeight="1">
      <c r="AB8898" s="9"/>
      <c r="AC8898" s="9"/>
      <c r="AD8898" s="9"/>
      <c r="AF8898" s="10"/>
      <c r="AG8898" s="10"/>
      <c r="AH8898" s="10"/>
      <c r="AI8898" s="10"/>
    </row>
    <row r="8899" spans="28:35" ht="15" hidden="1" customHeight="1">
      <c r="AB8899" s="9"/>
      <c r="AC8899" s="9"/>
      <c r="AD8899" s="9"/>
      <c r="AF8899" s="10"/>
      <c r="AG8899" s="10"/>
      <c r="AH8899" s="10"/>
      <c r="AI8899" s="10"/>
    </row>
    <row r="8900" spans="28:35" ht="15" hidden="1" customHeight="1">
      <c r="AB8900" s="9"/>
      <c r="AC8900" s="9"/>
      <c r="AD8900" s="9"/>
      <c r="AF8900" s="10"/>
      <c r="AG8900" s="10"/>
      <c r="AH8900" s="10"/>
      <c r="AI8900" s="10"/>
    </row>
    <row r="8901" spans="28:35" ht="15" hidden="1" customHeight="1">
      <c r="AB8901" s="9"/>
      <c r="AC8901" s="9"/>
      <c r="AD8901" s="9"/>
      <c r="AF8901" s="10"/>
      <c r="AG8901" s="10"/>
      <c r="AH8901" s="10"/>
      <c r="AI8901" s="10"/>
    </row>
    <row r="8902" spans="28:35" ht="15" hidden="1" customHeight="1">
      <c r="AB8902" s="9"/>
      <c r="AC8902" s="9"/>
      <c r="AD8902" s="9"/>
      <c r="AF8902" s="10"/>
      <c r="AG8902" s="10"/>
      <c r="AH8902" s="10"/>
      <c r="AI8902" s="10"/>
    </row>
    <row r="8903" spans="28:35" ht="15" hidden="1" customHeight="1">
      <c r="AB8903" s="9"/>
      <c r="AC8903" s="9"/>
      <c r="AD8903" s="9"/>
      <c r="AF8903" s="10"/>
      <c r="AG8903" s="10"/>
      <c r="AH8903" s="10"/>
      <c r="AI8903" s="10"/>
    </row>
    <row r="8904" spans="28:35" ht="15" hidden="1" customHeight="1">
      <c r="AB8904" s="9"/>
      <c r="AC8904" s="9"/>
      <c r="AD8904" s="9"/>
      <c r="AF8904" s="10"/>
      <c r="AG8904" s="10"/>
      <c r="AH8904" s="10"/>
      <c r="AI8904" s="10"/>
    </row>
    <row r="8905" spans="28:35" ht="15" hidden="1" customHeight="1">
      <c r="AB8905" s="9"/>
      <c r="AC8905" s="9"/>
      <c r="AD8905" s="9"/>
      <c r="AF8905" s="10"/>
      <c r="AG8905" s="10"/>
      <c r="AH8905" s="10"/>
      <c r="AI8905" s="10"/>
    </row>
    <row r="8906" spans="28:35" ht="15" hidden="1" customHeight="1">
      <c r="AB8906" s="9"/>
      <c r="AC8906" s="9"/>
      <c r="AD8906" s="9"/>
      <c r="AF8906" s="10"/>
      <c r="AG8906" s="10"/>
      <c r="AH8906" s="10"/>
      <c r="AI8906" s="10"/>
    </row>
    <row r="8907" spans="28:35" ht="15" hidden="1" customHeight="1">
      <c r="AB8907" s="9"/>
      <c r="AC8907" s="9"/>
      <c r="AD8907" s="9"/>
      <c r="AF8907" s="10"/>
      <c r="AG8907" s="10"/>
      <c r="AH8907" s="10"/>
      <c r="AI8907" s="10"/>
    </row>
    <row r="8908" spans="28:35" ht="15" hidden="1" customHeight="1">
      <c r="AB8908" s="9"/>
      <c r="AC8908" s="9"/>
      <c r="AD8908" s="9"/>
      <c r="AF8908" s="10"/>
      <c r="AG8908" s="10"/>
      <c r="AH8908" s="10"/>
      <c r="AI8908" s="10"/>
    </row>
    <row r="8909" spans="28:35" ht="15" hidden="1" customHeight="1">
      <c r="AB8909" s="9"/>
      <c r="AC8909" s="9"/>
      <c r="AD8909" s="9"/>
      <c r="AF8909" s="10"/>
      <c r="AG8909" s="10"/>
      <c r="AH8909" s="10"/>
      <c r="AI8909" s="10"/>
    </row>
    <row r="8910" spans="28:35" ht="15" hidden="1" customHeight="1">
      <c r="AB8910" s="9"/>
      <c r="AC8910" s="9"/>
      <c r="AD8910" s="9"/>
      <c r="AF8910" s="10"/>
      <c r="AG8910" s="10"/>
      <c r="AH8910" s="10"/>
      <c r="AI8910" s="10"/>
    </row>
    <row r="8911" spans="28:35" ht="15" hidden="1" customHeight="1">
      <c r="AB8911" s="9"/>
      <c r="AC8911" s="9"/>
      <c r="AD8911" s="9"/>
      <c r="AF8911" s="10"/>
      <c r="AG8911" s="10"/>
      <c r="AH8911" s="10"/>
      <c r="AI8911" s="10"/>
    </row>
    <row r="8912" spans="28:35" ht="15" hidden="1" customHeight="1">
      <c r="AB8912" s="9"/>
      <c r="AC8912" s="9"/>
      <c r="AD8912" s="9"/>
      <c r="AF8912" s="10"/>
      <c r="AG8912" s="10"/>
      <c r="AH8912" s="10"/>
      <c r="AI8912" s="10"/>
    </row>
    <row r="8913" spans="28:35" ht="15" hidden="1" customHeight="1">
      <c r="AB8913" s="9"/>
      <c r="AC8913" s="9"/>
      <c r="AD8913" s="9"/>
      <c r="AF8913" s="10"/>
      <c r="AG8913" s="10"/>
      <c r="AH8913" s="10"/>
      <c r="AI8913" s="10"/>
    </row>
    <row r="8914" spans="28:35" ht="15" hidden="1" customHeight="1">
      <c r="AB8914" s="9"/>
      <c r="AC8914" s="9"/>
      <c r="AD8914" s="9"/>
      <c r="AF8914" s="10"/>
      <c r="AG8914" s="10"/>
      <c r="AH8914" s="10"/>
      <c r="AI8914" s="10"/>
    </row>
    <row r="8915" spans="28:35" ht="15" hidden="1" customHeight="1">
      <c r="AB8915" s="9"/>
      <c r="AC8915" s="9"/>
      <c r="AD8915" s="9"/>
      <c r="AF8915" s="10"/>
      <c r="AG8915" s="10"/>
      <c r="AH8915" s="10"/>
      <c r="AI8915" s="10"/>
    </row>
    <row r="8916" spans="28:35" ht="15" hidden="1" customHeight="1">
      <c r="AB8916" s="9"/>
      <c r="AC8916" s="9"/>
      <c r="AD8916" s="9"/>
      <c r="AF8916" s="10"/>
      <c r="AG8916" s="10"/>
      <c r="AH8916" s="10"/>
      <c r="AI8916" s="10"/>
    </row>
    <row r="8917" spans="28:35" ht="15" hidden="1" customHeight="1">
      <c r="AB8917" s="9"/>
      <c r="AC8917" s="9"/>
      <c r="AD8917" s="9"/>
      <c r="AF8917" s="10"/>
      <c r="AG8917" s="10"/>
      <c r="AH8917" s="10"/>
      <c r="AI8917" s="10"/>
    </row>
    <row r="8918" spans="28:35" ht="15" hidden="1" customHeight="1">
      <c r="AB8918" s="9"/>
      <c r="AC8918" s="9"/>
      <c r="AD8918" s="9"/>
      <c r="AF8918" s="10"/>
      <c r="AG8918" s="10"/>
      <c r="AH8918" s="10"/>
      <c r="AI8918" s="10"/>
    </row>
    <row r="8919" spans="28:35" ht="15" hidden="1" customHeight="1">
      <c r="AB8919" s="9"/>
      <c r="AC8919" s="9"/>
      <c r="AD8919" s="9"/>
      <c r="AF8919" s="10"/>
      <c r="AG8919" s="10"/>
      <c r="AH8919" s="10"/>
      <c r="AI8919" s="10"/>
    </row>
    <row r="8920" spans="28:35" ht="15" hidden="1" customHeight="1">
      <c r="AB8920" s="9"/>
      <c r="AC8920" s="9"/>
      <c r="AD8920" s="9"/>
      <c r="AF8920" s="10"/>
      <c r="AG8920" s="10"/>
      <c r="AH8920" s="10"/>
      <c r="AI8920" s="10"/>
    </row>
    <row r="8921" spans="28:35" ht="15" hidden="1" customHeight="1">
      <c r="AB8921" s="9"/>
      <c r="AC8921" s="9"/>
      <c r="AD8921" s="9"/>
      <c r="AF8921" s="10"/>
      <c r="AG8921" s="10"/>
      <c r="AH8921" s="10"/>
      <c r="AI8921" s="10"/>
    </row>
    <row r="8922" spans="28:35" ht="15" hidden="1" customHeight="1">
      <c r="AB8922" s="9"/>
      <c r="AC8922" s="9"/>
      <c r="AD8922" s="9"/>
      <c r="AF8922" s="10"/>
      <c r="AG8922" s="10"/>
      <c r="AH8922" s="10"/>
      <c r="AI8922" s="10"/>
    </row>
    <row r="8923" spans="28:35" ht="15" hidden="1" customHeight="1">
      <c r="AB8923" s="9"/>
      <c r="AC8923" s="9"/>
      <c r="AD8923" s="9"/>
      <c r="AF8923" s="10"/>
      <c r="AG8923" s="10"/>
      <c r="AH8923" s="10"/>
      <c r="AI8923" s="10"/>
    </row>
    <row r="8924" spans="28:35" ht="15" hidden="1" customHeight="1">
      <c r="AB8924" s="9"/>
      <c r="AC8924" s="9"/>
      <c r="AD8924" s="9"/>
      <c r="AF8924" s="10"/>
      <c r="AG8924" s="10"/>
      <c r="AH8924" s="10"/>
      <c r="AI8924" s="10"/>
    </row>
    <row r="8925" spans="28:35" ht="15" hidden="1" customHeight="1">
      <c r="AB8925" s="9"/>
      <c r="AC8925" s="9"/>
      <c r="AD8925" s="9"/>
      <c r="AF8925" s="10"/>
      <c r="AG8925" s="10"/>
      <c r="AH8925" s="10"/>
      <c r="AI8925" s="10"/>
    </row>
    <row r="8926" spans="28:35" ht="15" hidden="1" customHeight="1">
      <c r="AB8926" s="9"/>
      <c r="AC8926" s="9"/>
      <c r="AD8926" s="9"/>
      <c r="AF8926" s="10"/>
      <c r="AG8926" s="10"/>
      <c r="AH8926" s="10"/>
      <c r="AI8926" s="10"/>
    </row>
    <row r="8927" spans="28:35" ht="15" hidden="1" customHeight="1">
      <c r="AB8927" s="9"/>
      <c r="AC8927" s="9"/>
      <c r="AD8927" s="9"/>
      <c r="AF8927" s="10"/>
      <c r="AG8927" s="10"/>
      <c r="AH8927" s="10"/>
      <c r="AI8927" s="10"/>
    </row>
    <row r="8928" spans="28:35" ht="15" hidden="1" customHeight="1">
      <c r="AB8928" s="9"/>
      <c r="AC8928" s="9"/>
      <c r="AD8928" s="9"/>
      <c r="AF8928" s="10"/>
      <c r="AG8928" s="10"/>
      <c r="AH8928" s="10"/>
      <c r="AI8928" s="10"/>
    </row>
    <row r="8929" spans="28:35" ht="15" hidden="1" customHeight="1">
      <c r="AB8929" s="9"/>
      <c r="AC8929" s="9"/>
      <c r="AD8929" s="9"/>
      <c r="AF8929" s="10"/>
      <c r="AG8929" s="10"/>
      <c r="AH8929" s="10"/>
      <c r="AI8929" s="10"/>
    </row>
    <row r="8930" spans="28:35" ht="15" hidden="1" customHeight="1">
      <c r="AB8930" s="9"/>
      <c r="AC8930" s="9"/>
      <c r="AD8930" s="9"/>
      <c r="AF8930" s="10"/>
      <c r="AG8930" s="10"/>
      <c r="AH8930" s="10"/>
      <c r="AI8930" s="10"/>
    </row>
    <row r="8931" spans="28:35" ht="15" hidden="1" customHeight="1">
      <c r="AB8931" s="9"/>
      <c r="AC8931" s="9"/>
      <c r="AD8931" s="9"/>
      <c r="AF8931" s="10"/>
      <c r="AG8931" s="10"/>
      <c r="AH8931" s="10"/>
      <c r="AI8931" s="10"/>
    </row>
    <row r="8932" spans="28:35" ht="15" hidden="1" customHeight="1">
      <c r="AB8932" s="9"/>
      <c r="AC8932" s="9"/>
      <c r="AD8932" s="9"/>
      <c r="AF8932" s="10"/>
      <c r="AG8932" s="10"/>
      <c r="AH8932" s="10"/>
      <c r="AI8932" s="10"/>
    </row>
    <row r="8933" spans="28:35" ht="15" hidden="1" customHeight="1">
      <c r="AB8933" s="9"/>
      <c r="AC8933" s="9"/>
      <c r="AD8933" s="9"/>
      <c r="AF8933" s="10"/>
      <c r="AG8933" s="10"/>
      <c r="AH8933" s="10"/>
      <c r="AI8933" s="10"/>
    </row>
    <row r="8934" spans="28:35" ht="15" hidden="1" customHeight="1">
      <c r="AB8934" s="9"/>
      <c r="AC8934" s="9"/>
      <c r="AD8934" s="9"/>
      <c r="AF8934" s="10"/>
      <c r="AG8934" s="10"/>
      <c r="AH8934" s="10"/>
      <c r="AI8934" s="10"/>
    </row>
    <row r="8935" spans="28:35" ht="15" hidden="1" customHeight="1">
      <c r="AB8935" s="9"/>
      <c r="AC8935" s="9"/>
      <c r="AD8935" s="9"/>
      <c r="AF8935" s="10"/>
      <c r="AG8935" s="10"/>
      <c r="AH8935" s="10"/>
      <c r="AI8935" s="10"/>
    </row>
    <row r="8936" spans="28:35" ht="15" hidden="1" customHeight="1">
      <c r="AB8936" s="9"/>
      <c r="AC8936" s="9"/>
      <c r="AD8936" s="9"/>
      <c r="AF8936" s="10"/>
      <c r="AG8936" s="10"/>
      <c r="AH8936" s="10"/>
      <c r="AI8936" s="10"/>
    </row>
    <row r="8937" spans="28:35" ht="15" hidden="1" customHeight="1">
      <c r="AB8937" s="9"/>
      <c r="AC8937" s="9"/>
      <c r="AD8937" s="9"/>
      <c r="AF8937" s="10"/>
      <c r="AG8937" s="10"/>
      <c r="AH8937" s="10"/>
      <c r="AI8937" s="10"/>
    </row>
    <row r="8938" spans="28:35" ht="15" hidden="1" customHeight="1">
      <c r="AB8938" s="9"/>
      <c r="AC8938" s="9"/>
      <c r="AD8938" s="9"/>
      <c r="AF8938" s="10"/>
      <c r="AG8938" s="10"/>
      <c r="AH8938" s="10"/>
      <c r="AI8938" s="10"/>
    </row>
    <row r="8939" spans="28:35" ht="15" hidden="1" customHeight="1">
      <c r="AB8939" s="9"/>
      <c r="AC8939" s="9"/>
      <c r="AD8939" s="9"/>
      <c r="AF8939" s="10"/>
      <c r="AG8939" s="10"/>
      <c r="AH8939" s="10"/>
      <c r="AI8939" s="10"/>
    </row>
    <row r="8940" spans="28:35" ht="15" hidden="1" customHeight="1">
      <c r="AB8940" s="9"/>
      <c r="AC8940" s="9"/>
      <c r="AD8940" s="9"/>
      <c r="AF8940" s="10"/>
      <c r="AG8940" s="10"/>
      <c r="AH8940" s="10"/>
      <c r="AI8940" s="10"/>
    </row>
    <row r="8941" spans="28:35" ht="15" hidden="1" customHeight="1">
      <c r="AB8941" s="9"/>
      <c r="AC8941" s="9"/>
      <c r="AD8941" s="9"/>
      <c r="AF8941" s="10"/>
      <c r="AG8941" s="10"/>
      <c r="AH8941" s="10"/>
      <c r="AI8941" s="10"/>
    </row>
    <row r="8942" spans="28:35" ht="15" hidden="1" customHeight="1">
      <c r="AB8942" s="9"/>
      <c r="AC8942" s="9"/>
      <c r="AD8942" s="9"/>
      <c r="AF8942" s="10"/>
      <c r="AG8942" s="10"/>
      <c r="AH8942" s="10"/>
      <c r="AI8942" s="10"/>
    </row>
    <row r="8943" spans="28:35" ht="15" hidden="1" customHeight="1">
      <c r="AB8943" s="9"/>
      <c r="AC8943" s="9"/>
      <c r="AD8943" s="9"/>
      <c r="AF8943" s="10"/>
      <c r="AG8943" s="10"/>
      <c r="AH8943" s="10"/>
      <c r="AI8943" s="10"/>
    </row>
    <row r="8944" spans="28:35" ht="15" hidden="1" customHeight="1">
      <c r="AB8944" s="9"/>
      <c r="AC8944" s="9"/>
      <c r="AD8944" s="9"/>
      <c r="AF8944" s="10"/>
      <c r="AG8944" s="10"/>
      <c r="AH8944" s="10"/>
      <c r="AI8944" s="10"/>
    </row>
    <row r="8945" spans="28:35" ht="15" hidden="1" customHeight="1">
      <c r="AB8945" s="9"/>
      <c r="AC8945" s="9"/>
      <c r="AD8945" s="9"/>
      <c r="AF8945" s="10"/>
      <c r="AG8945" s="10"/>
      <c r="AH8945" s="10"/>
      <c r="AI8945" s="10"/>
    </row>
    <row r="8946" spans="28:35" ht="15" hidden="1" customHeight="1">
      <c r="AB8946" s="9"/>
      <c r="AC8946" s="9"/>
      <c r="AD8946" s="9"/>
      <c r="AF8946" s="10"/>
      <c r="AG8946" s="10"/>
      <c r="AH8946" s="10"/>
      <c r="AI8946" s="10"/>
    </row>
    <row r="8947" spans="28:35" ht="15" hidden="1" customHeight="1">
      <c r="AB8947" s="9"/>
      <c r="AC8947" s="9"/>
      <c r="AD8947" s="9"/>
      <c r="AF8947" s="10"/>
      <c r="AG8947" s="10"/>
      <c r="AH8947" s="10"/>
      <c r="AI8947" s="10"/>
    </row>
    <row r="8948" spans="28:35" ht="15" hidden="1" customHeight="1">
      <c r="AB8948" s="9"/>
      <c r="AC8948" s="9"/>
      <c r="AD8948" s="9"/>
      <c r="AF8948" s="10"/>
      <c r="AG8948" s="10"/>
      <c r="AH8948" s="10"/>
      <c r="AI8948" s="10"/>
    </row>
    <row r="8949" spans="28:35" ht="15" hidden="1" customHeight="1">
      <c r="AB8949" s="9"/>
      <c r="AC8949" s="9"/>
      <c r="AD8949" s="9"/>
      <c r="AF8949" s="10"/>
      <c r="AG8949" s="10"/>
      <c r="AH8949" s="10"/>
      <c r="AI8949" s="10"/>
    </row>
    <row r="8950" spans="28:35" ht="15" hidden="1" customHeight="1">
      <c r="AB8950" s="9"/>
      <c r="AC8950" s="9"/>
      <c r="AD8950" s="9"/>
      <c r="AF8950" s="10"/>
      <c r="AG8950" s="10"/>
      <c r="AH8950" s="10"/>
      <c r="AI8950" s="10"/>
    </row>
    <row r="8951" spans="28:35" ht="15" hidden="1" customHeight="1">
      <c r="AB8951" s="9"/>
      <c r="AC8951" s="9"/>
      <c r="AD8951" s="9"/>
      <c r="AF8951" s="10"/>
      <c r="AG8951" s="10"/>
      <c r="AH8951" s="10"/>
      <c r="AI8951" s="10"/>
    </row>
    <row r="8952" spans="28:35" ht="15" hidden="1" customHeight="1">
      <c r="AB8952" s="9"/>
      <c r="AC8952" s="9"/>
      <c r="AD8952" s="9"/>
      <c r="AF8952" s="10"/>
      <c r="AG8952" s="10"/>
      <c r="AH8952" s="10"/>
      <c r="AI8952" s="10"/>
    </row>
    <row r="8953" spans="28:35" ht="15" hidden="1" customHeight="1">
      <c r="AB8953" s="9"/>
      <c r="AC8953" s="9"/>
      <c r="AD8953" s="9"/>
      <c r="AF8953" s="10"/>
      <c r="AG8953" s="10"/>
      <c r="AH8953" s="10"/>
      <c r="AI8953" s="10"/>
    </row>
    <row r="8954" spans="28:35" ht="15" hidden="1" customHeight="1">
      <c r="AB8954" s="9"/>
      <c r="AC8954" s="9"/>
      <c r="AD8954" s="9"/>
      <c r="AF8954" s="10"/>
      <c r="AG8954" s="10"/>
      <c r="AH8954" s="10"/>
      <c r="AI8954" s="10"/>
    </row>
    <row r="8955" spans="28:35" ht="15" hidden="1" customHeight="1">
      <c r="AB8955" s="9"/>
      <c r="AC8955" s="9"/>
      <c r="AD8955" s="9"/>
      <c r="AF8955" s="10"/>
      <c r="AG8955" s="10"/>
      <c r="AH8955" s="10"/>
      <c r="AI8955" s="10"/>
    </row>
    <row r="8956" spans="28:35" ht="15" hidden="1" customHeight="1">
      <c r="AB8956" s="9"/>
      <c r="AC8956" s="9"/>
      <c r="AD8956" s="9"/>
      <c r="AF8956" s="10"/>
      <c r="AG8956" s="10"/>
      <c r="AH8956" s="10"/>
      <c r="AI8956" s="10"/>
    </row>
    <row r="8957" spans="28:35" ht="15" hidden="1" customHeight="1">
      <c r="AB8957" s="9"/>
      <c r="AC8957" s="9"/>
      <c r="AD8957" s="9"/>
      <c r="AF8957" s="10"/>
      <c r="AG8957" s="10"/>
      <c r="AH8957" s="10"/>
      <c r="AI8957" s="10"/>
    </row>
    <row r="8958" spans="28:35" ht="15" hidden="1" customHeight="1">
      <c r="AB8958" s="9"/>
      <c r="AC8958" s="9"/>
      <c r="AD8958" s="9"/>
      <c r="AF8958" s="10"/>
      <c r="AG8958" s="10"/>
      <c r="AH8958" s="10"/>
      <c r="AI8958" s="10"/>
    </row>
    <row r="8959" spans="28:35" ht="15" hidden="1" customHeight="1">
      <c r="AB8959" s="9"/>
      <c r="AC8959" s="9"/>
      <c r="AD8959" s="9"/>
      <c r="AF8959" s="10"/>
      <c r="AG8959" s="10"/>
      <c r="AH8959" s="10"/>
      <c r="AI8959" s="10"/>
    </row>
    <row r="8960" spans="28:35" ht="15" hidden="1" customHeight="1">
      <c r="AB8960" s="9"/>
      <c r="AC8960" s="9"/>
      <c r="AD8960" s="9"/>
      <c r="AF8960" s="10"/>
      <c r="AG8960" s="10"/>
      <c r="AH8960" s="10"/>
      <c r="AI8960" s="10"/>
    </row>
    <row r="8961" spans="28:35" ht="15" hidden="1" customHeight="1">
      <c r="AB8961" s="9"/>
      <c r="AC8961" s="9"/>
      <c r="AD8961" s="9"/>
      <c r="AF8961" s="10"/>
      <c r="AG8961" s="10"/>
      <c r="AH8961" s="10"/>
      <c r="AI8961" s="10"/>
    </row>
    <row r="8962" spans="28:35" ht="15" hidden="1" customHeight="1">
      <c r="AB8962" s="9"/>
      <c r="AC8962" s="9"/>
      <c r="AD8962" s="9"/>
      <c r="AF8962" s="10"/>
      <c r="AG8962" s="10"/>
      <c r="AH8962" s="10"/>
      <c r="AI8962" s="10"/>
    </row>
    <row r="8963" spans="28:35" ht="15" hidden="1" customHeight="1">
      <c r="AB8963" s="9"/>
      <c r="AC8963" s="9"/>
      <c r="AD8963" s="9"/>
      <c r="AF8963" s="10"/>
      <c r="AG8963" s="10"/>
      <c r="AH8963" s="10"/>
      <c r="AI8963" s="10"/>
    </row>
    <row r="8964" spans="28:35" ht="15" hidden="1" customHeight="1">
      <c r="AB8964" s="9"/>
      <c r="AC8964" s="9"/>
      <c r="AD8964" s="9"/>
      <c r="AF8964" s="10"/>
      <c r="AG8964" s="10"/>
      <c r="AH8964" s="10"/>
      <c r="AI8964" s="10"/>
    </row>
    <row r="8965" spans="28:35" ht="15" hidden="1" customHeight="1">
      <c r="AB8965" s="9"/>
      <c r="AC8965" s="9"/>
      <c r="AD8965" s="9"/>
      <c r="AF8965" s="10"/>
      <c r="AG8965" s="10"/>
      <c r="AH8965" s="10"/>
      <c r="AI8965" s="10"/>
    </row>
    <row r="8966" spans="28:35" ht="15" hidden="1" customHeight="1">
      <c r="AB8966" s="9"/>
      <c r="AC8966" s="9"/>
      <c r="AD8966" s="9"/>
      <c r="AF8966" s="10"/>
      <c r="AG8966" s="10"/>
      <c r="AH8966" s="10"/>
      <c r="AI8966" s="10"/>
    </row>
    <row r="8967" spans="28:35" ht="15" hidden="1" customHeight="1">
      <c r="AB8967" s="9"/>
      <c r="AC8967" s="9"/>
      <c r="AD8967" s="9"/>
      <c r="AF8967" s="10"/>
      <c r="AG8967" s="10"/>
      <c r="AH8967" s="10"/>
      <c r="AI8967" s="10"/>
    </row>
    <row r="8968" spans="28:35" ht="15" hidden="1" customHeight="1">
      <c r="AB8968" s="9"/>
      <c r="AC8968" s="9"/>
      <c r="AD8968" s="9"/>
      <c r="AF8968" s="10"/>
      <c r="AG8968" s="10"/>
      <c r="AH8968" s="10"/>
      <c r="AI8968" s="10"/>
    </row>
    <row r="8969" spans="28:35" ht="15" hidden="1" customHeight="1">
      <c r="AB8969" s="9"/>
      <c r="AC8969" s="9"/>
      <c r="AD8969" s="9"/>
      <c r="AF8969" s="10"/>
      <c r="AG8969" s="10"/>
      <c r="AH8969" s="10"/>
      <c r="AI8969" s="10"/>
    </row>
    <row r="8970" spans="28:35" ht="15" hidden="1" customHeight="1">
      <c r="AB8970" s="9"/>
      <c r="AC8970" s="9"/>
      <c r="AD8970" s="9"/>
      <c r="AF8970" s="10"/>
      <c r="AG8970" s="10"/>
      <c r="AH8970" s="10"/>
      <c r="AI8970" s="10"/>
    </row>
    <row r="8971" spans="28:35" ht="15" hidden="1" customHeight="1">
      <c r="AB8971" s="9"/>
      <c r="AC8971" s="9"/>
      <c r="AD8971" s="9"/>
      <c r="AF8971" s="10"/>
      <c r="AG8971" s="10"/>
      <c r="AH8971" s="10"/>
      <c r="AI8971" s="10"/>
    </row>
    <row r="8972" spans="28:35" ht="15" hidden="1" customHeight="1">
      <c r="AB8972" s="9"/>
      <c r="AC8972" s="9"/>
      <c r="AD8972" s="9"/>
      <c r="AF8972" s="10"/>
      <c r="AG8972" s="10"/>
      <c r="AH8972" s="10"/>
      <c r="AI8972" s="10"/>
    </row>
    <row r="8973" spans="28:35" ht="15" hidden="1" customHeight="1">
      <c r="AB8973" s="9"/>
      <c r="AC8973" s="9"/>
      <c r="AD8973" s="9"/>
      <c r="AF8973" s="10"/>
      <c r="AG8973" s="10"/>
      <c r="AH8973" s="10"/>
      <c r="AI8973" s="10"/>
    </row>
    <row r="8974" spans="28:35" ht="15" hidden="1" customHeight="1">
      <c r="AB8974" s="9"/>
      <c r="AC8974" s="9"/>
      <c r="AD8974" s="9"/>
      <c r="AF8974" s="10"/>
      <c r="AG8974" s="10"/>
      <c r="AH8974" s="10"/>
      <c r="AI8974" s="10"/>
    </row>
    <row r="8975" spans="28:35" ht="15" hidden="1" customHeight="1">
      <c r="AB8975" s="9"/>
      <c r="AC8975" s="9"/>
      <c r="AD8975" s="9"/>
      <c r="AF8975" s="10"/>
      <c r="AG8975" s="10"/>
      <c r="AH8975" s="10"/>
      <c r="AI8975" s="10"/>
    </row>
    <row r="8976" spans="28:35" ht="15" hidden="1" customHeight="1">
      <c r="AB8976" s="9"/>
      <c r="AC8976" s="9"/>
      <c r="AD8976" s="9"/>
      <c r="AF8976" s="10"/>
      <c r="AG8976" s="10"/>
      <c r="AH8976" s="10"/>
      <c r="AI8976" s="10"/>
    </row>
    <row r="8977" spans="28:35" ht="15" hidden="1" customHeight="1">
      <c r="AB8977" s="9"/>
      <c r="AC8977" s="9"/>
      <c r="AD8977" s="9"/>
      <c r="AF8977" s="10"/>
      <c r="AG8977" s="10"/>
      <c r="AH8977" s="10"/>
      <c r="AI8977" s="10"/>
    </row>
    <row r="8978" spans="28:35" ht="15" hidden="1" customHeight="1">
      <c r="AB8978" s="9"/>
      <c r="AC8978" s="9"/>
      <c r="AD8978" s="9"/>
      <c r="AF8978" s="10"/>
      <c r="AG8978" s="10"/>
      <c r="AH8978" s="10"/>
      <c r="AI8978" s="10"/>
    </row>
    <row r="8979" spans="28:35" ht="15" hidden="1" customHeight="1">
      <c r="AB8979" s="9"/>
      <c r="AC8979" s="9"/>
      <c r="AD8979" s="9"/>
      <c r="AF8979" s="10"/>
      <c r="AG8979" s="10"/>
      <c r="AH8979" s="10"/>
      <c r="AI8979" s="10"/>
    </row>
    <row r="8980" spans="28:35" ht="15" hidden="1" customHeight="1">
      <c r="AB8980" s="9"/>
      <c r="AC8980" s="9"/>
      <c r="AD8980" s="9"/>
      <c r="AF8980" s="10"/>
      <c r="AG8980" s="10"/>
      <c r="AH8980" s="10"/>
      <c r="AI8980" s="10"/>
    </row>
    <row r="8981" spans="28:35" ht="15" hidden="1" customHeight="1">
      <c r="AB8981" s="9"/>
      <c r="AC8981" s="9"/>
      <c r="AD8981" s="9"/>
      <c r="AF8981" s="10"/>
      <c r="AG8981" s="10"/>
      <c r="AH8981" s="10"/>
      <c r="AI8981" s="10"/>
    </row>
    <row r="8982" spans="28:35" ht="15" hidden="1" customHeight="1">
      <c r="AB8982" s="9"/>
      <c r="AC8982" s="9"/>
      <c r="AD8982" s="9"/>
      <c r="AF8982" s="10"/>
      <c r="AG8982" s="10"/>
      <c r="AH8982" s="10"/>
      <c r="AI8982" s="10"/>
    </row>
    <row r="8983" spans="28:35" ht="15" hidden="1" customHeight="1">
      <c r="AB8983" s="9"/>
      <c r="AC8983" s="9"/>
      <c r="AD8983" s="9"/>
      <c r="AF8983" s="10"/>
      <c r="AG8983" s="10"/>
      <c r="AH8983" s="10"/>
      <c r="AI8983" s="10"/>
    </row>
    <row r="8984" spans="28:35" ht="15" hidden="1" customHeight="1">
      <c r="AB8984" s="9"/>
      <c r="AC8984" s="9"/>
      <c r="AD8984" s="9"/>
      <c r="AF8984" s="10"/>
      <c r="AG8984" s="10"/>
      <c r="AH8984" s="10"/>
      <c r="AI8984" s="10"/>
    </row>
    <row r="8985" spans="28:35" ht="15" hidden="1" customHeight="1">
      <c r="AB8985" s="9"/>
      <c r="AC8985" s="9"/>
      <c r="AD8985" s="9"/>
      <c r="AF8985" s="10"/>
      <c r="AG8985" s="10"/>
      <c r="AH8985" s="10"/>
      <c r="AI8985" s="10"/>
    </row>
    <row r="8986" spans="28:35" ht="15" hidden="1" customHeight="1">
      <c r="AB8986" s="9"/>
      <c r="AC8986" s="9"/>
      <c r="AD8986" s="9"/>
      <c r="AF8986" s="10"/>
      <c r="AG8986" s="10"/>
      <c r="AH8986" s="10"/>
      <c r="AI8986" s="10"/>
    </row>
    <row r="8987" spans="28:35" ht="15" hidden="1" customHeight="1">
      <c r="AB8987" s="9"/>
      <c r="AC8987" s="9"/>
      <c r="AD8987" s="9"/>
      <c r="AF8987" s="10"/>
      <c r="AG8987" s="10"/>
      <c r="AH8987" s="10"/>
      <c r="AI8987" s="10"/>
    </row>
    <row r="8988" spans="28:35" ht="15" hidden="1" customHeight="1">
      <c r="AB8988" s="9"/>
      <c r="AC8988" s="9"/>
      <c r="AD8988" s="9"/>
      <c r="AF8988" s="10"/>
      <c r="AG8988" s="10"/>
      <c r="AH8988" s="10"/>
      <c r="AI8988" s="10"/>
    </row>
    <row r="8989" spans="28:35" ht="15" hidden="1" customHeight="1">
      <c r="AB8989" s="9"/>
      <c r="AC8989" s="9"/>
      <c r="AD8989" s="9"/>
      <c r="AF8989" s="10"/>
      <c r="AG8989" s="10"/>
      <c r="AH8989" s="10"/>
      <c r="AI8989" s="10"/>
    </row>
    <row r="8990" spans="28:35" ht="15" hidden="1" customHeight="1">
      <c r="AB8990" s="9"/>
      <c r="AC8990" s="9"/>
      <c r="AD8990" s="9"/>
      <c r="AF8990" s="10"/>
      <c r="AG8990" s="10"/>
      <c r="AH8990" s="10"/>
      <c r="AI8990" s="10"/>
    </row>
    <row r="8991" spans="28:35" ht="15" hidden="1" customHeight="1">
      <c r="AB8991" s="9"/>
      <c r="AC8991" s="9"/>
      <c r="AD8991" s="9"/>
      <c r="AF8991" s="10"/>
      <c r="AG8991" s="10"/>
      <c r="AH8991" s="10"/>
      <c r="AI8991" s="10"/>
    </row>
    <row r="8992" spans="28:35" ht="15" hidden="1" customHeight="1">
      <c r="AB8992" s="9"/>
      <c r="AC8992" s="9"/>
      <c r="AD8992" s="9"/>
      <c r="AF8992" s="10"/>
      <c r="AG8992" s="10"/>
      <c r="AH8992" s="10"/>
      <c r="AI8992" s="10"/>
    </row>
    <row r="8993" spans="28:35" ht="15" hidden="1" customHeight="1">
      <c r="AB8993" s="9"/>
      <c r="AC8993" s="9"/>
      <c r="AD8993" s="9"/>
      <c r="AF8993" s="10"/>
      <c r="AG8993" s="10"/>
      <c r="AH8993" s="10"/>
      <c r="AI8993" s="10"/>
    </row>
    <row r="8994" spans="28:35" ht="15" hidden="1" customHeight="1">
      <c r="AB8994" s="9"/>
      <c r="AC8994" s="9"/>
      <c r="AD8994" s="9"/>
      <c r="AF8994" s="10"/>
      <c r="AG8994" s="10"/>
      <c r="AH8994" s="10"/>
      <c r="AI8994" s="10"/>
    </row>
    <row r="8995" spans="28:35" ht="15" hidden="1" customHeight="1">
      <c r="AB8995" s="9"/>
      <c r="AC8995" s="9"/>
      <c r="AD8995" s="9"/>
      <c r="AF8995" s="10"/>
      <c r="AG8995" s="10"/>
      <c r="AH8995" s="10"/>
      <c r="AI8995" s="10"/>
    </row>
    <row r="8996" spans="28:35" ht="15" hidden="1" customHeight="1">
      <c r="AB8996" s="9"/>
      <c r="AC8996" s="9"/>
      <c r="AD8996" s="9"/>
      <c r="AF8996" s="10"/>
      <c r="AG8996" s="10"/>
      <c r="AH8996" s="10"/>
      <c r="AI8996" s="10"/>
    </row>
    <row r="8997" spans="28:35" ht="15" hidden="1" customHeight="1">
      <c r="AB8997" s="9"/>
      <c r="AC8997" s="9"/>
      <c r="AD8997" s="9"/>
      <c r="AF8997" s="10"/>
      <c r="AG8997" s="10"/>
      <c r="AH8997" s="10"/>
      <c r="AI8997" s="10"/>
    </row>
    <row r="8998" spans="28:35" ht="15" hidden="1" customHeight="1">
      <c r="AB8998" s="9"/>
      <c r="AC8998" s="9"/>
      <c r="AD8998" s="9"/>
      <c r="AF8998" s="10"/>
      <c r="AG8998" s="10"/>
      <c r="AH8998" s="10"/>
      <c r="AI8998" s="10"/>
    </row>
    <row r="8999" spans="28:35" ht="15" hidden="1" customHeight="1">
      <c r="AB8999" s="9"/>
      <c r="AC8999" s="9"/>
      <c r="AD8999" s="9"/>
      <c r="AF8999" s="10"/>
      <c r="AG8999" s="10"/>
      <c r="AH8999" s="10"/>
      <c r="AI8999" s="10"/>
    </row>
    <row r="9000" spans="28:35" ht="15" hidden="1" customHeight="1">
      <c r="AB9000" s="9"/>
      <c r="AC9000" s="9"/>
      <c r="AD9000" s="9"/>
      <c r="AF9000" s="10"/>
      <c r="AG9000" s="10"/>
      <c r="AH9000" s="10"/>
      <c r="AI9000" s="10"/>
    </row>
    <row r="9001" spans="28:35" ht="15" hidden="1" customHeight="1">
      <c r="AB9001" s="9"/>
      <c r="AC9001" s="9"/>
      <c r="AD9001" s="9"/>
      <c r="AF9001" s="10"/>
      <c r="AG9001" s="10"/>
      <c r="AH9001" s="10"/>
      <c r="AI9001" s="10"/>
    </row>
    <row r="9002" spans="28:35" ht="15" hidden="1" customHeight="1">
      <c r="AB9002" s="9"/>
      <c r="AC9002" s="9"/>
      <c r="AD9002" s="9"/>
      <c r="AF9002" s="10"/>
      <c r="AG9002" s="10"/>
      <c r="AH9002" s="10"/>
      <c r="AI9002" s="10"/>
    </row>
    <row r="9003" spans="28:35" ht="15" hidden="1" customHeight="1">
      <c r="AB9003" s="9"/>
      <c r="AC9003" s="9"/>
      <c r="AD9003" s="9"/>
      <c r="AF9003" s="10"/>
      <c r="AG9003" s="10"/>
      <c r="AH9003" s="10"/>
      <c r="AI9003" s="10"/>
    </row>
    <row r="9004" spans="28:35" ht="15" hidden="1" customHeight="1">
      <c r="AB9004" s="9"/>
      <c r="AC9004" s="9"/>
      <c r="AD9004" s="9"/>
      <c r="AF9004" s="10"/>
      <c r="AG9004" s="10"/>
      <c r="AH9004" s="10"/>
      <c r="AI9004" s="10"/>
    </row>
    <row r="9005" spans="28:35" ht="15" hidden="1" customHeight="1">
      <c r="AB9005" s="9"/>
      <c r="AC9005" s="9"/>
      <c r="AD9005" s="9"/>
      <c r="AF9005" s="10"/>
      <c r="AG9005" s="10"/>
      <c r="AH9005" s="10"/>
      <c r="AI9005" s="10"/>
    </row>
    <row r="9006" spans="28:35" ht="15" hidden="1" customHeight="1">
      <c r="AB9006" s="9"/>
      <c r="AC9006" s="9"/>
      <c r="AD9006" s="9"/>
      <c r="AF9006" s="10"/>
      <c r="AG9006" s="10"/>
      <c r="AH9006" s="10"/>
      <c r="AI9006" s="10"/>
    </row>
    <row r="9007" spans="28:35" ht="15" hidden="1" customHeight="1">
      <c r="AB9007" s="9"/>
      <c r="AC9007" s="9"/>
      <c r="AD9007" s="9"/>
      <c r="AF9007" s="10"/>
      <c r="AG9007" s="10"/>
      <c r="AH9007" s="10"/>
      <c r="AI9007" s="10"/>
    </row>
    <row r="9008" spans="28:35" ht="15" hidden="1" customHeight="1">
      <c r="AB9008" s="9"/>
      <c r="AC9008" s="9"/>
      <c r="AD9008" s="9"/>
      <c r="AF9008" s="10"/>
      <c r="AG9008" s="10"/>
      <c r="AH9008" s="10"/>
      <c r="AI9008" s="10"/>
    </row>
    <row r="9009" spans="28:35" ht="15" hidden="1" customHeight="1">
      <c r="AB9009" s="9"/>
      <c r="AC9009" s="9"/>
      <c r="AD9009" s="9"/>
      <c r="AF9009" s="10"/>
      <c r="AG9009" s="10"/>
      <c r="AH9009" s="10"/>
      <c r="AI9009" s="10"/>
    </row>
    <row r="9010" spans="28:35" ht="15" hidden="1" customHeight="1">
      <c r="AB9010" s="9"/>
      <c r="AC9010" s="9"/>
      <c r="AD9010" s="9"/>
      <c r="AF9010" s="10"/>
      <c r="AG9010" s="10"/>
      <c r="AH9010" s="10"/>
      <c r="AI9010" s="10"/>
    </row>
    <row r="9011" spans="28:35" ht="15" hidden="1" customHeight="1">
      <c r="AB9011" s="9"/>
      <c r="AC9011" s="9"/>
      <c r="AD9011" s="9"/>
      <c r="AF9011" s="10"/>
      <c r="AG9011" s="10"/>
      <c r="AH9011" s="10"/>
      <c r="AI9011" s="10"/>
    </row>
    <row r="9012" spans="28:35" ht="15" hidden="1" customHeight="1">
      <c r="AB9012" s="9"/>
      <c r="AC9012" s="9"/>
      <c r="AD9012" s="9"/>
      <c r="AF9012" s="10"/>
      <c r="AG9012" s="10"/>
      <c r="AH9012" s="10"/>
      <c r="AI9012" s="10"/>
    </row>
    <row r="9013" spans="28:35" ht="15" hidden="1" customHeight="1">
      <c r="AB9013" s="9"/>
      <c r="AC9013" s="9"/>
      <c r="AD9013" s="9"/>
      <c r="AF9013" s="10"/>
      <c r="AG9013" s="10"/>
      <c r="AH9013" s="10"/>
      <c r="AI9013" s="10"/>
    </row>
    <row r="9014" spans="28:35" ht="15" hidden="1" customHeight="1">
      <c r="AB9014" s="9"/>
      <c r="AC9014" s="9"/>
      <c r="AD9014" s="9"/>
      <c r="AF9014" s="10"/>
      <c r="AG9014" s="10"/>
      <c r="AH9014" s="10"/>
      <c r="AI9014" s="10"/>
    </row>
    <row r="9015" spans="28:35" ht="15" hidden="1" customHeight="1">
      <c r="AB9015" s="9"/>
      <c r="AC9015" s="9"/>
      <c r="AD9015" s="9"/>
      <c r="AF9015" s="10"/>
      <c r="AG9015" s="10"/>
      <c r="AH9015" s="10"/>
      <c r="AI9015" s="10"/>
    </row>
    <row r="9016" spans="28:35" ht="15" hidden="1" customHeight="1">
      <c r="AB9016" s="9"/>
      <c r="AC9016" s="9"/>
      <c r="AD9016" s="9"/>
      <c r="AF9016" s="10"/>
      <c r="AG9016" s="10"/>
      <c r="AH9016" s="10"/>
      <c r="AI9016" s="10"/>
    </row>
    <row r="9017" spans="28:35" ht="15" hidden="1" customHeight="1">
      <c r="AB9017" s="9"/>
      <c r="AC9017" s="9"/>
      <c r="AD9017" s="9"/>
      <c r="AF9017" s="10"/>
      <c r="AG9017" s="10"/>
      <c r="AH9017" s="10"/>
      <c r="AI9017" s="10"/>
    </row>
    <row r="9018" spans="28:35" ht="15" hidden="1" customHeight="1">
      <c r="AB9018" s="9"/>
      <c r="AC9018" s="9"/>
      <c r="AD9018" s="9"/>
      <c r="AF9018" s="10"/>
      <c r="AG9018" s="10"/>
      <c r="AH9018" s="10"/>
      <c r="AI9018" s="10"/>
    </row>
    <row r="9019" spans="28:35" ht="15" hidden="1" customHeight="1">
      <c r="AB9019" s="9"/>
      <c r="AC9019" s="9"/>
      <c r="AD9019" s="9"/>
      <c r="AF9019" s="10"/>
      <c r="AG9019" s="10"/>
      <c r="AH9019" s="10"/>
      <c r="AI9019" s="10"/>
    </row>
    <row r="9020" spans="28:35" ht="15" hidden="1" customHeight="1">
      <c r="AB9020" s="9"/>
      <c r="AC9020" s="9"/>
      <c r="AD9020" s="9"/>
      <c r="AF9020" s="10"/>
      <c r="AG9020" s="10"/>
      <c r="AH9020" s="10"/>
      <c r="AI9020" s="10"/>
    </row>
    <row r="9021" spans="28:35" ht="15" hidden="1" customHeight="1">
      <c r="AB9021" s="9"/>
      <c r="AC9021" s="9"/>
      <c r="AD9021" s="9"/>
      <c r="AF9021" s="10"/>
      <c r="AG9021" s="10"/>
      <c r="AH9021" s="10"/>
      <c r="AI9021" s="10"/>
    </row>
    <row r="9022" spans="28:35" ht="15" hidden="1" customHeight="1">
      <c r="AB9022" s="9"/>
      <c r="AC9022" s="9"/>
      <c r="AD9022" s="9"/>
      <c r="AF9022" s="10"/>
      <c r="AG9022" s="10"/>
      <c r="AH9022" s="10"/>
      <c r="AI9022" s="10"/>
    </row>
    <row r="9023" spans="28:35" ht="15" hidden="1" customHeight="1">
      <c r="AB9023" s="9"/>
      <c r="AC9023" s="9"/>
      <c r="AD9023" s="9"/>
      <c r="AF9023" s="10"/>
      <c r="AG9023" s="10"/>
      <c r="AH9023" s="10"/>
      <c r="AI9023" s="10"/>
    </row>
    <row r="9024" spans="28:35" ht="15" hidden="1" customHeight="1">
      <c r="AB9024" s="9"/>
      <c r="AC9024" s="9"/>
      <c r="AD9024" s="9"/>
      <c r="AF9024" s="10"/>
      <c r="AG9024" s="10"/>
      <c r="AH9024" s="10"/>
      <c r="AI9024" s="10"/>
    </row>
    <row r="9025" spans="28:35" ht="15" hidden="1" customHeight="1">
      <c r="AB9025" s="9"/>
      <c r="AC9025" s="9"/>
      <c r="AD9025" s="9"/>
      <c r="AF9025" s="10"/>
      <c r="AG9025" s="10"/>
      <c r="AH9025" s="10"/>
      <c r="AI9025" s="10"/>
    </row>
    <row r="9026" spans="28:35" ht="15" hidden="1" customHeight="1">
      <c r="AB9026" s="9"/>
      <c r="AC9026" s="9"/>
      <c r="AD9026" s="9"/>
      <c r="AF9026" s="10"/>
      <c r="AG9026" s="10"/>
      <c r="AH9026" s="10"/>
      <c r="AI9026" s="10"/>
    </row>
    <row r="9027" spans="28:35" ht="15" hidden="1" customHeight="1">
      <c r="AB9027" s="9"/>
      <c r="AC9027" s="9"/>
      <c r="AD9027" s="9"/>
      <c r="AF9027" s="10"/>
      <c r="AG9027" s="10"/>
      <c r="AH9027" s="10"/>
      <c r="AI9027" s="10"/>
    </row>
    <row r="9028" spans="28:35" ht="15" hidden="1" customHeight="1">
      <c r="AB9028" s="9"/>
      <c r="AC9028" s="9"/>
      <c r="AD9028" s="9"/>
      <c r="AF9028" s="10"/>
      <c r="AG9028" s="10"/>
      <c r="AH9028" s="10"/>
      <c r="AI9028" s="10"/>
    </row>
    <row r="9029" spans="28:35" ht="15" hidden="1" customHeight="1">
      <c r="AB9029" s="9"/>
      <c r="AC9029" s="9"/>
      <c r="AD9029" s="9"/>
      <c r="AF9029" s="10"/>
      <c r="AG9029" s="10"/>
      <c r="AH9029" s="10"/>
      <c r="AI9029" s="10"/>
    </row>
    <row r="9030" spans="28:35" ht="15" hidden="1" customHeight="1">
      <c r="AB9030" s="9"/>
      <c r="AC9030" s="9"/>
      <c r="AD9030" s="9"/>
      <c r="AF9030" s="10"/>
      <c r="AG9030" s="10"/>
      <c r="AH9030" s="10"/>
      <c r="AI9030" s="10"/>
    </row>
    <row r="9031" spans="28:35" ht="15" hidden="1" customHeight="1">
      <c r="AB9031" s="9"/>
      <c r="AC9031" s="9"/>
      <c r="AD9031" s="9"/>
      <c r="AF9031" s="10"/>
      <c r="AG9031" s="10"/>
      <c r="AH9031" s="10"/>
      <c r="AI9031" s="10"/>
    </row>
    <row r="9032" spans="28:35" ht="15" hidden="1" customHeight="1">
      <c r="AB9032" s="9"/>
      <c r="AC9032" s="9"/>
      <c r="AD9032" s="9"/>
      <c r="AF9032" s="10"/>
      <c r="AG9032" s="10"/>
      <c r="AH9032" s="10"/>
      <c r="AI9032" s="10"/>
    </row>
    <row r="9033" spans="28:35" ht="15" hidden="1" customHeight="1">
      <c r="AB9033" s="9"/>
      <c r="AC9033" s="9"/>
      <c r="AD9033" s="9"/>
      <c r="AF9033" s="10"/>
      <c r="AG9033" s="10"/>
      <c r="AH9033" s="10"/>
      <c r="AI9033" s="10"/>
    </row>
    <row r="9034" spans="28:35" ht="15" hidden="1" customHeight="1">
      <c r="AB9034" s="9"/>
      <c r="AC9034" s="9"/>
      <c r="AD9034" s="9"/>
      <c r="AF9034" s="10"/>
      <c r="AG9034" s="10"/>
      <c r="AH9034" s="10"/>
      <c r="AI9034" s="10"/>
    </row>
    <row r="9035" spans="28:35" ht="15" hidden="1" customHeight="1">
      <c r="AB9035" s="9"/>
      <c r="AC9035" s="9"/>
      <c r="AD9035" s="9"/>
      <c r="AF9035" s="10"/>
      <c r="AG9035" s="10"/>
      <c r="AH9035" s="10"/>
      <c r="AI9035" s="10"/>
    </row>
    <row r="9036" spans="28:35" ht="15" hidden="1" customHeight="1">
      <c r="AB9036" s="9"/>
      <c r="AC9036" s="9"/>
      <c r="AD9036" s="9"/>
      <c r="AF9036" s="10"/>
      <c r="AG9036" s="10"/>
      <c r="AH9036" s="10"/>
      <c r="AI9036" s="10"/>
    </row>
    <row r="9037" spans="28:35" ht="15" hidden="1" customHeight="1">
      <c r="AB9037" s="9"/>
      <c r="AC9037" s="9"/>
      <c r="AD9037" s="9"/>
      <c r="AF9037" s="10"/>
      <c r="AG9037" s="10"/>
      <c r="AH9037" s="10"/>
      <c r="AI9037" s="10"/>
    </row>
    <row r="9038" spans="28:35" ht="15" hidden="1" customHeight="1">
      <c r="AB9038" s="9"/>
      <c r="AC9038" s="9"/>
      <c r="AD9038" s="9"/>
      <c r="AF9038" s="10"/>
      <c r="AG9038" s="10"/>
      <c r="AH9038" s="10"/>
      <c r="AI9038" s="10"/>
    </row>
    <row r="9039" spans="28:35" ht="15" hidden="1" customHeight="1">
      <c r="AB9039" s="9"/>
      <c r="AC9039" s="9"/>
      <c r="AD9039" s="9"/>
      <c r="AF9039" s="10"/>
      <c r="AG9039" s="10"/>
      <c r="AH9039" s="10"/>
      <c r="AI9039" s="10"/>
    </row>
    <row r="9040" spans="28:35" ht="15" hidden="1" customHeight="1">
      <c r="AB9040" s="9"/>
      <c r="AC9040" s="9"/>
      <c r="AD9040" s="9"/>
      <c r="AF9040" s="10"/>
      <c r="AG9040" s="10"/>
      <c r="AH9040" s="10"/>
      <c r="AI9040" s="10"/>
    </row>
    <row r="9041" spans="28:35" ht="15" hidden="1" customHeight="1">
      <c r="AB9041" s="9"/>
      <c r="AC9041" s="9"/>
      <c r="AD9041" s="9"/>
      <c r="AF9041" s="10"/>
      <c r="AG9041" s="10"/>
      <c r="AH9041" s="10"/>
      <c r="AI9041" s="10"/>
    </row>
    <row r="9042" spans="28:35" ht="15" hidden="1" customHeight="1">
      <c r="AB9042" s="9"/>
      <c r="AC9042" s="9"/>
      <c r="AD9042" s="9"/>
      <c r="AF9042" s="10"/>
      <c r="AG9042" s="10"/>
      <c r="AH9042" s="10"/>
      <c r="AI9042" s="10"/>
    </row>
    <row r="9043" spans="28:35" ht="15" hidden="1" customHeight="1">
      <c r="AB9043" s="9"/>
      <c r="AC9043" s="9"/>
      <c r="AD9043" s="9"/>
      <c r="AF9043" s="10"/>
      <c r="AG9043" s="10"/>
      <c r="AH9043" s="10"/>
      <c r="AI9043" s="10"/>
    </row>
    <row r="9044" spans="28:35" ht="15" hidden="1" customHeight="1">
      <c r="AB9044" s="9"/>
      <c r="AC9044" s="9"/>
      <c r="AD9044" s="9"/>
      <c r="AF9044" s="10"/>
      <c r="AG9044" s="10"/>
      <c r="AH9044" s="10"/>
      <c r="AI9044" s="10"/>
    </row>
    <row r="9045" spans="28:35" ht="15" hidden="1" customHeight="1">
      <c r="AB9045" s="9"/>
      <c r="AC9045" s="9"/>
      <c r="AD9045" s="9"/>
      <c r="AF9045" s="10"/>
      <c r="AG9045" s="10"/>
      <c r="AH9045" s="10"/>
      <c r="AI9045" s="10"/>
    </row>
    <row r="9046" spans="28:35" ht="15" hidden="1" customHeight="1">
      <c r="AB9046" s="9"/>
      <c r="AC9046" s="9"/>
      <c r="AD9046" s="9"/>
      <c r="AF9046" s="10"/>
      <c r="AG9046" s="10"/>
      <c r="AH9046" s="10"/>
      <c r="AI9046" s="10"/>
    </row>
    <row r="9047" spans="28:35" ht="15" hidden="1" customHeight="1">
      <c r="AB9047" s="9"/>
      <c r="AC9047" s="9"/>
      <c r="AD9047" s="9"/>
      <c r="AF9047" s="10"/>
      <c r="AG9047" s="10"/>
      <c r="AH9047" s="10"/>
      <c r="AI9047" s="10"/>
    </row>
    <row r="9048" spans="28:35" ht="15" hidden="1" customHeight="1">
      <c r="AB9048" s="9"/>
      <c r="AC9048" s="9"/>
      <c r="AD9048" s="9"/>
      <c r="AF9048" s="10"/>
      <c r="AG9048" s="10"/>
      <c r="AH9048" s="10"/>
      <c r="AI9048" s="10"/>
    </row>
    <row r="9049" spans="28:35" ht="15" hidden="1" customHeight="1">
      <c r="AB9049" s="9"/>
      <c r="AC9049" s="9"/>
      <c r="AD9049" s="9"/>
      <c r="AF9049" s="10"/>
      <c r="AG9049" s="10"/>
      <c r="AH9049" s="10"/>
      <c r="AI9049" s="10"/>
    </row>
    <row r="9050" spans="28:35" ht="15" hidden="1" customHeight="1">
      <c r="AB9050" s="9"/>
      <c r="AC9050" s="9"/>
      <c r="AD9050" s="9"/>
      <c r="AF9050" s="10"/>
      <c r="AG9050" s="10"/>
      <c r="AH9050" s="10"/>
      <c r="AI9050" s="10"/>
    </row>
    <row r="9051" spans="28:35" ht="15" hidden="1" customHeight="1">
      <c r="AB9051" s="9"/>
      <c r="AC9051" s="9"/>
      <c r="AD9051" s="9"/>
      <c r="AF9051" s="10"/>
      <c r="AG9051" s="10"/>
      <c r="AH9051" s="10"/>
      <c r="AI9051" s="10"/>
    </row>
    <row r="9052" spans="28:35" ht="15" hidden="1" customHeight="1">
      <c r="AB9052" s="9"/>
      <c r="AC9052" s="9"/>
      <c r="AD9052" s="9"/>
      <c r="AF9052" s="10"/>
      <c r="AG9052" s="10"/>
      <c r="AH9052" s="10"/>
      <c r="AI9052" s="10"/>
    </row>
    <row r="9053" spans="28:35" ht="15" hidden="1" customHeight="1">
      <c r="AB9053" s="9"/>
      <c r="AC9053" s="9"/>
      <c r="AD9053" s="9"/>
      <c r="AF9053" s="10"/>
      <c r="AG9053" s="10"/>
      <c r="AH9053" s="10"/>
      <c r="AI9053" s="10"/>
    </row>
    <row r="9054" spans="28:35" ht="15" hidden="1" customHeight="1">
      <c r="AB9054" s="9"/>
      <c r="AC9054" s="9"/>
      <c r="AD9054" s="9"/>
      <c r="AF9054" s="10"/>
      <c r="AG9054" s="10"/>
      <c r="AH9054" s="10"/>
      <c r="AI9054" s="10"/>
    </row>
    <row r="9055" spans="28:35" ht="15" hidden="1" customHeight="1">
      <c r="AB9055" s="9"/>
      <c r="AC9055" s="9"/>
      <c r="AD9055" s="9"/>
      <c r="AF9055" s="10"/>
      <c r="AG9055" s="10"/>
      <c r="AH9055" s="10"/>
      <c r="AI9055" s="10"/>
    </row>
    <row r="9056" spans="28:35" ht="15" hidden="1" customHeight="1">
      <c r="AB9056" s="9"/>
      <c r="AC9056" s="9"/>
      <c r="AD9056" s="9"/>
      <c r="AF9056" s="10"/>
      <c r="AG9056" s="10"/>
      <c r="AH9056" s="10"/>
      <c r="AI9056" s="10"/>
    </row>
    <row r="9057" spans="28:35" ht="15" hidden="1" customHeight="1">
      <c r="AB9057" s="9"/>
      <c r="AC9057" s="9"/>
      <c r="AD9057" s="9"/>
      <c r="AF9057" s="10"/>
      <c r="AG9057" s="10"/>
      <c r="AH9057" s="10"/>
      <c r="AI9057" s="10"/>
    </row>
    <row r="9058" spans="28:35" ht="15" hidden="1" customHeight="1">
      <c r="AB9058" s="9"/>
      <c r="AC9058" s="9"/>
      <c r="AD9058" s="9"/>
      <c r="AF9058" s="10"/>
      <c r="AG9058" s="10"/>
      <c r="AH9058" s="10"/>
      <c r="AI9058" s="10"/>
    </row>
    <row r="9059" spans="28:35" ht="15" hidden="1" customHeight="1">
      <c r="AB9059" s="9"/>
      <c r="AC9059" s="9"/>
      <c r="AD9059" s="9"/>
      <c r="AF9059" s="10"/>
      <c r="AG9059" s="10"/>
      <c r="AH9059" s="10"/>
      <c r="AI9059" s="10"/>
    </row>
    <row r="9060" spans="28:35" ht="15" hidden="1" customHeight="1">
      <c r="AB9060" s="9"/>
      <c r="AC9060" s="9"/>
      <c r="AD9060" s="9"/>
      <c r="AF9060" s="10"/>
      <c r="AG9060" s="10"/>
      <c r="AH9060" s="10"/>
      <c r="AI9060" s="10"/>
    </row>
    <row r="9061" spans="28:35" ht="15" hidden="1" customHeight="1">
      <c r="AB9061" s="9"/>
      <c r="AC9061" s="9"/>
      <c r="AD9061" s="9"/>
      <c r="AF9061" s="10"/>
      <c r="AG9061" s="10"/>
      <c r="AH9061" s="10"/>
      <c r="AI9061" s="10"/>
    </row>
    <row r="9062" spans="28:35" ht="15" hidden="1" customHeight="1">
      <c r="AB9062" s="9"/>
      <c r="AC9062" s="9"/>
      <c r="AD9062" s="9"/>
      <c r="AF9062" s="10"/>
      <c r="AG9062" s="10"/>
      <c r="AH9062" s="10"/>
      <c r="AI9062" s="10"/>
    </row>
    <row r="9063" spans="28:35" ht="15" hidden="1" customHeight="1">
      <c r="AB9063" s="9"/>
      <c r="AC9063" s="9"/>
      <c r="AD9063" s="9"/>
      <c r="AF9063" s="10"/>
      <c r="AG9063" s="10"/>
      <c r="AH9063" s="10"/>
      <c r="AI9063" s="10"/>
    </row>
    <row r="9064" spans="28:35" ht="15" hidden="1" customHeight="1">
      <c r="AB9064" s="9"/>
      <c r="AC9064" s="9"/>
      <c r="AD9064" s="9"/>
      <c r="AF9064" s="10"/>
      <c r="AG9064" s="10"/>
      <c r="AH9064" s="10"/>
      <c r="AI9064" s="10"/>
    </row>
    <row r="9065" spans="28:35" ht="15" hidden="1" customHeight="1">
      <c r="AB9065" s="9"/>
      <c r="AC9065" s="9"/>
      <c r="AD9065" s="9"/>
      <c r="AF9065" s="10"/>
      <c r="AG9065" s="10"/>
      <c r="AH9065" s="10"/>
      <c r="AI9065" s="10"/>
    </row>
    <row r="9066" spans="28:35" ht="15" hidden="1" customHeight="1">
      <c r="AB9066" s="9"/>
      <c r="AC9066" s="9"/>
      <c r="AD9066" s="9"/>
      <c r="AF9066" s="10"/>
      <c r="AG9066" s="10"/>
      <c r="AH9066" s="10"/>
      <c r="AI9066" s="10"/>
    </row>
    <row r="9067" spans="28:35" ht="15" hidden="1" customHeight="1">
      <c r="AB9067" s="9"/>
      <c r="AC9067" s="9"/>
      <c r="AD9067" s="9"/>
      <c r="AF9067" s="10"/>
      <c r="AG9067" s="10"/>
      <c r="AH9067" s="10"/>
      <c r="AI9067" s="10"/>
    </row>
    <row r="9068" spans="28:35" ht="15" hidden="1" customHeight="1">
      <c r="AB9068" s="9"/>
      <c r="AC9068" s="9"/>
      <c r="AD9068" s="9"/>
      <c r="AF9068" s="10"/>
      <c r="AG9068" s="10"/>
      <c r="AH9068" s="10"/>
      <c r="AI9068" s="10"/>
    </row>
    <row r="9069" spans="28:35" ht="15" hidden="1" customHeight="1">
      <c r="AB9069" s="9"/>
      <c r="AC9069" s="9"/>
      <c r="AD9069" s="9"/>
      <c r="AF9069" s="10"/>
      <c r="AG9069" s="10"/>
      <c r="AH9069" s="10"/>
      <c r="AI9069" s="10"/>
    </row>
    <row r="9070" spans="28:35" ht="15" hidden="1" customHeight="1">
      <c r="AB9070" s="9"/>
      <c r="AC9070" s="9"/>
      <c r="AD9070" s="9"/>
      <c r="AF9070" s="10"/>
      <c r="AG9070" s="10"/>
      <c r="AH9070" s="10"/>
      <c r="AI9070" s="10"/>
    </row>
    <row r="9071" spans="28:35" ht="15" hidden="1" customHeight="1">
      <c r="AB9071" s="9"/>
      <c r="AC9071" s="9"/>
      <c r="AD9071" s="9"/>
      <c r="AF9071" s="10"/>
      <c r="AG9071" s="10"/>
      <c r="AH9071" s="10"/>
      <c r="AI9071" s="10"/>
    </row>
    <row r="9072" spans="28:35" ht="15" hidden="1" customHeight="1">
      <c r="AB9072" s="9"/>
      <c r="AC9072" s="9"/>
      <c r="AD9072" s="9"/>
      <c r="AF9072" s="10"/>
      <c r="AG9072" s="10"/>
      <c r="AH9072" s="10"/>
      <c r="AI9072" s="10"/>
    </row>
    <row r="9073" spans="28:35" ht="15" hidden="1" customHeight="1">
      <c r="AB9073" s="9"/>
      <c r="AC9073" s="9"/>
      <c r="AD9073" s="9"/>
      <c r="AF9073" s="10"/>
      <c r="AG9073" s="10"/>
      <c r="AH9073" s="10"/>
      <c r="AI9073" s="10"/>
    </row>
    <row r="9074" spans="28:35" ht="15" hidden="1" customHeight="1">
      <c r="AB9074" s="9"/>
      <c r="AC9074" s="9"/>
      <c r="AD9074" s="9"/>
      <c r="AF9074" s="10"/>
      <c r="AG9074" s="10"/>
      <c r="AH9074" s="10"/>
      <c r="AI9074" s="10"/>
    </row>
    <row r="9075" spans="28:35" ht="15" hidden="1" customHeight="1">
      <c r="AB9075" s="9"/>
      <c r="AC9075" s="9"/>
      <c r="AD9075" s="9"/>
      <c r="AF9075" s="10"/>
      <c r="AG9075" s="10"/>
      <c r="AH9075" s="10"/>
      <c r="AI9075" s="10"/>
    </row>
    <row r="9076" spans="28:35" ht="15" hidden="1" customHeight="1">
      <c r="AB9076" s="9"/>
      <c r="AC9076" s="9"/>
      <c r="AD9076" s="9"/>
      <c r="AF9076" s="10"/>
      <c r="AG9076" s="10"/>
      <c r="AH9076" s="10"/>
      <c r="AI9076" s="10"/>
    </row>
    <row r="9077" spans="28:35" ht="15" hidden="1" customHeight="1">
      <c r="AB9077" s="9"/>
      <c r="AC9077" s="9"/>
      <c r="AD9077" s="9"/>
      <c r="AF9077" s="10"/>
      <c r="AG9077" s="10"/>
      <c r="AH9077" s="10"/>
      <c r="AI9077" s="10"/>
    </row>
    <row r="9078" spans="28:35" ht="15" hidden="1" customHeight="1">
      <c r="AB9078" s="9"/>
      <c r="AC9078" s="9"/>
      <c r="AD9078" s="9"/>
      <c r="AF9078" s="10"/>
      <c r="AG9078" s="10"/>
      <c r="AH9078" s="10"/>
      <c r="AI9078" s="10"/>
    </row>
    <row r="9079" spans="28:35" ht="15" hidden="1" customHeight="1">
      <c r="AB9079" s="9"/>
      <c r="AC9079" s="9"/>
      <c r="AD9079" s="9"/>
      <c r="AF9079" s="10"/>
      <c r="AG9079" s="10"/>
      <c r="AH9079" s="10"/>
      <c r="AI9079" s="10"/>
    </row>
    <row r="9080" spans="28:35" ht="15" hidden="1" customHeight="1">
      <c r="AB9080" s="9"/>
      <c r="AC9080" s="9"/>
      <c r="AD9080" s="9"/>
      <c r="AF9080" s="10"/>
      <c r="AG9080" s="10"/>
      <c r="AH9080" s="10"/>
      <c r="AI9080" s="10"/>
    </row>
    <row r="9081" spans="28:35" ht="15" hidden="1" customHeight="1">
      <c r="AB9081" s="9"/>
      <c r="AC9081" s="9"/>
      <c r="AD9081" s="9"/>
      <c r="AF9081" s="10"/>
      <c r="AG9081" s="10"/>
      <c r="AH9081" s="10"/>
      <c r="AI9081" s="10"/>
    </row>
    <row r="9082" spans="28:35" ht="15" hidden="1" customHeight="1">
      <c r="AB9082" s="9"/>
      <c r="AC9082" s="9"/>
      <c r="AD9082" s="9"/>
      <c r="AF9082" s="10"/>
      <c r="AG9082" s="10"/>
      <c r="AH9082" s="10"/>
      <c r="AI9082" s="10"/>
    </row>
    <row r="9083" spans="28:35" ht="15" hidden="1" customHeight="1">
      <c r="AB9083" s="9"/>
      <c r="AC9083" s="9"/>
      <c r="AD9083" s="9"/>
      <c r="AF9083" s="10"/>
      <c r="AG9083" s="10"/>
      <c r="AH9083" s="10"/>
      <c r="AI9083" s="10"/>
    </row>
    <row r="9084" spans="28:35" ht="15" hidden="1" customHeight="1">
      <c r="AB9084" s="9"/>
      <c r="AC9084" s="9"/>
      <c r="AD9084" s="9"/>
      <c r="AF9084" s="10"/>
      <c r="AG9084" s="10"/>
      <c r="AH9084" s="10"/>
      <c r="AI9084" s="10"/>
    </row>
    <row r="9085" spans="28:35" ht="15" hidden="1" customHeight="1">
      <c r="AB9085" s="9"/>
      <c r="AC9085" s="9"/>
      <c r="AD9085" s="9"/>
      <c r="AF9085" s="10"/>
      <c r="AG9085" s="10"/>
      <c r="AH9085" s="10"/>
      <c r="AI9085" s="10"/>
    </row>
    <row r="9086" spans="28:35" ht="15" hidden="1" customHeight="1">
      <c r="AB9086" s="9"/>
      <c r="AC9086" s="9"/>
      <c r="AD9086" s="9"/>
      <c r="AF9086" s="10"/>
      <c r="AG9086" s="10"/>
      <c r="AH9086" s="10"/>
      <c r="AI9086" s="10"/>
    </row>
    <row r="9087" spans="28:35" ht="15" hidden="1" customHeight="1">
      <c r="AB9087" s="9"/>
      <c r="AC9087" s="9"/>
      <c r="AD9087" s="9"/>
      <c r="AF9087" s="10"/>
      <c r="AG9087" s="10"/>
      <c r="AH9087" s="10"/>
      <c r="AI9087" s="10"/>
    </row>
    <row r="9088" spans="28:35" ht="15" hidden="1" customHeight="1">
      <c r="AB9088" s="9"/>
      <c r="AC9088" s="9"/>
      <c r="AD9088" s="9"/>
      <c r="AF9088" s="10"/>
      <c r="AG9088" s="10"/>
      <c r="AH9088" s="10"/>
      <c r="AI9088" s="10"/>
    </row>
    <row r="9089" spans="28:35" ht="15" hidden="1" customHeight="1">
      <c r="AB9089" s="9"/>
      <c r="AC9089" s="9"/>
      <c r="AD9089" s="9"/>
      <c r="AF9089" s="10"/>
      <c r="AG9089" s="10"/>
      <c r="AH9089" s="10"/>
      <c r="AI9089" s="10"/>
    </row>
    <row r="9090" spans="28:35" ht="15" hidden="1" customHeight="1">
      <c r="AB9090" s="9"/>
      <c r="AC9090" s="9"/>
      <c r="AD9090" s="9"/>
      <c r="AF9090" s="10"/>
      <c r="AG9090" s="10"/>
      <c r="AH9090" s="10"/>
      <c r="AI9090" s="10"/>
    </row>
    <row r="9091" spans="28:35" ht="15" hidden="1" customHeight="1">
      <c r="AB9091" s="9"/>
      <c r="AC9091" s="9"/>
      <c r="AD9091" s="9"/>
      <c r="AF9091" s="10"/>
      <c r="AG9091" s="10"/>
      <c r="AH9091" s="10"/>
      <c r="AI9091" s="10"/>
    </row>
    <row r="9092" spans="28:35" ht="15" hidden="1" customHeight="1">
      <c r="AB9092" s="9"/>
      <c r="AC9092" s="9"/>
      <c r="AD9092" s="9"/>
      <c r="AF9092" s="10"/>
      <c r="AG9092" s="10"/>
      <c r="AH9092" s="10"/>
      <c r="AI9092" s="10"/>
    </row>
    <row r="9093" spans="28:35" ht="15" hidden="1" customHeight="1">
      <c r="AB9093" s="9"/>
      <c r="AC9093" s="9"/>
      <c r="AD9093" s="9"/>
      <c r="AF9093" s="10"/>
      <c r="AG9093" s="10"/>
      <c r="AH9093" s="10"/>
      <c r="AI9093" s="10"/>
    </row>
    <row r="9094" spans="28:35" ht="15" hidden="1" customHeight="1">
      <c r="AB9094" s="9"/>
      <c r="AC9094" s="9"/>
      <c r="AD9094" s="9"/>
      <c r="AF9094" s="10"/>
      <c r="AG9094" s="10"/>
      <c r="AH9094" s="10"/>
      <c r="AI9094" s="10"/>
    </row>
    <row r="9095" spans="28:35" ht="15" hidden="1" customHeight="1">
      <c r="AB9095" s="9"/>
      <c r="AC9095" s="9"/>
      <c r="AD9095" s="9"/>
      <c r="AF9095" s="10"/>
      <c r="AG9095" s="10"/>
      <c r="AH9095" s="10"/>
      <c r="AI9095" s="10"/>
    </row>
    <row r="9096" spans="28:35" ht="15" hidden="1" customHeight="1">
      <c r="AB9096" s="9"/>
      <c r="AC9096" s="9"/>
      <c r="AD9096" s="9"/>
      <c r="AF9096" s="10"/>
      <c r="AG9096" s="10"/>
      <c r="AH9096" s="10"/>
      <c r="AI9096" s="10"/>
    </row>
    <row r="9097" spans="28:35" ht="15" hidden="1" customHeight="1">
      <c r="AB9097" s="9"/>
      <c r="AC9097" s="9"/>
      <c r="AD9097" s="9"/>
      <c r="AF9097" s="10"/>
      <c r="AG9097" s="10"/>
      <c r="AH9097" s="10"/>
      <c r="AI9097" s="10"/>
    </row>
    <row r="9098" spans="28:35" ht="15" hidden="1" customHeight="1">
      <c r="AB9098" s="9"/>
      <c r="AC9098" s="9"/>
      <c r="AD9098" s="9"/>
      <c r="AF9098" s="10"/>
      <c r="AG9098" s="10"/>
      <c r="AH9098" s="10"/>
      <c r="AI9098" s="10"/>
    </row>
    <row r="9099" spans="28:35" ht="15" hidden="1" customHeight="1">
      <c r="AB9099" s="9"/>
      <c r="AC9099" s="9"/>
      <c r="AD9099" s="9"/>
      <c r="AF9099" s="10"/>
      <c r="AG9099" s="10"/>
      <c r="AH9099" s="10"/>
      <c r="AI9099" s="10"/>
    </row>
    <row r="9100" spans="28:35" ht="15" hidden="1" customHeight="1">
      <c r="AB9100" s="9"/>
      <c r="AC9100" s="9"/>
      <c r="AD9100" s="9"/>
      <c r="AF9100" s="10"/>
      <c r="AG9100" s="10"/>
      <c r="AH9100" s="10"/>
      <c r="AI9100" s="10"/>
    </row>
    <row r="9101" spans="28:35" ht="15" hidden="1" customHeight="1">
      <c r="AB9101" s="9"/>
      <c r="AC9101" s="9"/>
      <c r="AD9101" s="9"/>
      <c r="AF9101" s="10"/>
      <c r="AG9101" s="10"/>
      <c r="AH9101" s="10"/>
      <c r="AI9101" s="10"/>
    </row>
    <row r="9102" spans="28:35" ht="15" hidden="1" customHeight="1">
      <c r="AB9102" s="9"/>
      <c r="AC9102" s="9"/>
      <c r="AD9102" s="9"/>
      <c r="AF9102" s="10"/>
      <c r="AG9102" s="10"/>
      <c r="AH9102" s="10"/>
      <c r="AI9102" s="10"/>
    </row>
    <row r="9103" spans="28:35" ht="15" hidden="1" customHeight="1">
      <c r="AB9103" s="9"/>
      <c r="AC9103" s="9"/>
      <c r="AD9103" s="9"/>
      <c r="AF9103" s="10"/>
      <c r="AG9103" s="10"/>
      <c r="AH9103" s="10"/>
      <c r="AI9103" s="10"/>
    </row>
    <row r="9104" spans="28:35" ht="15" hidden="1" customHeight="1">
      <c r="AB9104" s="9"/>
      <c r="AC9104" s="9"/>
      <c r="AD9104" s="9"/>
      <c r="AF9104" s="10"/>
      <c r="AG9104" s="10"/>
      <c r="AH9104" s="10"/>
      <c r="AI9104" s="10"/>
    </row>
    <row r="9105" spans="28:35" ht="15" hidden="1" customHeight="1">
      <c r="AB9105" s="9"/>
      <c r="AC9105" s="9"/>
      <c r="AD9105" s="9"/>
      <c r="AF9105" s="10"/>
      <c r="AG9105" s="10"/>
      <c r="AH9105" s="10"/>
      <c r="AI9105" s="10"/>
    </row>
    <row r="9106" spans="28:35" ht="15" hidden="1" customHeight="1">
      <c r="AB9106" s="9"/>
      <c r="AC9106" s="9"/>
      <c r="AD9106" s="9"/>
      <c r="AF9106" s="10"/>
      <c r="AG9106" s="10"/>
      <c r="AH9106" s="10"/>
      <c r="AI9106" s="10"/>
    </row>
    <row r="9107" spans="28:35" ht="15" hidden="1" customHeight="1">
      <c r="AB9107" s="9"/>
      <c r="AC9107" s="9"/>
      <c r="AD9107" s="9"/>
      <c r="AF9107" s="10"/>
      <c r="AG9107" s="10"/>
      <c r="AH9107" s="10"/>
      <c r="AI9107" s="10"/>
    </row>
    <row r="9108" spans="28:35" ht="15" hidden="1" customHeight="1">
      <c r="AB9108" s="9"/>
      <c r="AC9108" s="9"/>
      <c r="AD9108" s="9"/>
      <c r="AF9108" s="10"/>
      <c r="AG9108" s="10"/>
      <c r="AH9108" s="10"/>
      <c r="AI9108" s="10"/>
    </row>
    <row r="9109" spans="28:35" ht="15" hidden="1" customHeight="1">
      <c r="AB9109" s="9"/>
      <c r="AC9109" s="9"/>
      <c r="AD9109" s="9"/>
      <c r="AF9109" s="10"/>
      <c r="AG9109" s="10"/>
      <c r="AH9109" s="10"/>
      <c r="AI9109" s="10"/>
    </row>
    <row r="9110" spans="28:35" ht="15" hidden="1" customHeight="1">
      <c r="AB9110" s="9"/>
      <c r="AC9110" s="9"/>
      <c r="AD9110" s="9"/>
      <c r="AF9110" s="10"/>
      <c r="AG9110" s="10"/>
      <c r="AH9110" s="10"/>
      <c r="AI9110" s="10"/>
    </row>
    <row r="9111" spans="28:35" ht="15" hidden="1" customHeight="1">
      <c r="AB9111" s="9"/>
      <c r="AC9111" s="9"/>
      <c r="AD9111" s="9"/>
      <c r="AF9111" s="10"/>
      <c r="AG9111" s="10"/>
      <c r="AH9111" s="10"/>
      <c r="AI9111" s="10"/>
    </row>
    <row r="9112" spans="28:35" ht="15" hidden="1" customHeight="1">
      <c r="AB9112" s="9"/>
      <c r="AC9112" s="9"/>
      <c r="AD9112" s="9"/>
      <c r="AF9112" s="10"/>
      <c r="AG9112" s="10"/>
      <c r="AH9112" s="10"/>
      <c r="AI9112" s="10"/>
    </row>
    <row r="9113" spans="28:35" ht="15" hidden="1" customHeight="1">
      <c r="AB9113" s="9"/>
      <c r="AC9113" s="9"/>
      <c r="AD9113" s="9"/>
      <c r="AF9113" s="10"/>
      <c r="AG9113" s="10"/>
      <c r="AH9113" s="10"/>
      <c r="AI9113" s="10"/>
    </row>
    <row r="9114" spans="28:35" ht="15" hidden="1" customHeight="1">
      <c r="AB9114" s="9"/>
      <c r="AC9114" s="9"/>
      <c r="AD9114" s="9"/>
      <c r="AF9114" s="10"/>
      <c r="AG9114" s="10"/>
      <c r="AH9114" s="10"/>
      <c r="AI9114" s="10"/>
    </row>
    <row r="9115" spans="28:35" ht="15" hidden="1" customHeight="1">
      <c r="AB9115" s="9"/>
      <c r="AC9115" s="9"/>
      <c r="AD9115" s="9"/>
      <c r="AF9115" s="10"/>
      <c r="AG9115" s="10"/>
      <c r="AH9115" s="10"/>
      <c r="AI9115" s="10"/>
    </row>
    <row r="9116" spans="28:35" ht="15" hidden="1" customHeight="1">
      <c r="AB9116" s="9"/>
      <c r="AC9116" s="9"/>
      <c r="AD9116" s="9"/>
      <c r="AF9116" s="10"/>
      <c r="AG9116" s="10"/>
      <c r="AH9116" s="10"/>
      <c r="AI9116" s="10"/>
    </row>
    <row r="9117" spans="28:35" ht="15" hidden="1" customHeight="1">
      <c r="AB9117" s="9"/>
      <c r="AC9117" s="9"/>
      <c r="AD9117" s="9"/>
      <c r="AF9117" s="10"/>
      <c r="AG9117" s="10"/>
      <c r="AH9117" s="10"/>
      <c r="AI9117" s="10"/>
    </row>
    <row r="9118" spans="28:35" ht="15" hidden="1" customHeight="1">
      <c r="AB9118" s="9"/>
      <c r="AC9118" s="9"/>
      <c r="AD9118" s="9"/>
      <c r="AF9118" s="10"/>
      <c r="AG9118" s="10"/>
      <c r="AH9118" s="10"/>
      <c r="AI9118" s="10"/>
    </row>
    <row r="9119" spans="28:35" ht="15" hidden="1" customHeight="1">
      <c r="AB9119" s="9"/>
      <c r="AC9119" s="9"/>
      <c r="AD9119" s="9"/>
      <c r="AF9119" s="10"/>
      <c r="AG9119" s="10"/>
      <c r="AH9119" s="10"/>
      <c r="AI9119" s="10"/>
    </row>
    <row r="9120" spans="28:35" ht="15" hidden="1" customHeight="1">
      <c r="AB9120" s="9"/>
      <c r="AC9120" s="9"/>
      <c r="AD9120" s="9"/>
      <c r="AF9120" s="10"/>
      <c r="AG9120" s="10"/>
      <c r="AH9120" s="10"/>
      <c r="AI9120" s="10"/>
    </row>
    <row r="9121" spans="28:35" ht="15" hidden="1" customHeight="1">
      <c r="AB9121" s="9"/>
      <c r="AC9121" s="9"/>
      <c r="AD9121" s="9"/>
      <c r="AF9121" s="10"/>
      <c r="AG9121" s="10"/>
      <c r="AH9121" s="10"/>
      <c r="AI9121" s="10"/>
    </row>
    <row r="9122" spans="28:35" ht="15" hidden="1" customHeight="1">
      <c r="AB9122" s="9"/>
      <c r="AC9122" s="9"/>
      <c r="AD9122" s="9"/>
      <c r="AF9122" s="10"/>
      <c r="AG9122" s="10"/>
      <c r="AH9122" s="10"/>
      <c r="AI9122" s="10"/>
    </row>
    <row r="9123" spans="28:35" ht="15" hidden="1" customHeight="1">
      <c r="AB9123" s="9"/>
      <c r="AC9123" s="9"/>
      <c r="AD9123" s="9"/>
      <c r="AF9123" s="10"/>
      <c r="AG9123" s="10"/>
      <c r="AH9123" s="10"/>
      <c r="AI9123" s="10"/>
    </row>
    <row r="9124" spans="28:35" ht="15" hidden="1" customHeight="1">
      <c r="AB9124" s="9"/>
      <c r="AC9124" s="9"/>
      <c r="AD9124" s="9"/>
      <c r="AF9124" s="10"/>
      <c r="AG9124" s="10"/>
      <c r="AH9124" s="10"/>
      <c r="AI9124" s="10"/>
    </row>
    <row r="9125" spans="28:35" ht="15" hidden="1" customHeight="1">
      <c r="AB9125" s="9"/>
      <c r="AC9125" s="9"/>
      <c r="AD9125" s="9"/>
      <c r="AF9125" s="10"/>
      <c r="AG9125" s="10"/>
      <c r="AH9125" s="10"/>
      <c r="AI9125" s="10"/>
    </row>
    <row r="9126" spans="28:35" ht="15" hidden="1" customHeight="1">
      <c r="AB9126" s="9"/>
      <c r="AC9126" s="9"/>
      <c r="AD9126" s="9"/>
      <c r="AF9126" s="10"/>
      <c r="AG9126" s="10"/>
      <c r="AH9126" s="10"/>
      <c r="AI9126" s="10"/>
    </row>
    <row r="9127" spans="28:35" ht="15" hidden="1" customHeight="1">
      <c r="AB9127" s="9"/>
      <c r="AC9127" s="9"/>
      <c r="AD9127" s="9"/>
      <c r="AF9127" s="10"/>
      <c r="AG9127" s="10"/>
      <c r="AH9127" s="10"/>
      <c r="AI9127" s="10"/>
    </row>
    <row r="9128" spans="28:35" ht="15" hidden="1" customHeight="1">
      <c r="AB9128" s="9"/>
      <c r="AC9128" s="9"/>
      <c r="AD9128" s="9"/>
      <c r="AF9128" s="10"/>
      <c r="AG9128" s="10"/>
      <c r="AH9128" s="10"/>
      <c r="AI9128" s="10"/>
    </row>
    <row r="9129" spans="28:35" ht="15" hidden="1" customHeight="1">
      <c r="AB9129" s="9"/>
      <c r="AC9129" s="9"/>
      <c r="AD9129" s="9"/>
      <c r="AF9129" s="10"/>
      <c r="AG9129" s="10"/>
      <c r="AH9129" s="10"/>
      <c r="AI9129" s="10"/>
    </row>
    <row r="9130" spans="28:35" ht="15" hidden="1" customHeight="1">
      <c r="AB9130" s="9"/>
      <c r="AC9130" s="9"/>
      <c r="AD9130" s="9"/>
      <c r="AF9130" s="10"/>
      <c r="AG9130" s="10"/>
      <c r="AH9130" s="10"/>
      <c r="AI9130" s="10"/>
    </row>
    <row r="9131" spans="28:35" ht="15" hidden="1" customHeight="1">
      <c r="AB9131" s="9"/>
      <c r="AC9131" s="9"/>
      <c r="AD9131" s="9"/>
      <c r="AF9131" s="10"/>
      <c r="AG9131" s="10"/>
      <c r="AH9131" s="10"/>
      <c r="AI9131" s="10"/>
    </row>
    <row r="9132" spans="28:35" ht="15" hidden="1" customHeight="1">
      <c r="AB9132" s="9"/>
      <c r="AC9132" s="9"/>
      <c r="AD9132" s="9"/>
      <c r="AF9132" s="10"/>
      <c r="AG9132" s="10"/>
      <c r="AH9132" s="10"/>
      <c r="AI9132" s="10"/>
    </row>
    <row r="9133" spans="28:35" ht="15" hidden="1" customHeight="1">
      <c r="AB9133" s="9"/>
      <c r="AC9133" s="9"/>
      <c r="AD9133" s="9"/>
      <c r="AF9133" s="10"/>
      <c r="AG9133" s="10"/>
      <c r="AH9133" s="10"/>
      <c r="AI9133" s="10"/>
    </row>
    <row r="9134" spans="28:35" ht="15" hidden="1" customHeight="1">
      <c r="AB9134" s="9"/>
      <c r="AC9134" s="9"/>
      <c r="AD9134" s="9"/>
      <c r="AF9134" s="10"/>
      <c r="AG9134" s="10"/>
      <c r="AH9134" s="10"/>
      <c r="AI9134" s="10"/>
    </row>
    <row r="9135" spans="28:35" ht="15" hidden="1" customHeight="1">
      <c r="AB9135" s="9"/>
      <c r="AC9135" s="9"/>
      <c r="AD9135" s="9"/>
      <c r="AF9135" s="10"/>
      <c r="AG9135" s="10"/>
      <c r="AH9135" s="10"/>
      <c r="AI9135" s="10"/>
    </row>
    <row r="9136" spans="28:35" ht="15" hidden="1" customHeight="1">
      <c r="AB9136" s="9"/>
      <c r="AC9136" s="9"/>
      <c r="AD9136" s="9"/>
      <c r="AF9136" s="10"/>
      <c r="AG9136" s="10"/>
      <c r="AH9136" s="10"/>
      <c r="AI9136" s="10"/>
    </row>
    <row r="9137" spans="28:35" ht="15" hidden="1" customHeight="1">
      <c r="AB9137" s="9"/>
      <c r="AC9137" s="9"/>
      <c r="AD9137" s="9"/>
      <c r="AF9137" s="10"/>
      <c r="AG9137" s="10"/>
      <c r="AH9137" s="10"/>
      <c r="AI9137" s="10"/>
    </row>
    <row r="9138" spans="28:35" ht="15" hidden="1" customHeight="1">
      <c r="AB9138" s="9"/>
      <c r="AC9138" s="9"/>
      <c r="AD9138" s="9"/>
      <c r="AF9138" s="10"/>
      <c r="AG9138" s="10"/>
      <c r="AH9138" s="10"/>
      <c r="AI9138" s="10"/>
    </row>
    <row r="9139" spans="28:35" ht="15" hidden="1" customHeight="1">
      <c r="AB9139" s="9"/>
      <c r="AC9139" s="9"/>
      <c r="AD9139" s="9"/>
      <c r="AF9139" s="10"/>
      <c r="AG9139" s="10"/>
      <c r="AH9139" s="10"/>
      <c r="AI9139" s="10"/>
    </row>
    <row r="9140" spans="28:35" ht="15" hidden="1" customHeight="1">
      <c r="AB9140" s="9"/>
      <c r="AC9140" s="9"/>
      <c r="AD9140" s="9"/>
      <c r="AF9140" s="10"/>
      <c r="AG9140" s="10"/>
      <c r="AH9140" s="10"/>
      <c r="AI9140" s="10"/>
    </row>
    <row r="9141" spans="28:35" ht="15" hidden="1" customHeight="1">
      <c r="AB9141" s="9"/>
      <c r="AC9141" s="9"/>
      <c r="AD9141" s="9"/>
      <c r="AF9141" s="10"/>
      <c r="AG9141" s="10"/>
      <c r="AH9141" s="10"/>
      <c r="AI9141" s="10"/>
    </row>
    <row r="9142" spans="28:35" ht="15" hidden="1" customHeight="1">
      <c r="AB9142" s="9"/>
      <c r="AC9142" s="9"/>
      <c r="AD9142" s="9"/>
      <c r="AF9142" s="10"/>
      <c r="AG9142" s="10"/>
      <c r="AH9142" s="10"/>
      <c r="AI9142" s="10"/>
    </row>
    <row r="9143" spans="28:35" ht="15" hidden="1" customHeight="1">
      <c r="AB9143" s="9"/>
      <c r="AC9143" s="9"/>
      <c r="AD9143" s="9"/>
      <c r="AF9143" s="10"/>
      <c r="AG9143" s="10"/>
      <c r="AH9143" s="10"/>
      <c r="AI9143" s="10"/>
    </row>
    <row r="9144" spans="28:35" ht="15" hidden="1" customHeight="1">
      <c r="AB9144" s="9"/>
      <c r="AC9144" s="9"/>
      <c r="AD9144" s="9"/>
      <c r="AF9144" s="10"/>
      <c r="AG9144" s="10"/>
      <c r="AH9144" s="10"/>
      <c r="AI9144" s="10"/>
    </row>
    <row r="9145" spans="28:35" ht="15" hidden="1" customHeight="1">
      <c r="AB9145" s="9"/>
      <c r="AC9145" s="9"/>
      <c r="AD9145" s="9"/>
      <c r="AF9145" s="10"/>
      <c r="AG9145" s="10"/>
      <c r="AH9145" s="10"/>
      <c r="AI9145" s="10"/>
    </row>
    <row r="9146" spans="28:35" ht="15" hidden="1" customHeight="1">
      <c r="AB9146" s="9"/>
      <c r="AC9146" s="9"/>
      <c r="AD9146" s="9"/>
      <c r="AF9146" s="10"/>
      <c r="AG9146" s="10"/>
      <c r="AH9146" s="10"/>
      <c r="AI9146" s="10"/>
    </row>
    <row r="9147" spans="28:35" ht="15" hidden="1" customHeight="1">
      <c r="AB9147" s="9"/>
      <c r="AC9147" s="9"/>
      <c r="AD9147" s="9"/>
      <c r="AF9147" s="10"/>
      <c r="AG9147" s="10"/>
      <c r="AH9147" s="10"/>
      <c r="AI9147" s="10"/>
    </row>
    <row r="9148" spans="28:35" ht="15" hidden="1" customHeight="1">
      <c r="AB9148" s="9"/>
      <c r="AC9148" s="9"/>
      <c r="AD9148" s="9"/>
      <c r="AF9148" s="10"/>
      <c r="AG9148" s="10"/>
      <c r="AH9148" s="10"/>
      <c r="AI9148" s="10"/>
    </row>
    <row r="9149" spans="28:35" ht="15" hidden="1" customHeight="1">
      <c r="AB9149" s="9"/>
      <c r="AC9149" s="9"/>
      <c r="AD9149" s="9"/>
      <c r="AF9149" s="10"/>
      <c r="AG9149" s="10"/>
      <c r="AH9149" s="10"/>
      <c r="AI9149" s="10"/>
    </row>
    <row r="9150" spans="28:35" ht="15" hidden="1" customHeight="1">
      <c r="AB9150" s="9"/>
      <c r="AC9150" s="9"/>
      <c r="AD9150" s="9"/>
      <c r="AF9150" s="10"/>
      <c r="AG9150" s="10"/>
      <c r="AH9150" s="10"/>
      <c r="AI9150" s="10"/>
    </row>
    <row r="9151" spans="28:35" ht="15" hidden="1" customHeight="1">
      <c r="AB9151" s="9"/>
      <c r="AC9151" s="9"/>
      <c r="AD9151" s="9"/>
      <c r="AF9151" s="10"/>
      <c r="AG9151" s="10"/>
      <c r="AH9151" s="10"/>
      <c r="AI9151" s="10"/>
    </row>
    <row r="9152" spans="28:35" ht="15" hidden="1" customHeight="1">
      <c r="AB9152" s="9"/>
      <c r="AC9152" s="9"/>
      <c r="AD9152" s="9"/>
      <c r="AF9152" s="10"/>
      <c r="AG9152" s="10"/>
      <c r="AH9152" s="10"/>
      <c r="AI9152" s="10"/>
    </row>
    <row r="9153" spans="28:35" ht="15" hidden="1" customHeight="1">
      <c r="AB9153" s="9"/>
      <c r="AC9153" s="9"/>
      <c r="AD9153" s="9"/>
      <c r="AF9153" s="10"/>
      <c r="AG9153" s="10"/>
      <c r="AH9153" s="10"/>
      <c r="AI9153" s="10"/>
    </row>
    <row r="9154" spans="28:35" ht="15" hidden="1" customHeight="1">
      <c r="AB9154" s="9"/>
      <c r="AC9154" s="9"/>
      <c r="AD9154" s="9"/>
      <c r="AF9154" s="10"/>
      <c r="AG9154" s="10"/>
      <c r="AH9154" s="10"/>
      <c r="AI9154" s="10"/>
    </row>
    <row r="9155" spans="28:35" ht="15" hidden="1" customHeight="1">
      <c r="AB9155" s="9"/>
      <c r="AC9155" s="9"/>
      <c r="AD9155" s="9"/>
      <c r="AF9155" s="10"/>
      <c r="AG9155" s="10"/>
      <c r="AH9155" s="10"/>
      <c r="AI9155" s="10"/>
    </row>
    <row r="9156" spans="28:35" ht="15" hidden="1" customHeight="1">
      <c r="AB9156" s="9"/>
      <c r="AC9156" s="9"/>
      <c r="AD9156" s="9"/>
      <c r="AF9156" s="10"/>
      <c r="AG9156" s="10"/>
      <c r="AH9156" s="10"/>
      <c r="AI9156" s="10"/>
    </row>
    <row r="9157" spans="28:35" ht="15" hidden="1" customHeight="1">
      <c r="AB9157" s="9"/>
      <c r="AC9157" s="9"/>
      <c r="AD9157" s="9"/>
      <c r="AF9157" s="10"/>
      <c r="AG9157" s="10"/>
      <c r="AH9157" s="10"/>
      <c r="AI9157" s="10"/>
    </row>
    <row r="9158" spans="28:35" ht="15" hidden="1" customHeight="1">
      <c r="AB9158" s="9"/>
      <c r="AC9158" s="9"/>
      <c r="AD9158" s="9"/>
      <c r="AF9158" s="10"/>
      <c r="AG9158" s="10"/>
      <c r="AH9158" s="10"/>
      <c r="AI9158" s="10"/>
    </row>
    <row r="9159" spans="28:35" ht="15" hidden="1" customHeight="1">
      <c r="AB9159" s="9"/>
      <c r="AC9159" s="9"/>
      <c r="AD9159" s="9"/>
      <c r="AF9159" s="10"/>
      <c r="AG9159" s="10"/>
      <c r="AH9159" s="10"/>
      <c r="AI9159" s="10"/>
    </row>
    <row r="9160" spans="28:35" ht="15" hidden="1" customHeight="1">
      <c r="AB9160" s="9"/>
      <c r="AC9160" s="9"/>
      <c r="AD9160" s="9"/>
      <c r="AF9160" s="10"/>
      <c r="AG9160" s="10"/>
      <c r="AH9160" s="10"/>
      <c r="AI9160" s="10"/>
    </row>
    <row r="9161" spans="28:35" ht="15" hidden="1" customHeight="1">
      <c r="AB9161" s="9"/>
      <c r="AC9161" s="9"/>
      <c r="AD9161" s="9"/>
      <c r="AF9161" s="10"/>
      <c r="AG9161" s="10"/>
      <c r="AH9161" s="10"/>
      <c r="AI9161" s="10"/>
    </row>
    <row r="9162" spans="28:35" ht="15" hidden="1" customHeight="1">
      <c r="AB9162" s="9"/>
      <c r="AC9162" s="9"/>
      <c r="AD9162" s="9"/>
      <c r="AF9162" s="10"/>
      <c r="AG9162" s="10"/>
      <c r="AH9162" s="10"/>
      <c r="AI9162" s="10"/>
    </row>
    <row r="9163" spans="28:35" ht="15" hidden="1" customHeight="1">
      <c r="AB9163" s="9"/>
      <c r="AC9163" s="9"/>
      <c r="AD9163" s="9"/>
      <c r="AF9163" s="10"/>
      <c r="AG9163" s="10"/>
      <c r="AH9163" s="10"/>
      <c r="AI9163" s="10"/>
    </row>
    <row r="9164" spans="28:35" ht="15" hidden="1" customHeight="1">
      <c r="AB9164" s="9"/>
      <c r="AC9164" s="9"/>
      <c r="AD9164" s="9"/>
      <c r="AF9164" s="10"/>
      <c r="AG9164" s="10"/>
      <c r="AH9164" s="10"/>
      <c r="AI9164" s="10"/>
    </row>
    <row r="9165" spans="28:35" ht="15" hidden="1" customHeight="1">
      <c r="AB9165" s="9"/>
      <c r="AC9165" s="9"/>
      <c r="AD9165" s="9"/>
      <c r="AF9165" s="10"/>
      <c r="AG9165" s="10"/>
      <c r="AH9165" s="10"/>
      <c r="AI9165" s="10"/>
    </row>
    <row r="9166" spans="28:35" ht="15" hidden="1" customHeight="1">
      <c r="AB9166" s="9"/>
      <c r="AC9166" s="9"/>
      <c r="AD9166" s="9"/>
      <c r="AF9166" s="10"/>
      <c r="AG9166" s="10"/>
      <c r="AH9166" s="10"/>
      <c r="AI9166" s="10"/>
    </row>
    <row r="9167" spans="28:35" ht="15" hidden="1" customHeight="1">
      <c r="AB9167" s="9"/>
      <c r="AC9167" s="9"/>
      <c r="AD9167" s="9"/>
      <c r="AF9167" s="10"/>
      <c r="AG9167" s="10"/>
      <c r="AH9167" s="10"/>
      <c r="AI9167" s="10"/>
    </row>
    <row r="9168" spans="28:35" ht="15" hidden="1" customHeight="1">
      <c r="AB9168" s="9"/>
      <c r="AC9168" s="9"/>
      <c r="AD9168" s="9"/>
      <c r="AF9168" s="10"/>
      <c r="AG9168" s="10"/>
      <c r="AH9168" s="10"/>
      <c r="AI9168" s="10"/>
    </row>
    <row r="9169" spans="28:35" ht="15" hidden="1" customHeight="1">
      <c r="AB9169" s="9"/>
      <c r="AC9169" s="9"/>
      <c r="AD9169" s="9"/>
      <c r="AF9169" s="10"/>
      <c r="AG9169" s="10"/>
      <c r="AH9169" s="10"/>
      <c r="AI9169" s="10"/>
    </row>
    <row r="9170" spans="28:35" ht="15" hidden="1" customHeight="1">
      <c r="AB9170" s="9"/>
      <c r="AC9170" s="9"/>
      <c r="AD9170" s="9"/>
      <c r="AF9170" s="10"/>
      <c r="AG9170" s="10"/>
      <c r="AH9170" s="10"/>
      <c r="AI9170" s="10"/>
    </row>
    <row r="9171" spans="28:35" ht="15" hidden="1" customHeight="1">
      <c r="AB9171" s="9"/>
      <c r="AC9171" s="9"/>
      <c r="AD9171" s="9"/>
      <c r="AF9171" s="10"/>
      <c r="AG9171" s="10"/>
      <c r="AH9171" s="10"/>
      <c r="AI9171" s="10"/>
    </row>
    <row r="9172" spans="28:35" ht="15" hidden="1" customHeight="1">
      <c r="AB9172" s="9"/>
      <c r="AC9172" s="9"/>
      <c r="AD9172" s="9"/>
      <c r="AF9172" s="10"/>
      <c r="AG9172" s="10"/>
      <c r="AH9172" s="10"/>
      <c r="AI9172" s="10"/>
    </row>
    <row r="9173" spans="28:35" ht="15" hidden="1" customHeight="1">
      <c r="AB9173" s="9"/>
      <c r="AC9173" s="9"/>
      <c r="AD9173" s="9"/>
      <c r="AF9173" s="10"/>
      <c r="AG9173" s="10"/>
      <c r="AH9173" s="10"/>
      <c r="AI9173" s="10"/>
    </row>
    <row r="9174" spans="28:35" ht="15" hidden="1" customHeight="1">
      <c r="AB9174" s="9"/>
      <c r="AC9174" s="9"/>
      <c r="AD9174" s="9"/>
      <c r="AF9174" s="10"/>
      <c r="AG9174" s="10"/>
      <c r="AH9174" s="10"/>
      <c r="AI9174" s="10"/>
    </row>
    <row r="9175" spans="28:35" ht="15" hidden="1" customHeight="1">
      <c r="AB9175" s="9"/>
      <c r="AC9175" s="9"/>
      <c r="AD9175" s="9"/>
      <c r="AF9175" s="10"/>
      <c r="AG9175" s="10"/>
      <c r="AH9175" s="10"/>
      <c r="AI9175" s="10"/>
    </row>
    <row r="9176" spans="28:35" ht="15" hidden="1" customHeight="1">
      <c r="AB9176" s="9"/>
      <c r="AC9176" s="9"/>
      <c r="AD9176" s="9"/>
      <c r="AF9176" s="10"/>
      <c r="AG9176" s="10"/>
      <c r="AH9176" s="10"/>
      <c r="AI9176" s="10"/>
    </row>
    <row r="9177" spans="28:35" ht="15" hidden="1" customHeight="1">
      <c r="AB9177" s="9"/>
      <c r="AC9177" s="9"/>
      <c r="AD9177" s="9"/>
      <c r="AF9177" s="10"/>
      <c r="AG9177" s="10"/>
      <c r="AH9177" s="10"/>
      <c r="AI9177" s="10"/>
    </row>
    <row r="9178" spans="28:35" ht="15" hidden="1" customHeight="1">
      <c r="AB9178" s="9"/>
      <c r="AC9178" s="9"/>
      <c r="AD9178" s="9"/>
      <c r="AF9178" s="10"/>
      <c r="AG9178" s="10"/>
      <c r="AH9178" s="10"/>
      <c r="AI9178" s="10"/>
    </row>
    <row r="9179" spans="28:35" ht="15" hidden="1" customHeight="1">
      <c r="AB9179" s="9"/>
      <c r="AC9179" s="9"/>
      <c r="AD9179" s="9"/>
      <c r="AF9179" s="10"/>
      <c r="AG9179" s="10"/>
      <c r="AH9179" s="10"/>
      <c r="AI9179" s="10"/>
    </row>
    <row r="9180" spans="28:35" ht="15" hidden="1" customHeight="1">
      <c r="AB9180" s="9"/>
      <c r="AC9180" s="9"/>
      <c r="AD9180" s="9"/>
      <c r="AF9180" s="10"/>
      <c r="AG9180" s="10"/>
      <c r="AH9180" s="10"/>
      <c r="AI9180" s="10"/>
    </row>
    <row r="9181" spans="28:35" ht="15" hidden="1" customHeight="1">
      <c r="AB9181" s="9"/>
      <c r="AC9181" s="9"/>
      <c r="AD9181" s="9"/>
      <c r="AF9181" s="10"/>
      <c r="AG9181" s="10"/>
      <c r="AH9181" s="10"/>
      <c r="AI9181" s="10"/>
    </row>
    <row r="9182" spans="28:35" ht="15" hidden="1" customHeight="1">
      <c r="AB9182" s="9"/>
      <c r="AC9182" s="9"/>
      <c r="AD9182" s="9"/>
      <c r="AF9182" s="10"/>
      <c r="AG9182" s="10"/>
      <c r="AH9182" s="10"/>
      <c r="AI9182" s="10"/>
    </row>
    <row r="9183" spans="28:35" ht="15" hidden="1" customHeight="1">
      <c r="AB9183" s="9"/>
      <c r="AC9183" s="9"/>
      <c r="AD9183" s="9"/>
      <c r="AF9183" s="10"/>
      <c r="AG9183" s="10"/>
      <c r="AH9183" s="10"/>
      <c r="AI9183" s="10"/>
    </row>
    <row r="9184" spans="28:35" ht="15" hidden="1" customHeight="1">
      <c r="AB9184" s="9"/>
      <c r="AC9184" s="9"/>
      <c r="AD9184" s="9"/>
      <c r="AF9184" s="10"/>
      <c r="AG9184" s="10"/>
      <c r="AH9184" s="10"/>
      <c r="AI9184" s="10"/>
    </row>
    <row r="9185" spans="28:35" ht="15" hidden="1" customHeight="1">
      <c r="AB9185" s="9"/>
      <c r="AC9185" s="9"/>
      <c r="AD9185" s="9"/>
      <c r="AF9185" s="10"/>
      <c r="AG9185" s="10"/>
      <c r="AH9185" s="10"/>
      <c r="AI9185" s="10"/>
    </row>
    <row r="9186" spans="28:35" ht="15" hidden="1" customHeight="1">
      <c r="AB9186" s="9"/>
      <c r="AC9186" s="9"/>
      <c r="AD9186" s="9"/>
      <c r="AF9186" s="10"/>
      <c r="AG9186" s="10"/>
      <c r="AH9186" s="10"/>
      <c r="AI9186" s="10"/>
    </row>
    <row r="9187" spans="28:35" ht="15" hidden="1" customHeight="1">
      <c r="AB9187" s="9"/>
      <c r="AC9187" s="9"/>
      <c r="AD9187" s="9"/>
      <c r="AF9187" s="10"/>
      <c r="AG9187" s="10"/>
      <c r="AH9187" s="10"/>
      <c r="AI9187" s="10"/>
    </row>
    <row r="9188" spans="28:35" ht="15" hidden="1" customHeight="1">
      <c r="AB9188" s="9"/>
      <c r="AC9188" s="9"/>
      <c r="AD9188" s="9"/>
      <c r="AF9188" s="10"/>
      <c r="AG9188" s="10"/>
      <c r="AH9188" s="10"/>
      <c r="AI9188" s="10"/>
    </row>
    <row r="9189" spans="28:35" ht="15" hidden="1" customHeight="1">
      <c r="AB9189" s="9"/>
      <c r="AC9189" s="9"/>
      <c r="AD9189" s="9"/>
      <c r="AF9189" s="10"/>
      <c r="AG9189" s="10"/>
      <c r="AH9189" s="10"/>
      <c r="AI9189" s="10"/>
    </row>
    <row r="9190" spans="28:35" ht="15" hidden="1" customHeight="1">
      <c r="AB9190" s="9"/>
      <c r="AC9190" s="9"/>
      <c r="AD9190" s="9"/>
      <c r="AF9190" s="10"/>
      <c r="AG9190" s="10"/>
      <c r="AH9190" s="10"/>
      <c r="AI9190" s="10"/>
    </row>
    <row r="9191" spans="28:35" ht="15" hidden="1" customHeight="1">
      <c r="AB9191" s="9"/>
      <c r="AC9191" s="9"/>
      <c r="AD9191" s="9"/>
      <c r="AF9191" s="10"/>
      <c r="AG9191" s="10"/>
      <c r="AH9191" s="10"/>
      <c r="AI9191" s="10"/>
    </row>
    <row r="9192" spans="28:35" ht="15" hidden="1" customHeight="1">
      <c r="AB9192" s="9"/>
      <c r="AC9192" s="9"/>
      <c r="AD9192" s="9"/>
      <c r="AF9192" s="10"/>
      <c r="AG9192" s="10"/>
      <c r="AH9192" s="10"/>
      <c r="AI9192" s="10"/>
    </row>
    <row r="9193" spans="28:35" ht="15" hidden="1" customHeight="1">
      <c r="AB9193" s="9"/>
      <c r="AC9193" s="9"/>
      <c r="AD9193" s="9"/>
      <c r="AF9193" s="10"/>
      <c r="AG9193" s="10"/>
      <c r="AH9193" s="10"/>
      <c r="AI9193" s="10"/>
    </row>
    <row r="9194" spans="28:35" ht="15" hidden="1" customHeight="1">
      <c r="AB9194" s="9"/>
      <c r="AC9194" s="9"/>
      <c r="AD9194" s="9"/>
      <c r="AF9194" s="10"/>
      <c r="AG9194" s="10"/>
      <c r="AH9194" s="10"/>
      <c r="AI9194" s="10"/>
    </row>
    <row r="9195" spans="28:35" ht="15" hidden="1" customHeight="1">
      <c r="AB9195" s="9"/>
      <c r="AC9195" s="9"/>
      <c r="AD9195" s="9"/>
      <c r="AF9195" s="10"/>
      <c r="AG9195" s="10"/>
      <c r="AH9195" s="10"/>
      <c r="AI9195" s="10"/>
    </row>
    <row r="9196" spans="28:35" ht="15" hidden="1" customHeight="1">
      <c r="AB9196" s="9"/>
      <c r="AC9196" s="9"/>
      <c r="AD9196" s="9"/>
      <c r="AF9196" s="10"/>
      <c r="AG9196" s="10"/>
      <c r="AH9196" s="10"/>
      <c r="AI9196" s="10"/>
    </row>
    <row r="9197" spans="28:35" ht="15" hidden="1" customHeight="1">
      <c r="AB9197" s="9"/>
      <c r="AC9197" s="9"/>
      <c r="AD9197" s="9"/>
      <c r="AF9197" s="10"/>
      <c r="AG9197" s="10"/>
      <c r="AH9197" s="10"/>
      <c r="AI9197" s="10"/>
    </row>
    <row r="9198" spans="28:35" ht="15" hidden="1" customHeight="1">
      <c r="AB9198" s="9"/>
      <c r="AC9198" s="9"/>
      <c r="AD9198" s="9"/>
      <c r="AF9198" s="10"/>
      <c r="AG9198" s="10"/>
      <c r="AH9198" s="10"/>
      <c r="AI9198" s="10"/>
    </row>
    <row r="9199" spans="28:35" ht="15" hidden="1" customHeight="1">
      <c r="AB9199" s="9"/>
      <c r="AC9199" s="9"/>
      <c r="AD9199" s="9"/>
      <c r="AF9199" s="10"/>
      <c r="AG9199" s="10"/>
      <c r="AH9199" s="10"/>
      <c r="AI9199" s="10"/>
    </row>
    <row r="9200" spans="28:35" ht="15" hidden="1" customHeight="1">
      <c r="AB9200" s="9"/>
      <c r="AC9200" s="9"/>
      <c r="AD9200" s="9"/>
      <c r="AF9200" s="10"/>
      <c r="AG9200" s="10"/>
      <c r="AH9200" s="10"/>
      <c r="AI9200" s="10"/>
    </row>
    <row r="9201" spans="28:35" ht="15" hidden="1" customHeight="1">
      <c r="AB9201" s="9"/>
      <c r="AC9201" s="9"/>
      <c r="AD9201" s="9"/>
      <c r="AF9201" s="10"/>
      <c r="AG9201" s="10"/>
      <c r="AH9201" s="10"/>
      <c r="AI9201" s="10"/>
    </row>
    <row r="9202" spans="28:35" ht="15" hidden="1" customHeight="1">
      <c r="AB9202" s="9"/>
      <c r="AC9202" s="9"/>
      <c r="AD9202" s="9"/>
      <c r="AF9202" s="10"/>
      <c r="AG9202" s="10"/>
      <c r="AH9202" s="10"/>
      <c r="AI9202" s="10"/>
    </row>
    <row r="9203" spans="28:35" ht="15" hidden="1" customHeight="1">
      <c r="AB9203" s="9"/>
      <c r="AC9203" s="9"/>
      <c r="AD9203" s="9"/>
      <c r="AF9203" s="10"/>
      <c r="AG9203" s="10"/>
      <c r="AH9203" s="10"/>
      <c r="AI9203" s="10"/>
    </row>
    <row r="9204" spans="28:35" ht="15" hidden="1" customHeight="1">
      <c r="AB9204" s="9"/>
      <c r="AC9204" s="9"/>
      <c r="AD9204" s="9"/>
      <c r="AF9204" s="10"/>
      <c r="AG9204" s="10"/>
      <c r="AH9204" s="10"/>
      <c r="AI9204" s="10"/>
    </row>
    <row r="9205" spans="28:35" ht="15" hidden="1" customHeight="1">
      <c r="AB9205" s="9"/>
      <c r="AC9205" s="9"/>
      <c r="AD9205" s="9"/>
      <c r="AF9205" s="10"/>
      <c r="AG9205" s="10"/>
      <c r="AH9205" s="10"/>
      <c r="AI9205" s="10"/>
    </row>
    <row r="9206" spans="28:35" ht="15" hidden="1" customHeight="1">
      <c r="AB9206" s="9"/>
      <c r="AC9206" s="9"/>
      <c r="AD9206" s="9"/>
      <c r="AF9206" s="10"/>
      <c r="AG9206" s="10"/>
      <c r="AH9206" s="10"/>
      <c r="AI9206" s="10"/>
    </row>
    <row r="9207" spans="28:35" ht="15" hidden="1" customHeight="1">
      <c r="AB9207" s="9"/>
      <c r="AC9207" s="9"/>
      <c r="AD9207" s="9"/>
      <c r="AF9207" s="10"/>
      <c r="AG9207" s="10"/>
      <c r="AH9207" s="10"/>
      <c r="AI9207" s="10"/>
    </row>
    <row r="9208" spans="28:35" ht="15" hidden="1" customHeight="1">
      <c r="AB9208" s="9"/>
      <c r="AC9208" s="9"/>
      <c r="AD9208" s="9"/>
      <c r="AF9208" s="10"/>
      <c r="AG9208" s="10"/>
      <c r="AH9208" s="10"/>
      <c r="AI9208" s="10"/>
    </row>
    <row r="9209" spans="28:35" ht="15" hidden="1" customHeight="1">
      <c r="AB9209" s="9"/>
      <c r="AC9209" s="9"/>
      <c r="AD9209" s="9"/>
      <c r="AF9209" s="10"/>
      <c r="AG9209" s="10"/>
      <c r="AH9209" s="10"/>
      <c r="AI9209" s="10"/>
    </row>
    <row r="9210" spans="28:35" ht="15" hidden="1" customHeight="1">
      <c r="AB9210" s="9"/>
      <c r="AC9210" s="9"/>
      <c r="AD9210" s="9"/>
      <c r="AF9210" s="10"/>
      <c r="AG9210" s="10"/>
      <c r="AH9210" s="10"/>
      <c r="AI9210" s="10"/>
    </row>
    <row r="9211" spans="28:35" ht="15" hidden="1" customHeight="1">
      <c r="AB9211" s="9"/>
      <c r="AC9211" s="9"/>
      <c r="AD9211" s="9"/>
      <c r="AF9211" s="10"/>
      <c r="AG9211" s="10"/>
      <c r="AH9211" s="10"/>
      <c r="AI9211" s="10"/>
    </row>
    <row r="9212" spans="28:35" ht="15" hidden="1" customHeight="1">
      <c r="AB9212" s="9"/>
      <c r="AC9212" s="9"/>
      <c r="AD9212" s="9"/>
      <c r="AF9212" s="10"/>
      <c r="AG9212" s="10"/>
      <c r="AH9212" s="10"/>
      <c r="AI9212" s="10"/>
    </row>
    <row r="9213" spans="28:35" ht="15" hidden="1" customHeight="1">
      <c r="AB9213" s="9"/>
      <c r="AC9213" s="9"/>
      <c r="AD9213" s="9"/>
      <c r="AF9213" s="10"/>
      <c r="AG9213" s="10"/>
      <c r="AH9213" s="10"/>
      <c r="AI9213" s="10"/>
    </row>
    <row r="9214" spans="28:35" ht="15" hidden="1" customHeight="1">
      <c r="AB9214" s="9"/>
      <c r="AC9214" s="9"/>
      <c r="AD9214" s="9"/>
      <c r="AF9214" s="10"/>
      <c r="AG9214" s="10"/>
      <c r="AH9214" s="10"/>
      <c r="AI9214" s="10"/>
    </row>
    <row r="9215" spans="28:35" ht="15" hidden="1" customHeight="1">
      <c r="AB9215" s="9"/>
      <c r="AC9215" s="9"/>
      <c r="AD9215" s="9"/>
      <c r="AF9215" s="10"/>
      <c r="AG9215" s="10"/>
      <c r="AH9215" s="10"/>
      <c r="AI9215" s="10"/>
    </row>
    <row r="9216" spans="28:35" ht="15" hidden="1" customHeight="1">
      <c r="AB9216" s="9"/>
      <c r="AC9216" s="9"/>
      <c r="AD9216" s="9"/>
      <c r="AF9216" s="10"/>
      <c r="AG9216" s="10"/>
      <c r="AH9216" s="10"/>
      <c r="AI9216" s="10"/>
    </row>
    <row r="9217" spans="28:35" ht="15" hidden="1" customHeight="1">
      <c r="AB9217" s="9"/>
      <c r="AC9217" s="9"/>
      <c r="AD9217" s="9"/>
      <c r="AF9217" s="10"/>
      <c r="AG9217" s="10"/>
      <c r="AH9217" s="10"/>
      <c r="AI9217" s="10"/>
    </row>
    <row r="9218" spans="28:35" ht="15" hidden="1" customHeight="1">
      <c r="AB9218" s="9"/>
      <c r="AC9218" s="9"/>
      <c r="AD9218" s="9"/>
      <c r="AF9218" s="10"/>
      <c r="AG9218" s="10"/>
      <c r="AH9218" s="10"/>
      <c r="AI9218" s="10"/>
    </row>
    <row r="9219" spans="28:35" ht="15" hidden="1" customHeight="1">
      <c r="AB9219" s="9"/>
      <c r="AC9219" s="9"/>
      <c r="AD9219" s="9"/>
      <c r="AF9219" s="10"/>
      <c r="AG9219" s="10"/>
      <c r="AH9219" s="10"/>
      <c r="AI9219" s="10"/>
    </row>
    <row r="9220" spans="28:35" ht="15" hidden="1" customHeight="1">
      <c r="AB9220" s="9"/>
      <c r="AC9220" s="9"/>
      <c r="AD9220" s="9"/>
      <c r="AF9220" s="10"/>
      <c r="AG9220" s="10"/>
      <c r="AH9220" s="10"/>
      <c r="AI9220" s="10"/>
    </row>
    <row r="9221" spans="28:35" ht="15" hidden="1" customHeight="1">
      <c r="AB9221" s="9"/>
      <c r="AC9221" s="9"/>
      <c r="AD9221" s="9"/>
      <c r="AF9221" s="10"/>
      <c r="AG9221" s="10"/>
      <c r="AH9221" s="10"/>
      <c r="AI9221" s="10"/>
    </row>
    <row r="9222" spans="28:35" ht="15" hidden="1" customHeight="1">
      <c r="AB9222" s="9"/>
      <c r="AC9222" s="9"/>
      <c r="AD9222" s="9"/>
      <c r="AF9222" s="10"/>
      <c r="AG9222" s="10"/>
      <c r="AH9222" s="10"/>
      <c r="AI9222" s="10"/>
    </row>
    <row r="9223" spans="28:35" ht="15" hidden="1" customHeight="1">
      <c r="AB9223" s="9"/>
      <c r="AC9223" s="9"/>
      <c r="AD9223" s="9"/>
      <c r="AF9223" s="10"/>
      <c r="AG9223" s="10"/>
      <c r="AH9223" s="10"/>
      <c r="AI9223" s="10"/>
    </row>
    <row r="9224" spans="28:35" ht="15" hidden="1" customHeight="1">
      <c r="AB9224" s="9"/>
      <c r="AC9224" s="9"/>
      <c r="AD9224" s="9"/>
      <c r="AF9224" s="10"/>
      <c r="AG9224" s="10"/>
      <c r="AH9224" s="10"/>
      <c r="AI9224" s="10"/>
    </row>
    <row r="9225" spans="28:35" ht="15" hidden="1" customHeight="1">
      <c r="AB9225" s="9"/>
      <c r="AC9225" s="9"/>
      <c r="AD9225" s="9"/>
      <c r="AF9225" s="10"/>
      <c r="AG9225" s="10"/>
      <c r="AH9225" s="10"/>
      <c r="AI9225" s="10"/>
    </row>
    <row r="9226" spans="28:35" ht="15" hidden="1" customHeight="1">
      <c r="AB9226" s="9"/>
      <c r="AC9226" s="9"/>
      <c r="AD9226" s="9"/>
      <c r="AF9226" s="10"/>
      <c r="AG9226" s="10"/>
      <c r="AH9226" s="10"/>
      <c r="AI9226" s="10"/>
    </row>
    <row r="9227" spans="28:35" ht="15" hidden="1" customHeight="1">
      <c r="AB9227" s="9"/>
      <c r="AC9227" s="9"/>
      <c r="AD9227" s="9"/>
      <c r="AF9227" s="10"/>
      <c r="AG9227" s="10"/>
      <c r="AH9227" s="10"/>
      <c r="AI9227" s="10"/>
    </row>
    <row r="9228" spans="28:35" ht="15" hidden="1" customHeight="1">
      <c r="AB9228" s="9"/>
      <c r="AC9228" s="9"/>
      <c r="AD9228" s="9"/>
      <c r="AF9228" s="10"/>
      <c r="AG9228" s="10"/>
      <c r="AH9228" s="10"/>
      <c r="AI9228" s="10"/>
    </row>
    <row r="9229" spans="28:35" ht="15" hidden="1" customHeight="1">
      <c r="AB9229" s="9"/>
      <c r="AC9229" s="9"/>
      <c r="AD9229" s="9"/>
      <c r="AF9229" s="10"/>
      <c r="AG9229" s="10"/>
      <c r="AH9229" s="10"/>
      <c r="AI9229" s="10"/>
    </row>
    <row r="9230" spans="28:35" ht="15" hidden="1" customHeight="1">
      <c r="AB9230" s="9"/>
      <c r="AC9230" s="9"/>
      <c r="AD9230" s="9"/>
      <c r="AF9230" s="10"/>
      <c r="AG9230" s="10"/>
      <c r="AH9230" s="10"/>
      <c r="AI9230" s="10"/>
    </row>
    <row r="9231" spans="28:35" ht="15" hidden="1" customHeight="1">
      <c r="AB9231" s="9"/>
      <c r="AC9231" s="9"/>
      <c r="AD9231" s="9"/>
      <c r="AF9231" s="10"/>
      <c r="AG9231" s="10"/>
      <c r="AH9231" s="10"/>
      <c r="AI9231" s="10"/>
    </row>
    <row r="9232" spans="28:35" ht="15" hidden="1" customHeight="1">
      <c r="AB9232" s="9"/>
      <c r="AC9232" s="9"/>
      <c r="AD9232" s="9"/>
      <c r="AF9232" s="10"/>
      <c r="AG9232" s="10"/>
      <c r="AH9232" s="10"/>
      <c r="AI9232" s="10"/>
    </row>
    <row r="9233" spans="28:35" ht="15" hidden="1" customHeight="1">
      <c r="AB9233" s="9"/>
      <c r="AC9233" s="9"/>
      <c r="AD9233" s="9"/>
      <c r="AF9233" s="10"/>
      <c r="AG9233" s="10"/>
      <c r="AH9233" s="10"/>
      <c r="AI9233" s="10"/>
    </row>
    <row r="9234" spans="28:35" ht="15" hidden="1" customHeight="1">
      <c r="AB9234" s="9"/>
      <c r="AC9234" s="9"/>
      <c r="AD9234" s="9"/>
      <c r="AF9234" s="10"/>
      <c r="AG9234" s="10"/>
      <c r="AH9234" s="10"/>
      <c r="AI9234" s="10"/>
    </row>
    <row r="9235" spans="28:35" ht="15" hidden="1" customHeight="1">
      <c r="AB9235" s="9"/>
      <c r="AC9235" s="9"/>
      <c r="AD9235" s="9"/>
      <c r="AF9235" s="10"/>
      <c r="AG9235" s="10"/>
      <c r="AH9235" s="10"/>
      <c r="AI9235" s="10"/>
    </row>
    <row r="9236" spans="28:35" ht="15" hidden="1" customHeight="1">
      <c r="AB9236" s="9"/>
      <c r="AC9236" s="9"/>
      <c r="AD9236" s="9"/>
      <c r="AF9236" s="10"/>
      <c r="AG9236" s="10"/>
      <c r="AH9236" s="10"/>
      <c r="AI9236" s="10"/>
    </row>
    <row r="9237" spans="28:35" ht="15" hidden="1" customHeight="1">
      <c r="AB9237" s="9"/>
      <c r="AC9237" s="9"/>
      <c r="AD9237" s="9"/>
      <c r="AF9237" s="10"/>
      <c r="AG9237" s="10"/>
      <c r="AH9237" s="10"/>
      <c r="AI9237" s="10"/>
    </row>
    <row r="9238" spans="28:35" ht="15" hidden="1" customHeight="1">
      <c r="AB9238" s="9"/>
      <c r="AC9238" s="9"/>
      <c r="AD9238" s="9"/>
      <c r="AF9238" s="10"/>
      <c r="AG9238" s="10"/>
      <c r="AH9238" s="10"/>
      <c r="AI9238" s="10"/>
    </row>
    <row r="9239" spans="28:35" ht="15" hidden="1" customHeight="1">
      <c r="AB9239" s="9"/>
      <c r="AC9239" s="9"/>
      <c r="AD9239" s="9"/>
      <c r="AF9239" s="10"/>
      <c r="AG9239" s="10"/>
      <c r="AH9239" s="10"/>
      <c r="AI9239" s="10"/>
    </row>
    <row r="9240" spans="28:35" ht="15" hidden="1" customHeight="1">
      <c r="AB9240" s="9"/>
      <c r="AC9240" s="9"/>
      <c r="AD9240" s="9"/>
      <c r="AF9240" s="10"/>
      <c r="AG9240" s="10"/>
      <c r="AH9240" s="10"/>
      <c r="AI9240" s="10"/>
    </row>
    <row r="9241" spans="28:35" ht="15" hidden="1" customHeight="1">
      <c r="AB9241" s="9"/>
      <c r="AC9241" s="9"/>
      <c r="AD9241" s="9"/>
      <c r="AF9241" s="10"/>
      <c r="AG9241" s="10"/>
      <c r="AH9241" s="10"/>
      <c r="AI9241" s="10"/>
    </row>
    <row r="9242" spans="28:35" ht="15" hidden="1" customHeight="1">
      <c r="AB9242" s="9"/>
      <c r="AC9242" s="9"/>
      <c r="AD9242" s="9"/>
      <c r="AF9242" s="10"/>
      <c r="AG9242" s="10"/>
      <c r="AH9242" s="10"/>
      <c r="AI9242" s="10"/>
    </row>
    <row r="9243" spans="28:35" ht="15" hidden="1" customHeight="1">
      <c r="AB9243" s="9"/>
      <c r="AC9243" s="9"/>
      <c r="AD9243" s="9"/>
      <c r="AF9243" s="10"/>
      <c r="AG9243" s="10"/>
      <c r="AH9243" s="10"/>
      <c r="AI9243" s="10"/>
    </row>
    <row r="9244" spans="28:35" ht="15" hidden="1" customHeight="1">
      <c r="AB9244" s="9"/>
      <c r="AC9244" s="9"/>
      <c r="AD9244" s="9"/>
      <c r="AF9244" s="10"/>
      <c r="AG9244" s="10"/>
      <c r="AH9244" s="10"/>
      <c r="AI9244" s="10"/>
    </row>
    <row r="9245" spans="28:35" ht="15" hidden="1" customHeight="1">
      <c r="AB9245" s="9"/>
      <c r="AC9245" s="9"/>
      <c r="AD9245" s="9"/>
      <c r="AF9245" s="10"/>
      <c r="AG9245" s="10"/>
      <c r="AH9245" s="10"/>
      <c r="AI9245" s="10"/>
    </row>
    <row r="9246" spans="28:35" ht="15" hidden="1" customHeight="1">
      <c r="AB9246" s="9"/>
      <c r="AC9246" s="9"/>
      <c r="AD9246" s="9"/>
      <c r="AF9246" s="10"/>
      <c r="AG9246" s="10"/>
      <c r="AH9246" s="10"/>
      <c r="AI9246" s="10"/>
    </row>
    <row r="9247" spans="28:35" ht="15" hidden="1" customHeight="1">
      <c r="AB9247" s="9"/>
      <c r="AC9247" s="9"/>
      <c r="AD9247" s="9"/>
      <c r="AF9247" s="10"/>
      <c r="AG9247" s="10"/>
      <c r="AH9247" s="10"/>
      <c r="AI9247" s="10"/>
    </row>
    <row r="9248" spans="28:35" ht="15" hidden="1" customHeight="1">
      <c r="AB9248" s="9"/>
      <c r="AC9248" s="9"/>
      <c r="AD9248" s="9"/>
      <c r="AF9248" s="10"/>
      <c r="AG9248" s="10"/>
      <c r="AH9248" s="10"/>
      <c r="AI9248" s="10"/>
    </row>
    <row r="9249" spans="28:35" ht="15" hidden="1" customHeight="1">
      <c r="AB9249" s="9"/>
      <c r="AC9249" s="9"/>
      <c r="AD9249" s="9"/>
      <c r="AF9249" s="10"/>
      <c r="AG9249" s="10"/>
      <c r="AH9249" s="10"/>
      <c r="AI9249" s="10"/>
    </row>
    <row r="9250" spans="28:35" ht="15" hidden="1" customHeight="1">
      <c r="AB9250" s="9"/>
      <c r="AC9250" s="9"/>
      <c r="AD9250" s="9"/>
      <c r="AF9250" s="10"/>
      <c r="AG9250" s="10"/>
      <c r="AH9250" s="10"/>
      <c r="AI9250" s="10"/>
    </row>
    <row r="9251" spans="28:35" ht="15" hidden="1" customHeight="1">
      <c r="AB9251" s="9"/>
      <c r="AC9251" s="9"/>
      <c r="AD9251" s="9"/>
      <c r="AF9251" s="10"/>
      <c r="AG9251" s="10"/>
      <c r="AH9251" s="10"/>
      <c r="AI9251" s="10"/>
    </row>
    <row r="9252" spans="28:35" ht="15" hidden="1" customHeight="1">
      <c r="AB9252" s="9"/>
      <c r="AC9252" s="9"/>
      <c r="AD9252" s="9"/>
      <c r="AF9252" s="10"/>
      <c r="AG9252" s="10"/>
      <c r="AH9252" s="10"/>
      <c r="AI9252" s="10"/>
    </row>
    <row r="9253" spans="28:35" ht="15" hidden="1" customHeight="1">
      <c r="AB9253" s="9"/>
      <c r="AC9253" s="9"/>
      <c r="AD9253" s="9"/>
      <c r="AF9253" s="10"/>
      <c r="AG9253" s="10"/>
      <c r="AH9253" s="10"/>
      <c r="AI9253" s="10"/>
    </row>
    <row r="9254" spans="28:35" ht="15" hidden="1" customHeight="1">
      <c r="AB9254" s="9"/>
      <c r="AC9254" s="9"/>
      <c r="AD9254" s="9"/>
      <c r="AF9254" s="10"/>
      <c r="AG9254" s="10"/>
      <c r="AH9254" s="10"/>
      <c r="AI9254" s="10"/>
    </row>
    <row r="9255" spans="28:35" ht="15" hidden="1" customHeight="1">
      <c r="AB9255" s="9"/>
      <c r="AC9255" s="9"/>
      <c r="AD9255" s="9"/>
      <c r="AF9255" s="10"/>
      <c r="AG9255" s="10"/>
      <c r="AH9255" s="10"/>
      <c r="AI9255" s="10"/>
    </row>
    <row r="9256" spans="28:35" ht="15" hidden="1" customHeight="1">
      <c r="AB9256" s="9"/>
      <c r="AC9256" s="9"/>
      <c r="AD9256" s="9"/>
      <c r="AF9256" s="10"/>
      <c r="AG9256" s="10"/>
      <c r="AH9256" s="10"/>
      <c r="AI9256" s="10"/>
    </row>
    <row r="9257" spans="28:35" ht="15" hidden="1" customHeight="1">
      <c r="AB9257" s="9"/>
      <c r="AC9257" s="9"/>
      <c r="AD9257" s="9"/>
      <c r="AF9257" s="10"/>
      <c r="AG9257" s="10"/>
      <c r="AH9257" s="10"/>
      <c r="AI9257" s="10"/>
    </row>
    <row r="9258" spans="28:35" ht="15" hidden="1" customHeight="1">
      <c r="AB9258" s="9"/>
      <c r="AC9258" s="9"/>
      <c r="AD9258" s="9"/>
      <c r="AF9258" s="10"/>
      <c r="AG9258" s="10"/>
      <c r="AH9258" s="10"/>
      <c r="AI9258" s="10"/>
    </row>
    <row r="9259" spans="28:35" ht="15" hidden="1" customHeight="1">
      <c r="AB9259" s="9"/>
      <c r="AC9259" s="9"/>
      <c r="AD9259" s="9"/>
      <c r="AF9259" s="10"/>
      <c r="AG9259" s="10"/>
      <c r="AH9259" s="10"/>
      <c r="AI9259" s="10"/>
    </row>
    <row r="9260" spans="28:35" ht="15" hidden="1" customHeight="1">
      <c r="AB9260" s="9"/>
      <c r="AC9260" s="9"/>
      <c r="AD9260" s="9"/>
      <c r="AF9260" s="10"/>
      <c r="AG9260" s="10"/>
      <c r="AH9260" s="10"/>
      <c r="AI9260" s="10"/>
    </row>
    <row r="9261" spans="28:35" ht="15" hidden="1" customHeight="1">
      <c r="AB9261" s="9"/>
      <c r="AC9261" s="9"/>
      <c r="AD9261" s="9"/>
      <c r="AF9261" s="10"/>
      <c r="AG9261" s="10"/>
      <c r="AH9261" s="10"/>
      <c r="AI9261" s="10"/>
    </row>
    <row r="9262" spans="28:35" ht="15" hidden="1" customHeight="1">
      <c r="AB9262" s="9"/>
      <c r="AC9262" s="9"/>
      <c r="AD9262" s="9"/>
      <c r="AF9262" s="10"/>
      <c r="AG9262" s="10"/>
      <c r="AH9262" s="10"/>
      <c r="AI9262" s="10"/>
    </row>
    <row r="9263" spans="28:35" ht="15" hidden="1" customHeight="1">
      <c r="AB9263" s="9"/>
      <c r="AC9263" s="9"/>
      <c r="AD9263" s="9"/>
      <c r="AF9263" s="10"/>
      <c r="AG9263" s="10"/>
      <c r="AH9263" s="10"/>
      <c r="AI9263" s="10"/>
    </row>
    <row r="9264" spans="28:35" ht="15" hidden="1" customHeight="1">
      <c r="AB9264" s="9"/>
      <c r="AC9264" s="9"/>
      <c r="AD9264" s="9"/>
      <c r="AF9264" s="10"/>
      <c r="AG9264" s="10"/>
      <c r="AH9264" s="10"/>
      <c r="AI9264" s="10"/>
    </row>
    <row r="9265" spans="28:35" ht="15" hidden="1" customHeight="1">
      <c r="AB9265" s="9"/>
      <c r="AC9265" s="9"/>
      <c r="AD9265" s="9"/>
      <c r="AF9265" s="10"/>
      <c r="AG9265" s="10"/>
      <c r="AH9265" s="10"/>
      <c r="AI9265" s="10"/>
    </row>
    <row r="9266" spans="28:35" ht="15" hidden="1" customHeight="1">
      <c r="AB9266" s="9"/>
      <c r="AC9266" s="9"/>
      <c r="AD9266" s="9"/>
      <c r="AF9266" s="10"/>
      <c r="AG9266" s="10"/>
      <c r="AH9266" s="10"/>
      <c r="AI9266" s="10"/>
    </row>
    <row r="9267" spans="28:35" ht="15" hidden="1" customHeight="1">
      <c r="AB9267" s="9"/>
      <c r="AC9267" s="9"/>
      <c r="AD9267" s="9"/>
      <c r="AF9267" s="10"/>
      <c r="AG9267" s="10"/>
      <c r="AH9267" s="10"/>
      <c r="AI9267" s="10"/>
    </row>
    <row r="9268" spans="28:35" ht="15" hidden="1" customHeight="1">
      <c r="AB9268" s="9"/>
      <c r="AC9268" s="9"/>
      <c r="AD9268" s="9"/>
      <c r="AF9268" s="10"/>
      <c r="AG9268" s="10"/>
      <c r="AH9268" s="10"/>
      <c r="AI9268" s="10"/>
    </row>
    <row r="9269" spans="28:35" ht="15" hidden="1" customHeight="1">
      <c r="AB9269" s="9"/>
      <c r="AC9269" s="9"/>
      <c r="AD9269" s="9"/>
      <c r="AF9269" s="10"/>
      <c r="AG9269" s="10"/>
      <c r="AH9269" s="10"/>
      <c r="AI9269" s="10"/>
    </row>
    <row r="9270" spans="28:35" ht="15" hidden="1" customHeight="1">
      <c r="AB9270" s="9"/>
      <c r="AC9270" s="9"/>
      <c r="AD9270" s="9"/>
      <c r="AF9270" s="10"/>
      <c r="AG9270" s="10"/>
      <c r="AH9270" s="10"/>
      <c r="AI9270" s="10"/>
    </row>
    <row r="9271" spans="28:35" ht="15" hidden="1" customHeight="1">
      <c r="AB9271" s="9"/>
      <c r="AC9271" s="9"/>
      <c r="AD9271" s="9"/>
      <c r="AF9271" s="10"/>
      <c r="AG9271" s="10"/>
      <c r="AH9271" s="10"/>
      <c r="AI9271" s="10"/>
    </row>
    <row r="9272" spans="28:35" ht="15" hidden="1" customHeight="1">
      <c r="AB9272" s="9"/>
      <c r="AC9272" s="9"/>
      <c r="AD9272" s="9"/>
      <c r="AF9272" s="10"/>
      <c r="AG9272" s="10"/>
      <c r="AH9272" s="10"/>
      <c r="AI9272" s="10"/>
    </row>
    <row r="9273" spans="28:35" ht="15" hidden="1" customHeight="1">
      <c r="AB9273" s="9"/>
      <c r="AC9273" s="9"/>
      <c r="AD9273" s="9"/>
      <c r="AF9273" s="10"/>
      <c r="AG9273" s="10"/>
      <c r="AH9273" s="10"/>
      <c r="AI9273" s="10"/>
    </row>
    <row r="9274" spans="28:35" ht="15" hidden="1" customHeight="1">
      <c r="AB9274" s="9"/>
      <c r="AC9274" s="9"/>
      <c r="AD9274" s="9"/>
      <c r="AF9274" s="10"/>
      <c r="AG9274" s="10"/>
      <c r="AH9274" s="10"/>
      <c r="AI9274" s="10"/>
    </row>
    <row r="9275" spans="28:35" ht="15" hidden="1" customHeight="1">
      <c r="AB9275" s="9"/>
      <c r="AC9275" s="9"/>
      <c r="AD9275" s="9"/>
      <c r="AF9275" s="10"/>
      <c r="AG9275" s="10"/>
      <c r="AH9275" s="10"/>
      <c r="AI9275" s="10"/>
    </row>
    <row r="9276" spans="28:35" ht="15" hidden="1" customHeight="1">
      <c r="AB9276" s="9"/>
      <c r="AC9276" s="9"/>
      <c r="AD9276" s="9"/>
      <c r="AF9276" s="10"/>
      <c r="AG9276" s="10"/>
      <c r="AH9276" s="10"/>
      <c r="AI9276" s="10"/>
    </row>
    <row r="9277" spans="28:35" ht="15" hidden="1" customHeight="1">
      <c r="AB9277" s="9"/>
      <c r="AC9277" s="9"/>
      <c r="AD9277" s="9"/>
      <c r="AF9277" s="10"/>
      <c r="AG9277" s="10"/>
      <c r="AH9277" s="10"/>
      <c r="AI9277" s="10"/>
    </row>
    <row r="9278" spans="28:35" ht="15" hidden="1" customHeight="1">
      <c r="AB9278" s="9"/>
      <c r="AC9278" s="9"/>
      <c r="AD9278" s="9"/>
      <c r="AF9278" s="10"/>
      <c r="AG9278" s="10"/>
      <c r="AH9278" s="10"/>
      <c r="AI9278" s="10"/>
    </row>
    <row r="9279" spans="28:35" ht="15" hidden="1" customHeight="1">
      <c r="AB9279" s="9"/>
      <c r="AC9279" s="9"/>
      <c r="AD9279" s="9"/>
      <c r="AF9279" s="10"/>
      <c r="AG9279" s="10"/>
      <c r="AH9279" s="10"/>
      <c r="AI9279" s="10"/>
    </row>
    <row r="9280" spans="28:35" ht="15" hidden="1" customHeight="1">
      <c r="AB9280" s="9"/>
      <c r="AC9280" s="9"/>
      <c r="AD9280" s="9"/>
      <c r="AF9280" s="10"/>
      <c r="AG9280" s="10"/>
      <c r="AH9280" s="10"/>
      <c r="AI9280" s="10"/>
    </row>
    <row r="9281" spans="28:35" ht="15" hidden="1" customHeight="1">
      <c r="AB9281" s="9"/>
      <c r="AC9281" s="9"/>
      <c r="AD9281" s="9"/>
      <c r="AF9281" s="10"/>
      <c r="AG9281" s="10"/>
      <c r="AH9281" s="10"/>
      <c r="AI9281" s="10"/>
    </row>
    <row r="9282" spans="28:35" ht="15" hidden="1" customHeight="1">
      <c r="AB9282" s="9"/>
      <c r="AC9282" s="9"/>
      <c r="AD9282" s="9"/>
      <c r="AF9282" s="10"/>
      <c r="AG9282" s="10"/>
      <c r="AH9282" s="10"/>
      <c r="AI9282" s="10"/>
    </row>
    <row r="9283" spans="28:35" ht="15" hidden="1" customHeight="1">
      <c r="AB9283" s="9"/>
      <c r="AC9283" s="9"/>
      <c r="AD9283" s="9"/>
      <c r="AF9283" s="10"/>
      <c r="AG9283" s="10"/>
      <c r="AH9283" s="10"/>
      <c r="AI9283" s="10"/>
    </row>
    <row r="9284" spans="28:35" ht="15" hidden="1" customHeight="1">
      <c r="AB9284" s="9"/>
      <c r="AC9284" s="9"/>
      <c r="AD9284" s="9"/>
      <c r="AF9284" s="10"/>
      <c r="AG9284" s="10"/>
      <c r="AH9284" s="10"/>
      <c r="AI9284" s="10"/>
    </row>
    <row r="9285" spans="28:35" ht="15" hidden="1" customHeight="1">
      <c r="AB9285" s="9"/>
      <c r="AC9285" s="9"/>
      <c r="AD9285" s="9"/>
      <c r="AF9285" s="10"/>
      <c r="AG9285" s="10"/>
      <c r="AH9285" s="10"/>
      <c r="AI9285" s="10"/>
    </row>
    <row r="9286" spans="28:35" ht="15" hidden="1" customHeight="1">
      <c r="AB9286" s="9"/>
      <c r="AC9286" s="9"/>
      <c r="AD9286" s="9"/>
      <c r="AF9286" s="10"/>
      <c r="AG9286" s="10"/>
      <c r="AH9286" s="10"/>
      <c r="AI9286" s="10"/>
    </row>
    <row r="9287" spans="28:35" ht="15" hidden="1" customHeight="1">
      <c r="AB9287" s="9"/>
      <c r="AC9287" s="9"/>
      <c r="AD9287" s="9"/>
      <c r="AF9287" s="10"/>
      <c r="AG9287" s="10"/>
      <c r="AH9287" s="10"/>
      <c r="AI9287" s="10"/>
    </row>
    <row r="9288" spans="28:35" ht="15" hidden="1" customHeight="1">
      <c r="AB9288" s="9"/>
      <c r="AC9288" s="9"/>
      <c r="AD9288" s="9"/>
      <c r="AF9288" s="10"/>
      <c r="AG9288" s="10"/>
      <c r="AH9288" s="10"/>
      <c r="AI9288" s="10"/>
    </row>
    <row r="9289" spans="28:35" ht="15" hidden="1" customHeight="1">
      <c r="AB9289" s="9"/>
      <c r="AC9289" s="9"/>
      <c r="AD9289" s="9"/>
      <c r="AF9289" s="10"/>
      <c r="AG9289" s="10"/>
      <c r="AH9289" s="10"/>
      <c r="AI9289" s="10"/>
    </row>
    <row r="9290" spans="28:35" ht="15" hidden="1" customHeight="1">
      <c r="AB9290" s="9"/>
      <c r="AC9290" s="9"/>
      <c r="AD9290" s="9"/>
      <c r="AF9290" s="10"/>
      <c r="AG9290" s="10"/>
      <c r="AH9290" s="10"/>
      <c r="AI9290" s="10"/>
    </row>
    <row r="9291" spans="28:35" ht="15" hidden="1" customHeight="1">
      <c r="AB9291" s="9"/>
      <c r="AC9291" s="9"/>
      <c r="AD9291" s="9"/>
      <c r="AF9291" s="10"/>
      <c r="AG9291" s="10"/>
      <c r="AH9291" s="10"/>
      <c r="AI9291" s="10"/>
    </row>
    <row r="9292" spans="28:35" ht="15" hidden="1" customHeight="1">
      <c r="AB9292" s="9"/>
      <c r="AC9292" s="9"/>
      <c r="AD9292" s="9"/>
      <c r="AF9292" s="10"/>
      <c r="AG9292" s="10"/>
      <c r="AH9292" s="10"/>
      <c r="AI9292" s="10"/>
    </row>
    <row r="9293" spans="28:35" ht="15" hidden="1" customHeight="1">
      <c r="AB9293" s="9"/>
      <c r="AC9293" s="9"/>
      <c r="AD9293" s="9"/>
      <c r="AF9293" s="10"/>
      <c r="AG9293" s="10"/>
      <c r="AH9293" s="10"/>
      <c r="AI9293" s="10"/>
    </row>
    <row r="9294" spans="28:35" ht="15" hidden="1" customHeight="1">
      <c r="AB9294" s="9"/>
      <c r="AC9294" s="9"/>
      <c r="AD9294" s="9"/>
      <c r="AF9294" s="10"/>
      <c r="AG9294" s="10"/>
      <c r="AH9294" s="10"/>
      <c r="AI9294" s="10"/>
    </row>
    <row r="9295" spans="28:35" ht="15" hidden="1" customHeight="1">
      <c r="AB9295" s="9"/>
      <c r="AC9295" s="9"/>
      <c r="AD9295" s="9"/>
      <c r="AF9295" s="10"/>
      <c r="AG9295" s="10"/>
      <c r="AH9295" s="10"/>
      <c r="AI9295" s="10"/>
    </row>
    <row r="9296" spans="28:35" ht="15" hidden="1" customHeight="1">
      <c r="AB9296" s="9"/>
      <c r="AC9296" s="9"/>
      <c r="AD9296" s="9"/>
      <c r="AF9296" s="10"/>
      <c r="AG9296" s="10"/>
      <c r="AH9296" s="10"/>
      <c r="AI9296" s="10"/>
    </row>
    <row r="9297" spans="28:35" ht="15" hidden="1" customHeight="1">
      <c r="AB9297" s="9"/>
      <c r="AC9297" s="9"/>
      <c r="AD9297" s="9"/>
      <c r="AF9297" s="10"/>
      <c r="AG9297" s="10"/>
      <c r="AH9297" s="10"/>
      <c r="AI9297" s="10"/>
    </row>
    <row r="9298" spans="28:35" ht="15" hidden="1" customHeight="1">
      <c r="AB9298" s="9"/>
      <c r="AC9298" s="9"/>
      <c r="AD9298" s="9"/>
      <c r="AF9298" s="10"/>
      <c r="AG9298" s="10"/>
      <c r="AH9298" s="10"/>
      <c r="AI9298" s="10"/>
    </row>
    <row r="9299" spans="28:35" ht="15" hidden="1" customHeight="1">
      <c r="AB9299" s="9"/>
      <c r="AC9299" s="9"/>
      <c r="AD9299" s="9"/>
      <c r="AF9299" s="10"/>
      <c r="AG9299" s="10"/>
      <c r="AH9299" s="10"/>
      <c r="AI9299" s="10"/>
    </row>
    <row r="9300" spans="28:35" ht="15" hidden="1" customHeight="1">
      <c r="AB9300" s="9"/>
      <c r="AC9300" s="9"/>
      <c r="AD9300" s="9"/>
      <c r="AF9300" s="10"/>
      <c r="AG9300" s="10"/>
      <c r="AH9300" s="10"/>
      <c r="AI9300" s="10"/>
    </row>
    <row r="9301" spans="28:35" ht="15" hidden="1" customHeight="1">
      <c r="AB9301" s="9"/>
      <c r="AC9301" s="9"/>
      <c r="AD9301" s="9"/>
      <c r="AF9301" s="10"/>
      <c r="AG9301" s="10"/>
      <c r="AH9301" s="10"/>
      <c r="AI9301" s="10"/>
    </row>
    <row r="9302" spans="28:35" ht="15" hidden="1" customHeight="1">
      <c r="AB9302" s="9"/>
      <c r="AC9302" s="9"/>
      <c r="AD9302" s="9"/>
      <c r="AF9302" s="10"/>
      <c r="AG9302" s="10"/>
      <c r="AH9302" s="10"/>
      <c r="AI9302" s="10"/>
    </row>
    <row r="9303" spans="28:35" ht="15" hidden="1" customHeight="1">
      <c r="AB9303" s="9"/>
      <c r="AC9303" s="9"/>
      <c r="AD9303" s="9"/>
      <c r="AF9303" s="10"/>
      <c r="AG9303" s="10"/>
      <c r="AH9303" s="10"/>
      <c r="AI9303" s="10"/>
    </row>
    <row r="9304" spans="28:35" ht="15" hidden="1" customHeight="1">
      <c r="AB9304" s="9"/>
      <c r="AC9304" s="9"/>
      <c r="AD9304" s="9"/>
      <c r="AF9304" s="10"/>
      <c r="AG9304" s="10"/>
      <c r="AH9304" s="10"/>
      <c r="AI9304" s="10"/>
    </row>
    <row r="9305" spans="28:35" ht="15" hidden="1" customHeight="1">
      <c r="AB9305" s="9"/>
      <c r="AC9305" s="9"/>
      <c r="AD9305" s="9"/>
      <c r="AF9305" s="10"/>
      <c r="AG9305" s="10"/>
      <c r="AH9305" s="10"/>
      <c r="AI9305" s="10"/>
    </row>
    <row r="9306" spans="28:35" ht="15" hidden="1" customHeight="1">
      <c r="AB9306" s="9"/>
      <c r="AC9306" s="9"/>
      <c r="AD9306" s="9"/>
      <c r="AF9306" s="10"/>
      <c r="AG9306" s="10"/>
      <c r="AH9306" s="10"/>
      <c r="AI9306" s="10"/>
    </row>
    <row r="9307" spans="28:35" ht="15" hidden="1" customHeight="1">
      <c r="AB9307" s="9"/>
      <c r="AC9307" s="9"/>
      <c r="AD9307" s="9"/>
      <c r="AF9307" s="10"/>
      <c r="AG9307" s="10"/>
      <c r="AH9307" s="10"/>
      <c r="AI9307" s="10"/>
    </row>
    <row r="9308" spans="28:35" ht="15" hidden="1" customHeight="1">
      <c r="AB9308" s="9"/>
      <c r="AC9308" s="9"/>
      <c r="AD9308" s="9"/>
      <c r="AF9308" s="10"/>
      <c r="AG9308" s="10"/>
      <c r="AH9308" s="10"/>
      <c r="AI9308" s="10"/>
    </row>
    <row r="9309" spans="28:35" ht="15" hidden="1" customHeight="1">
      <c r="AB9309" s="9"/>
      <c r="AC9309" s="9"/>
      <c r="AD9309" s="9"/>
      <c r="AF9309" s="10"/>
      <c r="AG9309" s="10"/>
      <c r="AH9309" s="10"/>
      <c r="AI9309" s="10"/>
    </row>
    <row r="9310" spans="28:35" ht="15" hidden="1" customHeight="1">
      <c r="AB9310" s="9"/>
      <c r="AC9310" s="9"/>
      <c r="AD9310" s="9"/>
      <c r="AF9310" s="10"/>
      <c r="AG9310" s="10"/>
      <c r="AH9310" s="10"/>
      <c r="AI9310" s="10"/>
    </row>
    <row r="9311" spans="28:35" ht="15" hidden="1" customHeight="1">
      <c r="AB9311" s="9"/>
      <c r="AC9311" s="9"/>
      <c r="AD9311" s="9"/>
      <c r="AF9311" s="10"/>
      <c r="AG9311" s="10"/>
      <c r="AH9311" s="10"/>
      <c r="AI9311" s="10"/>
    </row>
    <row r="9312" spans="28:35" ht="15" hidden="1" customHeight="1">
      <c r="AB9312" s="9"/>
      <c r="AC9312" s="9"/>
      <c r="AD9312" s="9"/>
      <c r="AF9312" s="10"/>
      <c r="AG9312" s="10"/>
      <c r="AH9312" s="10"/>
      <c r="AI9312" s="10"/>
    </row>
    <row r="9313" spans="28:35" ht="15" hidden="1" customHeight="1">
      <c r="AB9313" s="9"/>
      <c r="AC9313" s="9"/>
      <c r="AD9313" s="9"/>
      <c r="AF9313" s="10"/>
      <c r="AG9313" s="10"/>
      <c r="AH9313" s="10"/>
      <c r="AI9313" s="10"/>
    </row>
    <row r="9314" spans="28:35" ht="15" hidden="1" customHeight="1">
      <c r="AB9314" s="9"/>
      <c r="AC9314" s="9"/>
      <c r="AD9314" s="9"/>
      <c r="AF9314" s="10"/>
      <c r="AG9314" s="10"/>
      <c r="AH9314" s="10"/>
      <c r="AI9314" s="10"/>
    </row>
    <row r="9315" spans="28:35" ht="15" hidden="1" customHeight="1">
      <c r="AB9315" s="9"/>
      <c r="AC9315" s="9"/>
      <c r="AD9315" s="9"/>
      <c r="AF9315" s="10"/>
      <c r="AG9315" s="10"/>
      <c r="AH9315" s="10"/>
      <c r="AI9315" s="10"/>
    </row>
    <row r="9316" spans="28:35" ht="15" hidden="1" customHeight="1">
      <c r="AB9316" s="9"/>
      <c r="AC9316" s="9"/>
      <c r="AD9316" s="9"/>
      <c r="AF9316" s="10"/>
      <c r="AG9316" s="10"/>
      <c r="AH9316" s="10"/>
      <c r="AI9316" s="10"/>
    </row>
    <row r="9317" spans="28:35" ht="15" hidden="1" customHeight="1">
      <c r="AB9317" s="9"/>
      <c r="AC9317" s="9"/>
      <c r="AD9317" s="9"/>
      <c r="AF9317" s="10"/>
      <c r="AG9317" s="10"/>
      <c r="AH9317" s="10"/>
      <c r="AI9317" s="10"/>
    </row>
    <row r="9318" spans="28:35" ht="15" hidden="1" customHeight="1">
      <c r="AB9318" s="9"/>
      <c r="AC9318" s="9"/>
      <c r="AD9318" s="9"/>
      <c r="AF9318" s="10"/>
      <c r="AG9318" s="10"/>
      <c r="AH9318" s="10"/>
      <c r="AI9318" s="10"/>
    </row>
    <row r="9319" spans="28:35" ht="15" hidden="1" customHeight="1">
      <c r="AB9319" s="9"/>
      <c r="AC9319" s="9"/>
      <c r="AD9319" s="9"/>
      <c r="AF9319" s="10"/>
      <c r="AG9319" s="10"/>
      <c r="AH9319" s="10"/>
      <c r="AI9319" s="10"/>
    </row>
    <row r="9320" spans="28:35" ht="15" hidden="1" customHeight="1">
      <c r="AB9320" s="9"/>
      <c r="AC9320" s="9"/>
      <c r="AD9320" s="9"/>
      <c r="AF9320" s="10"/>
      <c r="AG9320" s="10"/>
      <c r="AH9320" s="10"/>
      <c r="AI9320" s="10"/>
    </row>
    <row r="9321" spans="28:35" ht="15" hidden="1" customHeight="1">
      <c r="AB9321" s="9"/>
      <c r="AC9321" s="9"/>
      <c r="AD9321" s="9"/>
      <c r="AF9321" s="10"/>
      <c r="AG9321" s="10"/>
      <c r="AH9321" s="10"/>
      <c r="AI9321" s="10"/>
    </row>
    <row r="9322" spans="28:35" ht="15" hidden="1" customHeight="1">
      <c r="AB9322" s="9"/>
      <c r="AC9322" s="9"/>
      <c r="AD9322" s="9"/>
      <c r="AF9322" s="10"/>
      <c r="AG9322" s="10"/>
      <c r="AH9322" s="10"/>
      <c r="AI9322" s="10"/>
    </row>
    <row r="9323" spans="28:35" ht="15" hidden="1" customHeight="1">
      <c r="AB9323" s="9"/>
      <c r="AC9323" s="9"/>
      <c r="AD9323" s="9"/>
      <c r="AF9323" s="10"/>
      <c r="AG9323" s="10"/>
      <c r="AH9323" s="10"/>
      <c r="AI9323" s="10"/>
    </row>
    <row r="9324" spans="28:35" ht="15" hidden="1" customHeight="1">
      <c r="AB9324" s="9"/>
      <c r="AC9324" s="9"/>
      <c r="AD9324" s="9"/>
      <c r="AF9324" s="10"/>
      <c r="AG9324" s="10"/>
      <c r="AH9324" s="10"/>
      <c r="AI9324" s="10"/>
    </row>
    <row r="9325" spans="28:35" ht="15" hidden="1" customHeight="1">
      <c r="AB9325" s="9"/>
      <c r="AC9325" s="9"/>
      <c r="AD9325" s="9"/>
      <c r="AF9325" s="10"/>
      <c r="AG9325" s="10"/>
      <c r="AH9325" s="10"/>
      <c r="AI9325" s="10"/>
    </row>
    <row r="9326" spans="28:35" ht="15" hidden="1" customHeight="1">
      <c r="AB9326" s="9"/>
      <c r="AC9326" s="9"/>
      <c r="AD9326" s="9"/>
      <c r="AF9326" s="10"/>
      <c r="AG9326" s="10"/>
      <c r="AH9326" s="10"/>
      <c r="AI9326" s="10"/>
    </row>
    <row r="9327" spans="28:35" ht="15" hidden="1" customHeight="1">
      <c r="AB9327" s="9"/>
      <c r="AC9327" s="9"/>
      <c r="AD9327" s="9"/>
      <c r="AF9327" s="10"/>
      <c r="AG9327" s="10"/>
      <c r="AH9327" s="10"/>
      <c r="AI9327" s="10"/>
    </row>
    <row r="9328" spans="28:35" ht="15" hidden="1" customHeight="1">
      <c r="AB9328" s="9"/>
      <c r="AC9328" s="9"/>
      <c r="AD9328" s="9"/>
      <c r="AF9328" s="10"/>
      <c r="AG9328" s="10"/>
      <c r="AH9328" s="10"/>
      <c r="AI9328" s="10"/>
    </row>
    <row r="9329" spans="28:35" ht="15" hidden="1" customHeight="1">
      <c r="AB9329" s="9"/>
      <c r="AC9329" s="9"/>
      <c r="AD9329" s="9"/>
      <c r="AF9329" s="10"/>
      <c r="AG9329" s="10"/>
      <c r="AH9329" s="10"/>
      <c r="AI9329" s="10"/>
    </row>
    <row r="9330" spans="28:35" ht="15" hidden="1" customHeight="1">
      <c r="AB9330" s="9"/>
      <c r="AC9330" s="9"/>
      <c r="AD9330" s="9"/>
      <c r="AF9330" s="10"/>
      <c r="AG9330" s="10"/>
      <c r="AH9330" s="10"/>
      <c r="AI9330" s="10"/>
    </row>
    <row r="9331" spans="28:35" ht="15" hidden="1" customHeight="1">
      <c r="AB9331" s="9"/>
      <c r="AC9331" s="9"/>
      <c r="AD9331" s="9"/>
      <c r="AF9331" s="10"/>
      <c r="AG9331" s="10"/>
      <c r="AH9331" s="10"/>
      <c r="AI9331" s="10"/>
    </row>
    <row r="9332" spans="28:35" ht="15" hidden="1" customHeight="1">
      <c r="AB9332" s="9"/>
      <c r="AC9332" s="9"/>
      <c r="AD9332" s="9"/>
      <c r="AF9332" s="10"/>
      <c r="AG9332" s="10"/>
      <c r="AH9332" s="10"/>
      <c r="AI9332" s="10"/>
    </row>
    <row r="9333" spans="28:35" ht="15" hidden="1" customHeight="1">
      <c r="AB9333" s="9"/>
      <c r="AC9333" s="9"/>
      <c r="AD9333" s="9"/>
      <c r="AF9333" s="10"/>
      <c r="AG9333" s="10"/>
      <c r="AH9333" s="10"/>
      <c r="AI9333" s="10"/>
    </row>
    <row r="9334" spans="28:35" ht="15" hidden="1" customHeight="1">
      <c r="AB9334" s="9"/>
      <c r="AC9334" s="9"/>
      <c r="AD9334" s="9"/>
      <c r="AF9334" s="10"/>
      <c r="AG9334" s="10"/>
      <c r="AH9334" s="10"/>
      <c r="AI9334" s="10"/>
    </row>
    <row r="9335" spans="28:35" ht="15" hidden="1" customHeight="1">
      <c r="AB9335" s="9"/>
      <c r="AC9335" s="9"/>
      <c r="AD9335" s="9"/>
      <c r="AF9335" s="10"/>
      <c r="AG9335" s="10"/>
      <c r="AH9335" s="10"/>
      <c r="AI9335" s="10"/>
    </row>
    <row r="9336" spans="28:35" ht="15" hidden="1" customHeight="1">
      <c r="AB9336" s="9"/>
      <c r="AC9336" s="9"/>
      <c r="AD9336" s="9"/>
      <c r="AF9336" s="10"/>
      <c r="AG9336" s="10"/>
      <c r="AH9336" s="10"/>
      <c r="AI9336" s="10"/>
    </row>
    <row r="9337" spans="28:35" ht="15" hidden="1" customHeight="1">
      <c r="AB9337" s="9"/>
      <c r="AC9337" s="9"/>
      <c r="AD9337" s="9"/>
      <c r="AF9337" s="10"/>
      <c r="AG9337" s="10"/>
      <c r="AH9337" s="10"/>
      <c r="AI9337" s="10"/>
    </row>
    <row r="9338" spans="28:35" ht="15" hidden="1" customHeight="1">
      <c r="AB9338" s="9"/>
      <c r="AC9338" s="9"/>
      <c r="AD9338" s="9"/>
      <c r="AF9338" s="10"/>
      <c r="AG9338" s="10"/>
      <c r="AH9338" s="10"/>
      <c r="AI9338" s="10"/>
    </row>
    <row r="9339" spans="28:35" ht="15" hidden="1" customHeight="1">
      <c r="AB9339" s="9"/>
      <c r="AC9339" s="9"/>
      <c r="AD9339" s="9"/>
      <c r="AF9339" s="10"/>
      <c r="AG9339" s="10"/>
      <c r="AH9339" s="10"/>
      <c r="AI9339" s="10"/>
    </row>
    <row r="9340" spans="28:35" ht="15" hidden="1" customHeight="1">
      <c r="AB9340" s="9"/>
      <c r="AC9340" s="9"/>
      <c r="AD9340" s="9"/>
      <c r="AF9340" s="10"/>
      <c r="AG9340" s="10"/>
      <c r="AH9340" s="10"/>
      <c r="AI9340" s="10"/>
    </row>
    <row r="9341" spans="28:35" ht="15" hidden="1" customHeight="1">
      <c r="AB9341" s="9"/>
      <c r="AC9341" s="9"/>
      <c r="AD9341" s="9"/>
      <c r="AF9341" s="10"/>
      <c r="AG9341" s="10"/>
      <c r="AH9341" s="10"/>
      <c r="AI9341" s="10"/>
    </row>
    <row r="9342" spans="28:35" ht="15" hidden="1" customHeight="1">
      <c r="AB9342" s="9"/>
      <c r="AC9342" s="9"/>
      <c r="AD9342" s="9"/>
      <c r="AF9342" s="10"/>
      <c r="AG9342" s="10"/>
      <c r="AH9342" s="10"/>
      <c r="AI9342" s="10"/>
    </row>
    <row r="9343" spans="28:35" ht="15" hidden="1" customHeight="1">
      <c r="AB9343" s="9"/>
      <c r="AC9343" s="9"/>
      <c r="AD9343" s="9"/>
      <c r="AF9343" s="10"/>
      <c r="AG9343" s="10"/>
      <c r="AH9343" s="10"/>
      <c r="AI9343" s="10"/>
    </row>
    <row r="9344" spans="28:35" ht="15" hidden="1" customHeight="1">
      <c r="AB9344" s="9"/>
      <c r="AC9344" s="9"/>
      <c r="AD9344" s="9"/>
      <c r="AF9344" s="10"/>
      <c r="AG9344" s="10"/>
      <c r="AH9344" s="10"/>
      <c r="AI9344" s="10"/>
    </row>
    <row r="9345" spans="28:35" ht="15" hidden="1" customHeight="1">
      <c r="AB9345" s="9"/>
      <c r="AC9345" s="9"/>
      <c r="AD9345" s="9"/>
      <c r="AF9345" s="10"/>
      <c r="AG9345" s="10"/>
      <c r="AH9345" s="10"/>
      <c r="AI9345" s="10"/>
    </row>
    <row r="9346" spans="28:35" ht="15" hidden="1" customHeight="1">
      <c r="AB9346" s="9"/>
      <c r="AC9346" s="9"/>
      <c r="AD9346" s="9"/>
      <c r="AF9346" s="10"/>
      <c r="AG9346" s="10"/>
      <c r="AH9346" s="10"/>
      <c r="AI9346" s="10"/>
    </row>
    <row r="9347" spans="28:35" ht="15" hidden="1" customHeight="1">
      <c r="AB9347" s="9"/>
      <c r="AC9347" s="9"/>
      <c r="AD9347" s="9"/>
      <c r="AF9347" s="10"/>
      <c r="AG9347" s="10"/>
      <c r="AH9347" s="10"/>
      <c r="AI9347" s="10"/>
    </row>
    <row r="9348" spans="28:35" ht="15" hidden="1" customHeight="1">
      <c r="AB9348" s="9"/>
      <c r="AC9348" s="9"/>
      <c r="AD9348" s="9"/>
      <c r="AF9348" s="10"/>
      <c r="AG9348" s="10"/>
      <c r="AH9348" s="10"/>
      <c r="AI9348" s="10"/>
    </row>
    <row r="9349" spans="28:35" ht="15" hidden="1" customHeight="1">
      <c r="AB9349" s="9"/>
      <c r="AC9349" s="9"/>
      <c r="AD9349" s="9"/>
      <c r="AF9349" s="10"/>
      <c r="AG9349" s="10"/>
      <c r="AH9349" s="10"/>
      <c r="AI9349" s="10"/>
    </row>
    <row r="9350" spans="28:35" ht="15" hidden="1" customHeight="1">
      <c r="AB9350" s="9"/>
      <c r="AC9350" s="9"/>
      <c r="AD9350" s="9"/>
      <c r="AF9350" s="10"/>
      <c r="AG9350" s="10"/>
      <c r="AH9350" s="10"/>
      <c r="AI9350" s="10"/>
    </row>
    <row r="9351" spans="28:35" ht="15" hidden="1" customHeight="1">
      <c r="AB9351" s="9"/>
      <c r="AC9351" s="9"/>
      <c r="AD9351" s="9"/>
      <c r="AF9351" s="10"/>
      <c r="AG9351" s="10"/>
      <c r="AH9351" s="10"/>
      <c r="AI9351" s="10"/>
    </row>
    <row r="9352" spans="28:35" ht="15" hidden="1" customHeight="1">
      <c r="AB9352" s="9"/>
      <c r="AC9352" s="9"/>
      <c r="AD9352" s="9"/>
      <c r="AF9352" s="10"/>
      <c r="AG9352" s="10"/>
      <c r="AH9352" s="10"/>
      <c r="AI9352" s="10"/>
    </row>
    <row r="9353" spans="28:35" ht="15" hidden="1" customHeight="1">
      <c r="AB9353" s="9"/>
      <c r="AC9353" s="9"/>
      <c r="AD9353" s="9"/>
      <c r="AF9353" s="10"/>
      <c r="AG9353" s="10"/>
      <c r="AH9353" s="10"/>
      <c r="AI9353" s="10"/>
    </row>
    <row r="9354" spans="28:35" ht="15" hidden="1" customHeight="1">
      <c r="AB9354" s="9"/>
      <c r="AC9354" s="9"/>
      <c r="AD9354" s="9"/>
      <c r="AF9354" s="10"/>
      <c r="AG9354" s="10"/>
      <c r="AH9354" s="10"/>
      <c r="AI9354" s="10"/>
    </row>
    <row r="9355" spans="28:35" ht="15" hidden="1" customHeight="1">
      <c r="AB9355" s="9"/>
      <c r="AC9355" s="9"/>
      <c r="AD9355" s="9"/>
      <c r="AF9355" s="10"/>
      <c r="AG9355" s="10"/>
      <c r="AH9355" s="10"/>
      <c r="AI9355" s="10"/>
    </row>
    <row r="9356" spans="28:35" ht="15" hidden="1" customHeight="1">
      <c r="AB9356" s="9"/>
      <c r="AC9356" s="9"/>
      <c r="AD9356" s="9"/>
      <c r="AF9356" s="10"/>
      <c r="AG9356" s="10"/>
      <c r="AH9356" s="10"/>
      <c r="AI9356" s="10"/>
    </row>
    <row r="9357" spans="28:35" ht="15" hidden="1" customHeight="1">
      <c r="AB9357" s="9"/>
      <c r="AC9357" s="9"/>
      <c r="AD9357" s="9"/>
      <c r="AF9357" s="10"/>
      <c r="AG9357" s="10"/>
      <c r="AH9357" s="10"/>
      <c r="AI9357" s="10"/>
    </row>
    <row r="9358" spans="28:35" ht="15" hidden="1" customHeight="1">
      <c r="AB9358" s="9"/>
      <c r="AC9358" s="9"/>
      <c r="AD9358" s="9"/>
      <c r="AF9358" s="10"/>
      <c r="AG9358" s="10"/>
      <c r="AH9358" s="10"/>
      <c r="AI9358" s="10"/>
    </row>
    <row r="9359" spans="28:35" ht="15" hidden="1" customHeight="1">
      <c r="AB9359" s="9"/>
      <c r="AC9359" s="9"/>
      <c r="AD9359" s="9"/>
      <c r="AF9359" s="10"/>
      <c r="AG9359" s="10"/>
      <c r="AH9359" s="10"/>
      <c r="AI9359" s="10"/>
    </row>
    <row r="9360" spans="28:35" ht="15" hidden="1" customHeight="1">
      <c r="AB9360" s="9"/>
      <c r="AC9360" s="9"/>
      <c r="AD9360" s="9"/>
      <c r="AF9360" s="10"/>
      <c r="AG9360" s="10"/>
      <c r="AH9360" s="10"/>
      <c r="AI9360" s="10"/>
    </row>
    <row r="9361" spans="28:35" ht="15" hidden="1" customHeight="1">
      <c r="AB9361" s="9"/>
      <c r="AC9361" s="9"/>
      <c r="AD9361" s="9"/>
      <c r="AF9361" s="10"/>
      <c r="AG9361" s="10"/>
      <c r="AH9361" s="10"/>
      <c r="AI9361" s="10"/>
    </row>
    <row r="9362" spans="28:35" ht="15" hidden="1" customHeight="1">
      <c r="AB9362" s="9"/>
      <c r="AC9362" s="9"/>
      <c r="AD9362" s="9"/>
      <c r="AF9362" s="10"/>
      <c r="AG9362" s="10"/>
      <c r="AH9362" s="10"/>
      <c r="AI9362" s="10"/>
    </row>
    <row r="9363" spans="28:35" ht="15" hidden="1" customHeight="1">
      <c r="AB9363" s="9"/>
      <c r="AC9363" s="9"/>
      <c r="AD9363" s="9"/>
      <c r="AF9363" s="10"/>
      <c r="AG9363" s="10"/>
      <c r="AH9363" s="10"/>
      <c r="AI9363" s="10"/>
    </row>
    <row r="9364" spans="28:35" ht="15" hidden="1" customHeight="1">
      <c r="AB9364" s="9"/>
      <c r="AC9364" s="9"/>
      <c r="AD9364" s="9"/>
      <c r="AF9364" s="10"/>
      <c r="AG9364" s="10"/>
      <c r="AH9364" s="10"/>
      <c r="AI9364" s="10"/>
    </row>
    <row r="9365" spans="28:35" ht="15" hidden="1" customHeight="1">
      <c r="AB9365" s="9"/>
      <c r="AC9365" s="9"/>
      <c r="AD9365" s="9"/>
      <c r="AF9365" s="10"/>
      <c r="AG9365" s="10"/>
      <c r="AH9365" s="10"/>
      <c r="AI9365" s="10"/>
    </row>
    <row r="9366" spans="28:35" ht="15" hidden="1" customHeight="1">
      <c r="AB9366" s="9"/>
      <c r="AC9366" s="9"/>
      <c r="AD9366" s="9"/>
      <c r="AF9366" s="10"/>
      <c r="AG9366" s="10"/>
      <c r="AH9366" s="10"/>
      <c r="AI9366" s="10"/>
    </row>
    <row r="9367" spans="28:35" ht="15" hidden="1" customHeight="1">
      <c r="AB9367" s="9"/>
      <c r="AC9367" s="9"/>
      <c r="AD9367" s="9"/>
      <c r="AF9367" s="10"/>
      <c r="AG9367" s="10"/>
      <c r="AH9367" s="10"/>
      <c r="AI9367" s="10"/>
    </row>
    <row r="9368" spans="28:35" ht="15" hidden="1" customHeight="1">
      <c r="AB9368" s="9"/>
      <c r="AC9368" s="9"/>
      <c r="AD9368" s="9"/>
      <c r="AF9368" s="10"/>
      <c r="AG9368" s="10"/>
      <c r="AH9368" s="10"/>
      <c r="AI9368" s="10"/>
    </row>
    <row r="9369" spans="28:35" ht="15" hidden="1" customHeight="1">
      <c r="AB9369" s="9"/>
      <c r="AC9369" s="9"/>
      <c r="AD9369" s="9"/>
      <c r="AF9369" s="10"/>
      <c r="AG9369" s="10"/>
      <c r="AH9369" s="10"/>
      <c r="AI9369" s="10"/>
    </row>
    <row r="9370" spans="28:35" ht="15" hidden="1" customHeight="1">
      <c r="AB9370" s="9"/>
      <c r="AC9370" s="9"/>
      <c r="AD9370" s="9"/>
      <c r="AF9370" s="10"/>
      <c r="AG9370" s="10"/>
      <c r="AH9370" s="10"/>
      <c r="AI9370" s="10"/>
    </row>
    <row r="9371" spans="28:35" ht="15" hidden="1" customHeight="1">
      <c r="AB9371" s="9"/>
      <c r="AC9371" s="9"/>
      <c r="AD9371" s="9"/>
      <c r="AF9371" s="10"/>
      <c r="AG9371" s="10"/>
      <c r="AH9371" s="10"/>
      <c r="AI9371" s="10"/>
    </row>
    <row r="9372" spans="28:35" ht="15" hidden="1" customHeight="1">
      <c r="AB9372" s="9"/>
      <c r="AC9372" s="9"/>
      <c r="AD9372" s="9"/>
      <c r="AF9372" s="10"/>
      <c r="AG9372" s="10"/>
      <c r="AH9372" s="10"/>
      <c r="AI9372" s="10"/>
    </row>
    <row r="9373" spans="28:35" ht="15" hidden="1" customHeight="1">
      <c r="AB9373" s="9"/>
      <c r="AC9373" s="9"/>
      <c r="AD9373" s="9"/>
      <c r="AF9373" s="10"/>
      <c r="AG9373" s="10"/>
      <c r="AH9373" s="10"/>
      <c r="AI9373" s="10"/>
    </row>
    <row r="9374" spans="28:35" ht="15" hidden="1" customHeight="1">
      <c r="AB9374" s="9"/>
      <c r="AC9374" s="9"/>
      <c r="AD9374" s="9"/>
      <c r="AF9374" s="10"/>
      <c r="AG9374" s="10"/>
      <c r="AH9374" s="10"/>
      <c r="AI9374" s="10"/>
    </row>
    <row r="9375" spans="28:35" ht="15" hidden="1" customHeight="1">
      <c r="AB9375" s="9"/>
      <c r="AC9375" s="9"/>
      <c r="AD9375" s="9"/>
      <c r="AF9375" s="10"/>
      <c r="AG9375" s="10"/>
      <c r="AH9375" s="10"/>
      <c r="AI9375" s="10"/>
    </row>
    <row r="9376" spans="28:35" ht="15" hidden="1" customHeight="1">
      <c r="AB9376" s="9"/>
      <c r="AC9376" s="9"/>
      <c r="AD9376" s="9"/>
      <c r="AF9376" s="10"/>
      <c r="AG9376" s="10"/>
      <c r="AH9376" s="10"/>
      <c r="AI9376" s="10"/>
    </row>
    <row r="9377" spans="28:35" ht="15" hidden="1" customHeight="1">
      <c r="AB9377" s="9"/>
      <c r="AC9377" s="9"/>
      <c r="AD9377" s="9"/>
      <c r="AF9377" s="10"/>
      <c r="AG9377" s="10"/>
      <c r="AH9377" s="10"/>
      <c r="AI9377" s="10"/>
    </row>
    <row r="9378" spans="28:35" ht="15" hidden="1" customHeight="1">
      <c r="AB9378" s="9"/>
      <c r="AC9378" s="9"/>
      <c r="AD9378" s="9"/>
      <c r="AF9378" s="10"/>
      <c r="AG9378" s="10"/>
      <c r="AH9378" s="10"/>
      <c r="AI9378" s="10"/>
    </row>
    <row r="9379" spans="28:35" ht="15" hidden="1" customHeight="1">
      <c r="AB9379" s="9"/>
      <c r="AC9379" s="9"/>
      <c r="AD9379" s="9"/>
      <c r="AF9379" s="10"/>
      <c r="AG9379" s="10"/>
      <c r="AH9379" s="10"/>
      <c r="AI9379" s="10"/>
    </row>
    <row r="9380" spans="28:35" ht="15" hidden="1" customHeight="1">
      <c r="AB9380" s="9"/>
      <c r="AC9380" s="9"/>
      <c r="AD9380" s="9"/>
      <c r="AF9380" s="10"/>
      <c r="AG9380" s="10"/>
      <c r="AH9380" s="10"/>
      <c r="AI9380" s="10"/>
    </row>
    <row r="9381" spans="28:35" ht="15" hidden="1" customHeight="1">
      <c r="AB9381" s="9"/>
      <c r="AC9381" s="9"/>
      <c r="AD9381" s="9"/>
      <c r="AF9381" s="10"/>
      <c r="AG9381" s="10"/>
      <c r="AH9381" s="10"/>
      <c r="AI9381" s="10"/>
    </row>
    <row r="9382" spans="28:35" ht="15" hidden="1" customHeight="1">
      <c r="AB9382" s="9"/>
      <c r="AC9382" s="9"/>
      <c r="AD9382" s="9"/>
      <c r="AF9382" s="10"/>
      <c r="AG9382" s="10"/>
      <c r="AH9382" s="10"/>
      <c r="AI9382" s="10"/>
    </row>
    <row r="9383" spans="28:35" ht="15" hidden="1" customHeight="1">
      <c r="AB9383" s="9"/>
      <c r="AC9383" s="9"/>
      <c r="AD9383" s="9"/>
      <c r="AF9383" s="10"/>
      <c r="AG9383" s="10"/>
      <c r="AH9383" s="10"/>
      <c r="AI9383" s="10"/>
    </row>
    <row r="9384" spans="28:35" ht="15" hidden="1" customHeight="1">
      <c r="AB9384" s="9"/>
      <c r="AC9384" s="9"/>
      <c r="AD9384" s="9"/>
      <c r="AF9384" s="10"/>
      <c r="AG9384" s="10"/>
      <c r="AH9384" s="10"/>
      <c r="AI9384" s="10"/>
    </row>
    <row r="9385" spans="28:35" ht="15" hidden="1" customHeight="1">
      <c r="AB9385" s="9"/>
      <c r="AC9385" s="9"/>
      <c r="AD9385" s="9"/>
      <c r="AF9385" s="10"/>
      <c r="AG9385" s="10"/>
      <c r="AH9385" s="10"/>
      <c r="AI9385" s="10"/>
    </row>
    <row r="9386" spans="28:35" ht="15" hidden="1" customHeight="1">
      <c r="AB9386" s="9"/>
      <c r="AC9386" s="9"/>
      <c r="AD9386" s="9"/>
      <c r="AF9386" s="10"/>
      <c r="AG9386" s="10"/>
      <c r="AH9386" s="10"/>
      <c r="AI9386" s="10"/>
    </row>
    <row r="9387" spans="28:35" ht="15" hidden="1" customHeight="1">
      <c r="AB9387" s="9"/>
      <c r="AC9387" s="9"/>
      <c r="AD9387" s="9"/>
      <c r="AF9387" s="10"/>
      <c r="AG9387" s="10"/>
      <c r="AH9387" s="10"/>
      <c r="AI9387" s="10"/>
    </row>
    <row r="9388" spans="28:35" ht="15" hidden="1" customHeight="1">
      <c r="AB9388" s="9"/>
      <c r="AC9388" s="9"/>
      <c r="AD9388" s="9"/>
      <c r="AF9388" s="10"/>
      <c r="AG9388" s="10"/>
      <c r="AH9388" s="10"/>
      <c r="AI9388" s="10"/>
    </row>
    <row r="9389" spans="28:35" ht="15" hidden="1" customHeight="1">
      <c r="AB9389" s="9"/>
      <c r="AC9389" s="9"/>
      <c r="AD9389" s="9"/>
      <c r="AF9389" s="10"/>
      <c r="AG9389" s="10"/>
      <c r="AH9389" s="10"/>
      <c r="AI9389" s="10"/>
    </row>
    <row r="9390" spans="28:35" ht="15" hidden="1" customHeight="1">
      <c r="AB9390" s="9"/>
      <c r="AC9390" s="9"/>
      <c r="AD9390" s="9"/>
      <c r="AF9390" s="10"/>
      <c r="AG9390" s="10"/>
      <c r="AH9390" s="10"/>
      <c r="AI9390" s="10"/>
    </row>
    <row r="9391" spans="28:35" ht="15" hidden="1" customHeight="1">
      <c r="AB9391" s="9"/>
      <c r="AC9391" s="9"/>
      <c r="AD9391" s="9"/>
      <c r="AF9391" s="10"/>
      <c r="AG9391" s="10"/>
      <c r="AH9391" s="10"/>
      <c r="AI9391" s="10"/>
    </row>
    <row r="9392" spans="28:35" ht="15" hidden="1" customHeight="1">
      <c r="AB9392" s="9"/>
      <c r="AC9392" s="9"/>
      <c r="AD9392" s="9"/>
      <c r="AF9392" s="10"/>
      <c r="AG9392" s="10"/>
      <c r="AH9392" s="10"/>
      <c r="AI9392" s="10"/>
    </row>
    <row r="9393" spans="28:35" ht="15" hidden="1" customHeight="1">
      <c r="AB9393" s="9"/>
      <c r="AC9393" s="9"/>
      <c r="AD9393" s="9"/>
      <c r="AF9393" s="10"/>
      <c r="AG9393" s="10"/>
      <c r="AH9393" s="10"/>
      <c r="AI9393" s="10"/>
    </row>
    <row r="9394" spans="28:35" ht="15" hidden="1" customHeight="1">
      <c r="AB9394" s="9"/>
      <c r="AC9394" s="9"/>
      <c r="AD9394" s="9"/>
      <c r="AF9394" s="10"/>
      <c r="AG9394" s="10"/>
      <c r="AH9394" s="10"/>
      <c r="AI9394" s="10"/>
    </row>
    <row r="9395" spans="28:35" ht="15" hidden="1" customHeight="1">
      <c r="AB9395" s="9"/>
      <c r="AC9395" s="9"/>
      <c r="AD9395" s="9"/>
      <c r="AF9395" s="10"/>
      <c r="AG9395" s="10"/>
      <c r="AH9395" s="10"/>
      <c r="AI9395" s="10"/>
    </row>
    <row r="9396" spans="28:35" ht="15" hidden="1" customHeight="1">
      <c r="AB9396" s="9"/>
      <c r="AC9396" s="9"/>
      <c r="AD9396" s="9"/>
      <c r="AF9396" s="10"/>
      <c r="AG9396" s="10"/>
      <c r="AH9396" s="10"/>
      <c r="AI9396" s="10"/>
    </row>
    <row r="9397" spans="28:35" ht="15" hidden="1" customHeight="1">
      <c r="AB9397" s="9"/>
      <c r="AC9397" s="9"/>
      <c r="AD9397" s="9"/>
      <c r="AF9397" s="10"/>
      <c r="AG9397" s="10"/>
      <c r="AH9397" s="10"/>
      <c r="AI9397" s="10"/>
    </row>
    <row r="9398" spans="28:35" ht="15" hidden="1" customHeight="1">
      <c r="AB9398" s="9"/>
      <c r="AC9398" s="9"/>
      <c r="AD9398" s="9"/>
      <c r="AF9398" s="10"/>
      <c r="AG9398" s="10"/>
      <c r="AH9398" s="10"/>
      <c r="AI9398" s="10"/>
    </row>
    <row r="9399" spans="28:35" ht="15" hidden="1" customHeight="1">
      <c r="AB9399" s="9"/>
      <c r="AC9399" s="9"/>
      <c r="AD9399" s="9"/>
      <c r="AF9399" s="10"/>
      <c r="AG9399" s="10"/>
      <c r="AH9399" s="10"/>
      <c r="AI9399" s="10"/>
    </row>
    <row r="9400" spans="28:35" ht="15" hidden="1" customHeight="1">
      <c r="AB9400" s="9"/>
      <c r="AC9400" s="9"/>
      <c r="AD9400" s="9"/>
      <c r="AF9400" s="10"/>
      <c r="AG9400" s="10"/>
      <c r="AH9400" s="10"/>
      <c r="AI9400" s="10"/>
    </row>
    <row r="9401" spans="28:35" ht="15" hidden="1" customHeight="1">
      <c r="AB9401" s="9"/>
      <c r="AC9401" s="9"/>
      <c r="AD9401" s="9"/>
      <c r="AF9401" s="10"/>
      <c r="AG9401" s="10"/>
      <c r="AH9401" s="10"/>
      <c r="AI9401" s="10"/>
    </row>
    <row r="9402" spans="28:35" ht="15" hidden="1" customHeight="1">
      <c r="AB9402" s="9"/>
      <c r="AC9402" s="9"/>
      <c r="AD9402" s="9"/>
      <c r="AF9402" s="10"/>
      <c r="AG9402" s="10"/>
      <c r="AH9402" s="10"/>
      <c r="AI9402" s="10"/>
    </row>
    <row r="9403" spans="28:35" ht="15" hidden="1" customHeight="1">
      <c r="AB9403" s="9"/>
      <c r="AC9403" s="9"/>
      <c r="AD9403" s="9"/>
      <c r="AF9403" s="10"/>
      <c r="AG9403" s="10"/>
      <c r="AH9403" s="10"/>
      <c r="AI9403" s="10"/>
    </row>
    <row r="9404" spans="28:35" ht="15" hidden="1" customHeight="1">
      <c r="AB9404" s="9"/>
      <c r="AC9404" s="9"/>
      <c r="AD9404" s="9"/>
      <c r="AF9404" s="10"/>
      <c r="AG9404" s="10"/>
      <c r="AH9404" s="10"/>
      <c r="AI9404" s="10"/>
    </row>
    <row r="9405" spans="28:35" ht="15" hidden="1" customHeight="1">
      <c r="AB9405" s="9"/>
      <c r="AC9405" s="9"/>
      <c r="AD9405" s="9"/>
      <c r="AF9405" s="10"/>
      <c r="AG9405" s="10"/>
      <c r="AH9405" s="10"/>
      <c r="AI9405" s="10"/>
    </row>
    <row r="9406" spans="28:35" ht="15" hidden="1" customHeight="1">
      <c r="AB9406" s="9"/>
      <c r="AC9406" s="9"/>
      <c r="AD9406" s="9"/>
      <c r="AF9406" s="10"/>
      <c r="AG9406" s="10"/>
      <c r="AH9406" s="10"/>
      <c r="AI9406" s="10"/>
    </row>
    <row r="9407" spans="28:35" ht="15" hidden="1" customHeight="1">
      <c r="AB9407" s="9"/>
      <c r="AC9407" s="9"/>
      <c r="AD9407" s="9"/>
      <c r="AF9407" s="10"/>
      <c r="AG9407" s="10"/>
      <c r="AH9407" s="10"/>
      <c r="AI9407" s="10"/>
    </row>
    <row r="9408" spans="28:35" ht="15" hidden="1" customHeight="1">
      <c r="AB9408" s="9"/>
      <c r="AC9408" s="9"/>
      <c r="AD9408" s="9"/>
      <c r="AF9408" s="10"/>
      <c r="AG9408" s="10"/>
      <c r="AH9408" s="10"/>
      <c r="AI9408" s="10"/>
    </row>
    <row r="9409" spans="28:35" ht="15" hidden="1" customHeight="1">
      <c r="AB9409" s="9"/>
      <c r="AC9409" s="9"/>
      <c r="AD9409" s="9"/>
      <c r="AF9409" s="10"/>
      <c r="AG9409" s="10"/>
      <c r="AH9409" s="10"/>
      <c r="AI9409" s="10"/>
    </row>
    <row r="9410" spans="28:35" ht="15" hidden="1" customHeight="1">
      <c r="AB9410" s="9"/>
      <c r="AC9410" s="9"/>
      <c r="AD9410" s="9"/>
      <c r="AF9410" s="10"/>
      <c r="AG9410" s="10"/>
      <c r="AH9410" s="10"/>
      <c r="AI9410" s="10"/>
    </row>
    <row r="9411" spans="28:35" ht="15" hidden="1" customHeight="1">
      <c r="AB9411" s="9"/>
      <c r="AC9411" s="9"/>
      <c r="AD9411" s="9"/>
      <c r="AF9411" s="10"/>
      <c r="AG9411" s="10"/>
      <c r="AH9411" s="10"/>
      <c r="AI9411" s="10"/>
    </row>
    <row r="9412" spans="28:35" ht="15" hidden="1" customHeight="1">
      <c r="AB9412" s="9"/>
      <c r="AC9412" s="9"/>
      <c r="AD9412" s="9"/>
      <c r="AF9412" s="10"/>
      <c r="AG9412" s="10"/>
      <c r="AH9412" s="10"/>
      <c r="AI9412" s="10"/>
    </row>
    <row r="9413" spans="28:35" ht="15" hidden="1" customHeight="1">
      <c r="AB9413" s="9"/>
      <c r="AC9413" s="9"/>
      <c r="AD9413" s="9"/>
      <c r="AF9413" s="10"/>
      <c r="AG9413" s="10"/>
      <c r="AH9413" s="10"/>
      <c r="AI9413" s="10"/>
    </row>
    <row r="9414" spans="28:35" ht="15" hidden="1" customHeight="1">
      <c r="AB9414" s="9"/>
      <c r="AC9414" s="9"/>
      <c r="AD9414" s="9"/>
      <c r="AF9414" s="10"/>
      <c r="AG9414" s="10"/>
      <c r="AH9414" s="10"/>
      <c r="AI9414" s="10"/>
    </row>
    <row r="9415" spans="28:35" ht="15" hidden="1" customHeight="1">
      <c r="AB9415" s="9"/>
      <c r="AC9415" s="9"/>
      <c r="AD9415" s="9"/>
      <c r="AF9415" s="10"/>
      <c r="AG9415" s="10"/>
      <c r="AH9415" s="10"/>
      <c r="AI9415" s="10"/>
    </row>
    <row r="9416" spans="28:35" ht="15" hidden="1" customHeight="1">
      <c r="AB9416" s="9"/>
      <c r="AC9416" s="9"/>
      <c r="AD9416" s="9"/>
      <c r="AF9416" s="10"/>
      <c r="AG9416" s="10"/>
      <c r="AH9416" s="10"/>
      <c r="AI9416" s="10"/>
    </row>
    <row r="9417" spans="28:35" ht="15" hidden="1" customHeight="1">
      <c r="AB9417" s="9"/>
      <c r="AC9417" s="9"/>
      <c r="AD9417" s="9"/>
      <c r="AF9417" s="10"/>
      <c r="AG9417" s="10"/>
      <c r="AH9417" s="10"/>
      <c r="AI9417" s="10"/>
    </row>
    <row r="9418" spans="28:35" ht="15" hidden="1" customHeight="1">
      <c r="AB9418" s="9"/>
      <c r="AC9418" s="9"/>
      <c r="AD9418" s="9"/>
      <c r="AF9418" s="10"/>
      <c r="AG9418" s="10"/>
      <c r="AH9418" s="10"/>
      <c r="AI9418" s="10"/>
    </row>
    <row r="9419" spans="28:35" ht="15" hidden="1" customHeight="1">
      <c r="AB9419" s="9"/>
      <c r="AC9419" s="9"/>
      <c r="AD9419" s="9"/>
      <c r="AF9419" s="10"/>
      <c r="AG9419" s="10"/>
      <c r="AH9419" s="10"/>
      <c r="AI9419" s="10"/>
    </row>
    <row r="9420" spans="28:35" ht="15" hidden="1" customHeight="1">
      <c r="AB9420" s="9"/>
      <c r="AC9420" s="9"/>
      <c r="AD9420" s="9"/>
      <c r="AF9420" s="10"/>
      <c r="AG9420" s="10"/>
      <c r="AH9420" s="10"/>
      <c r="AI9420" s="10"/>
    </row>
    <row r="9421" spans="28:35" ht="15" hidden="1" customHeight="1">
      <c r="AB9421" s="9"/>
      <c r="AC9421" s="9"/>
      <c r="AD9421" s="9"/>
      <c r="AF9421" s="10"/>
      <c r="AG9421" s="10"/>
      <c r="AH9421" s="10"/>
      <c r="AI9421" s="10"/>
    </row>
    <row r="9422" spans="28:35" ht="15" hidden="1" customHeight="1">
      <c r="AB9422" s="9"/>
      <c r="AC9422" s="9"/>
      <c r="AD9422" s="9"/>
      <c r="AF9422" s="10"/>
      <c r="AG9422" s="10"/>
      <c r="AH9422" s="10"/>
      <c r="AI9422" s="10"/>
    </row>
    <row r="9423" spans="28:35" ht="15" hidden="1" customHeight="1">
      <c r="AB9423" s="9"/>
      <c r="AC9423" s="9"/>
      <c r="AD9423" s="9"/>
      <c r="AF9423" s="10"/>
      <c r="AG9423" s="10"/>
      <c r="AH9423" s="10"/>
      <c r="AI9423" s="10"/>
    </row>
    <row r="9424" spans="28:35" ht="15" hidden="1" customHeight="1">
      <c r="AB9424" s="9"/>
      <c r="AC9424" s="9"/>
      <c r="AD9424" s="9"/>
      <c r="AF9424" s="10"/>
      <c r="AG9424" s="10"/>
      <c r="AH9424" s="10"/>
      <c r="AI9424" s="10"/>
    </row>
    <row r="9425" spans="28:35" ht="15" hidden="1" customHeight="1">
      <c r="AB9425" s="9"/>
      <c r="AC9425" s="9"/>
      <c r="AD9425" s="9"/>
      <c r="AF9425" s="10"/>
      <c r="AG9425" s="10"/>
      <c r="AH9425" s="10"/>
      <c r="AI9425" s="10"/>
    </row>
    <row r="9426" spans="28:35" ht="15" hidden="1" customHeight="1">
      <c r="AB9426" s="9"/>
      <c r="AC9426" s="9"/>
      <c r="AD9426" s="9"/>
      <c r="AF9426" s="10"/>
      <c r="AG9426" s="10"/>
      <c r="AH9426" s="10"/>
      <c r="AI9426" s="10"/>
    </row>
    <row r="9427" spans="28:35" ht="15" hidden="1" customHeight="1">
      <c r="AB9427" s="9"/>
      <c r="AC9427" s="9"/>
      <c r="AD9427" s="9"/>
      <c r="AF9427" s="10"/>
      <c r="AG9427" s="10"/>
      <c r="AH9427" s="10"/>
      <c r="AI9427" s="10"/>
    </row>
    <row r="9428" spans="28:35" ht="15" hidden="1" customHeight="1">
      <c r="AB9428" s="9"/>
      <c r="AC9428" s="9"/>
      <c r="AD9428" s="9"/>
      <c r="AF9428" s="10"/>
      <c r="AG9428" s="10"/>
      <c r="AH9428" s="10"/>
      <c r="AI9428" s="10"/>
    </row>
    <row r="9429" spans="28:35" ht="15" hidden="1" customHeight="1">
      <c r="AB9429" s="9"/>
      <c r="AC9429" s="9"/>
      <c r="AD9429" s="9"/>
      <c r="AF9429" s="10"/>
      <c r="AG9429" s="10"/>
      <c r="AH9429" s="10"/>
      <c r="AI9429" s="10"/>
    </row>
    <row r="9430" spans="28:35" ht="15" hidden="1" customHeight="1">
      <c r="AB9430" s="9"/>
      <c r="AC9430" s="9"/>
      <c r="AD9430" s="9"/>
      <c r="AF9430" s="10"/>
      <c r="AG9430" s="10"/>
      <c r="AH9430" s="10"/>
      <c r="AI9430" s="10"/>
    </row>
    <row r="9431" spans="28:35" ht="15" hidden="1" customHeight="1">
      <c r="AB9431" s="9"/>
      <c r="AC9431" s="9"/>
      <c r="AD9431" s="9"/>
      <c r="AF9431" s="10"/>
      <c r="AG9431" s="10"/>
      <c r="AH9431" s="10"/>
      <c r="AI9431" s="10"/>
    </row>
    <row r="9432" spans="28:35" ht="15" hidden="1" customHeight="1">
      <c r="AB9432" s="9"/>
      <c r="AC9432" s="9"/>
      <c r="AD9432" s="9"/>
      <c r="AF9432" s="10"/>
      <c r="AG9432" s="10"/>
      <c r="AH9432" s="10"/>
      <c r="AI9432" s="10"/>
    </row>
    <row r="9433" spans="28:35" ht="15" hidden="1" customHeight="1">
      <c r="AB9433" s="9"/>
      <c r="AC9433" s="9"/>
      <c r="AD9433" s="9"/>
      <c r="AF9433" s="10"/>
      <c r="AG9433" s="10"/>
      <c r="AH9433" s="10"/>
      <c r="AI9433" s="10"/>
    </row>
    <row r="9434" spans="28:35" ht="15" hidden="1" customHeight="1">
      <c r="AB9434" s="9"/>
      <c r="AC9434" s="9"/>
      <c r="AD9434" s="9"/>
      <c r="AF9434" s="10"/>
      <c r="AG9434" s="10"/>
      <c r="AH9434" s="10"/>
      <c r="AI9434" s="10"/>
    </row>
    <row r="9435" spans="28:35" ht="15" hidden="1" customHeight="1">
      <c r="AB9435" s="9"/>
      <c r="AC9435" s="9"/>
      <c r="AD9435" s="9"/>
      <c r="AF9435" s="10"/>
      <c r="AG9435" s="10"/>
      <c r="AH9435" s="10"/>
      <c r="AI9435" s="10"/>
    </row>
    <row r="9436" spans="28:35" ht="15" hidden="1" customHeight="1">
      <c r="AB9436" s="9"/>
      <c r="AC9436" s="9"/>
      <c r="AD9436" s="9"/>
      <c r="AF9436" s="10"/>
      <c r="AG9436" s="10"/>
      <c r="AH9436" s="10"/>
      <c r="AI9436" s="10"/>
    </row>
    <row r="9437" spans="28:35" ht="15" hidden="1" customHeight="1">
      <c r="AB9437" s="9"/>
      <c r="AC9437" s="9"/>
      <c r="AD9437" s="9"/>
      <c r="AF9437" s="10"/>
      <c r="AG9437" s="10"/>
      <c r="AH9437" s="10"/>
      <c r="AI9437" s="10"/>
    </row>
    <row r="9438" spans="28:35" ht="15" hidden="1" customHeight="1">
      <c r="AB9438" s="9"/>
      <c r="AC9438" s="9"/>
      <c r="AD9438" s="9"/>
      <c r="AF9438" s="10"/>
      <c r="AG9438" s="10"/>
      <c r="AH9438" s="10"/>
      <c r="AI9438" s="10"/>
    </row>
    <row r="9439" spans="28:35" ht="15" hidden="1" customHeight="1">
      <c r="AB9439" s="9"/>
      <c r="AC9439" s="9"/>
      <c r="AD9439" s="9"/>
      <c r="AF9439" s="10"/>
      <c r="AG9439" s="10"/>
      <c r="AH9439" s="10"/>
      <c r="AI9439" s="10"/>
    </row>
    <row r="9440" spans="28:35" ht="15" hidden="1" customHeight="1">
      <c r="AB9440" s="9"/>
      <c r="AC9440" s="9"/>
      <c r="AD9440" s="9"/>
      <c r="AF9440" s="10"/>
      <c r="AG9440" s="10"/>
      <c r="AH9440" s="10"/>
      <c r="AI9440" s="10"/>
    </row>
    <row r="9441" spans="28:35" ht="15" hidden="1" customHeight="1">
      <c r="AB9441" s="9"/>
      <c r="AC9441" s="9"/>
      <c r="AD9441" s="9"/>
      <c r="AF9441" s="10"/>
      <c r="AG9441" s="10"/>
      <c r="AH9441" s="10"/>
      <c r="AI9441" s="10"/>
    </row>
    <row r="9442" spans="28:35" ht="15" hidden="1" customHeight="1">
      <c r="AB9442" s="9"/>
      <c r="AC9442" s="9"/>
      <c r="AD9442" s="9"/>
      <c r="AF9442" s="10"/>
      <c r="AG9442" s="10"/>
      <c r="AH9442" s="10"/>
      <c r="AI9442" s="10"/>
    </row>
    <row r="9443" spans="28:35" ht="15" hidden="1" customHeight="1">
      <c r="AB9443" s="9"/>
      <c r="AC9443" s="9"/>
      <c r="AD9443" s="9"/>
      <c r="AF9443" s="10"/>
      <c r="AG9443" s="10"/>
      <c r="AH9443" s="10"/>
      <c r="AI9443" s="10"/>
    </row>
    <row r="9444" spans="28:35" ht="15" hidden="1" customHeight="1">
      <c r="AB9444" s="9"/>
      <c r="AC9444" s="9"/>
      <c r="AD9444" s="9"/>
      <c r="AF9444" s="10"/>
      <c r="AG9444" s="10"/>
      <c r="AH9444" s="10"/>
      <c r="AI9444" s="10"/>
    </row>
    <row r="9445" spans="28:35" ht="15" hidden="1" customHeight="1">
      <c r="AB9445" s="9"/>
      <c r="AC9445" s="9"/>
      <c r="AD9445" s="9"/>
      <c r="AF9445" s="10"/>
      <c r="AG9445" s="10"/>
      <c r="AH9445" s="10"/>
      <c r="AI9445" s="10"/>
    </row>
    <row r="9446" spans="28:35" ht="15" hidden="1" customHeight="1">
      <c r="AB9446" s="9"/>
      <c r="AC9446" s="9"/>
      <c r="AD9446" s="9"/>
      <c r="AF9446" s="10"/>
      <c r="AG9446" s="10"/>
      <c r="AH9446" s="10"/>
      <c r="AI9446" s="10"/>
    </row>
    <row r="9447" spans="28:35" ht="15" hidden="1" customHeight="1">
      <c r="AB9447" s="9"/>
      <c r="AC9447" s="9"/>
      <c r="AD9447" s="9"/>
      <c r="AF9447" s="10"/>
      <c r="AG9447" s="10"/>
      <c r="AH9447" s="10"/>
      <c r="AI9447" s="10"/>
    </row>
    <row r="9448" spans="28:35" ht="15" hidden="1" customHeight="1">
      <c r="AB9448" s="9"/>
      <c r="AC9448" s="9"/>
      <c r="AD9448" s="9"/>
      <c r="AF9448" s="10"/>
      <c r="AG9448" s="10"/>
      <c r="AH9448" s="10"/>
      <c r="AI9448" s="10"/>
    </row>
    <row r="9449" spans="28:35" ht="15" hidden="1" customHeight="1">
      <c r="AB9449" s="9"/>
      <c r="AC9449" s="9"/>
      <c r="AD9449" s="9"/>
      <c r="AF9449" s="10"/>
      <c r="AG9449" s="10"/>
      <c r="AH9449" s="10"/>
      <c r="AI9449" s="10"/>
    </row>
    <row r="9450" spans="28:35" ht="15" hidden="1" customHeight="1">
      <c r="AB9450" s="9"/>
      <c r="AC9450" s="9"/>
      <c r="AD9450" s="9"/>
      <c r="AF9450" s="10"/>
      <c r="AG9450" s="10"/>
      <c r="AH9450" s="10"/>
      <c r="AI9450" s="10"/>
    </row>
    <row r="9451" spans="28:35" ht="15" hidden="1" customHeight="1">
      <c r="AB9451" s="9"/>
      <c r="AC9451" s="9"/>
      <c r="AD9451" s="9"/>
      <c r="AF9451" s="10"/>
      <c r="AG9451" s="10"/>
      <c r="AH9451" s="10"/>
      <c r="AI9451" s="10"/>
    </row>
    <row r="9452" spans="28:35" ht="15" hidden="1" customHeight="1">
      <c r="AB9452" s="9"/>
      <c r="AC9452" s="9"/>
      <c r="AD9452" s="9"/>
      <c r="AF9452" s="10"/>
      <c r="AG9452" s="10"/>
      <c r="AH9452" s="10"/>
      <c r="AI9452" s="10"/>
    </row>
    <row r="9453" spans="28:35" ht="15" hidden="1" customHeight="1">
      <c r="AB9453" s="9"/>
      <c r="AC9453" s="9"/>
      <c r="AD9453" s="9"/>
      <c r="AF9453" s="10"/>
      <c r="AG9453" s="10"/>
      <c r="AH9453" s="10"/>
      <c r="AI9453" s="10"/>
    </row>
    <row r="9454" spans="28:35" ht="15" hidden="1" customHeight="1">
      <c r="AB9454" s="9"/>
      <c r="AC9454" s="9"/>
      <c r="AD9454" s="9"/>
      <c r="AF9454" s="10"/>
      <c r="AG9454" s="10"/>
      <c r="AH9454" s="10"/>
      <c r="AI9454" s="10"/>
    </row>
    <row r="9455" spans="28:35" ht="15" hidden="1" customHeight="1">
      <c r="AB9455" s="9"/>
      <c r="AC9455" s="9"/>
      <c r="AD9455" s="9"/>
      <c r="AF9455" s="10"/>
      <c r="AG9455" s="10"/>
      <c r="AH9455" s="10"/>
      <c r="AI9455" s="10"/>
    </row>
    <row r="9456" spans="28:35" ht="15" hidden="1" customHeight="1">
      <c r="AB9456" s="9"/>
      <c r="AC9456" s="9"/>
      <c r="AD9456" s="9"/>
      <c r="AF9456" s="10"/>
      <c r="AG9456" s="10"/>
      <c r="AH9456" s="10"/>
      <c r="AI9456" s="10"/>
    </row>
    <row r="9457" spans="28:35" ht="15" hidden="1" customHeight="1">
      <c r="AB9457" s="9"/>
      <c r="AC9457" s="9"/>
      <c r="AD9457" s="9"/>
      <c r="AF9457" s="10"/>
      <c r="AG9457" s="10"/>
      <c r="AH9457" s="10"/>
      <c r="AI9457" s="10"/>
    </row>
    <row r="9458" spans="28:35" ht="15" hidden="1" customHeight="1">
      <c r="AB9458" s="9"/>
      <c r="AC9458" s="9"/>
      <c r="AD9458" s="9"/>
      <c r="AF9458" s="10"/>
      <c r="AG9458" s="10"/>
      <c r="AH9458" s="10"/>
      <c r="AI9458" s="10"/>
    </row>
    <row r="9459" spans="28:35" ht="15" hidden="1" customHeight="1">
      <c r="AB9459" s="9"/>
      <c r="AC9459" s="9"/>
      <c r="AD9459" s="9"/>
      <c r="AF9459" s="10"/>
      <c r="AG9459" s="10"/>
      <c r="AH9459" s="10"/>
      <c r="AI9459" s="10"/>
    </row>
    <row r="9460" spans="28:35" ht="15" hidden="1" customHeight="1">
      <c r="AB9460" s="9"/>
      <c r="AC9460" s="9"/>
      <c r="AD9460" s="9"/>
      <c r="AF9460" s="10"/>
      <c r="AG9460" s="10"/>
      <c r="AH9460" s="10"/>
      <c r="AI9460" s="10"/>
    </row>
    <row r="9461" spans="28:35" ht="15" hidden="1" customHeight="1">
      <c r="AB9461" s="9"/>
      <c r="AC9461" s="9"/>
      <c r="AD9461" s="9"/>
      <c r="AF9461" s="10"/>
      <c r="AG9461" s="10"/>
      <c r="AH9461" s="10"/>
      <c r="AI9461" s="10"/>
    </row>
    <row r="9462" spans="28:35" ht="15" hidden="1" customHeight="1">
      <c r="AB9462" s="9"/>
      <c r="AC9462" s="9"/>
      <c r="AD9462" s="9"/>
      <c r="AF9462" s="10"/>
      <c r="AG9462" s="10"/>
      <c r="AH9462" s="10"/>
      <c r="AI9462" s="10"/>
    </row>
    <row r="9463" spans="28:35" ht="15" hidden="1" customHeight="1">
      <c r="AB9463" s="9"/>
      <c r="AC9463" s="9"/>
      <c r="AD9463" s="9"/>
      <c r="AF9463" s="10"/>
      <c r="AG9463" s="10"/>
      <c r="AH9463" s="10"/>
      <c r="AI9463" s="10"/>
    </row>
    <row r="9464" spans="28:35" ht="15" hidden="1" customHeight="1">
      <c r="AB9464" s="9"/>
      <c r="AC9464" s="9"/>
      <c r="AD9464" s="9"/>
      <c r="AF9464" s="10"/>
      <c r="AG9464" s="10"/>
      <c r="AH9464" s="10"/>
      <c r="AI9464" s="10"/>
    </row>
    <row r="9465" spans="28:35" ht="15" hidden="1" customHeight="1">
      <c r="AB9465" s="9"/>
      <c r="AC9465" s="9"/>
      <c r="AD9465" s="9"/>
      <c r="AF9465" s="10"/>
      <c r="AG9465" s="10"/>
      <c r="AH9465" s="10"/>
      <c r="AI9465" s="10"/>
    </row>
    <row r="9466" spans="28:35" ht="15" hidden="1" customHeight="1">
      <c r="AB9466" s="9"/>
      <c r="AC9466" s="9"/>
      <c r="AD9466" s="9"/>
      <c r="AF9466" s="10"/>
      <c r="AG9466" s="10"/>
      <c r="AH9466" s="10"/>
      <c r="AI9466" s="10"/>
    </row>
    <row r="9467" spans="28:35" ht="15" hidden="1" customHeight="1">
      <c r="AB9467" s="9"/>
      <c r="AC9467" s="9"/>
      <c r="AD9467" s="9"/>
      <c r="AF9467" s="10"/>
      <c r="AG9467" s="10"/>
      <c r="AH9467" s="10"/>
      <c r="AI9467" s="10"/>
    </row>
    <row r="9468" spans="28:35" ht="15" hidden="1" customHeight="1">
      <c r="AB9468" s="9"/>
      <c r="AC9468" s="9"/>
      <c r="AD9468" s="9"/>
      <c r="AF9468" s="10"/>
      <c r="AG9468" s="10"/>
      <c r="AH9468" s="10"/>
      <c r="AI9468" s="10"/>
    </row>
    <row r="9469" spans="28:35" ht="15" hidden="1" customHeight="1">
      <c r="AB9469" s="9"/>
      <c r="AC9469" s="9"/>
      <c r="AD9469" s="9"/>
      <c r="AF9469" s="10"/>
      <c r="AG9469" s="10"/>
      <c r="AH9469" s="10"/>
      <c r="AI9469" s="10"/>
    </row>
    <row r="9470" spans="28:35" ht="15" hidden="1" customHeight="1">
      <c r="AB9470" s="9"/>
      <c r="AC9470" s="9"/>
      <c r="AD9470" s="9"/>
      <c r="AF9470" s="10"/>
      <c r="AG9470" s="10"/>
      <c r="AH9470" s="10"/>
      <c r="AI9470" s="10"/>
    </row>
    <row r="9471" spans="28:35" ht="15" hidden="1" customHeight="1">
      <c r="AB9471" s="9"/>
      <c r="AC9471" s="9"/>
      <c r="AD9471" s="9"/>
      <c r="AF9471" s="10"/>
      <c r="AG9471" s="10"/>
      <c r="AH9471" s="10"/>
      <c r="AI9471" s="10"/>
    </row>
    <row r="9472" spans="28:35" ht="15" hidden="1" customHeight="1">
      <c r="AB9472" s="9"/>
      <c r="AC9472" s="9"/>
      <c r="AD9472" s="9"/>
      <c r="AF9472" s="10"/>
      <c r="AG9472" s="10"/>
      <c r="AH9472" s="10"/>
      <c r="AI9472" s="10"/>
    </row>
    <row r="9473" spans="28:35" ht="15" hidden="1" customHeight="1">
      <c r="AB9473" s="9"/>
      <c r="AC9473" s="9"/>
      <c r="AD9473" s="9"/>
      <c r="AF9473" s="10"/>
      <c r="AG9473" s="10"/>
      <c r="AH9473" s="10"/>
      <c r="AI9473" s="10"/>
    </row>
    <row r="9474" spans="28:35" ht="15" hidden="1" customHeight="1">
      <c r="AB9474" s="9"/>
      <c r="AC9474" s="9"/>
      <c r="AD9474" s="9"/>
      <c r="AF9474" s="10"/>
      <c r="AG9474" s="10"/>
      <c r="AH9474" s="10"/>
      <c r="AI9474" s="10"/>
    </row>
    <row r="9475" spans="28:35" ht="15" hidden="1" customHeight="1">
      <c r="AB9475" s="9"/>
      <c r="AC9475" s="9"/>
      <c r="AD9475" s="9"/>
      <c r="AF9475" s="10"/>
      <c r="AG9475" s="10"/>
      <c r="AH9475" s="10"/>
      <c r="AI9475" s="10"/>
    </row>
    <row r="9476" spans="28:35" ht="15" hidden="1" customHeight="1">
      <c r="AB9476" s="9"/>
      <c r="AC9476" s="9"/>
      <c r="AD9476" s="9"/>
      <c r="AF9476" s="10"/>
      <c r="AG9476" s="10"/>
      <c r="AH9476" s="10"/>
      <c r="AI9476" s="10"/>
    </row>
    <row r="9477" spans="28:35" ht="15" hidden="1" customHeight="1">
      <c r="AB9477" s="9"/>
      <c r="AC9477" s="9"/>
      <c r="AD9477" s="9"/>
      <c r="AF9477" s="10"/>
      <c r="AG9477" s="10"/>
      <c r="AH9477" s="10"/>
      <c r="AI9477" s="10"/>
    </row>
    <row r="9478" spans="28:35" ht="15" hidden="1" customHeight="1">
      <c r="AB9478" s="9"/>
      <c r="AC9478" s="9"/>
      <c r="AD9478" s="9"/>
      <c r="AF9478" s="10"/>
      <c r="AG9478" s="10"/>
      <c r="AH9478" s="10"/>
      <c r="AI9478" s="10"/>
    </row>
    <row r="9479" spans="28:35" ht="15" hidden="1" customHeight="1">
      <c r="AB9479" s="9"/>
      <c r="AC9479" s="9"/>
      <c r="AD9479" s="9"/>
      <c r="AF9479" s="10"/>
      <c r="AG9479" s="10"/>
      <c r="AH9479" s="10"/>
      <c r="AI9479" s="10"/>
    </row>
    <row r="9480" spans="28:35" ht="15" hidden="1" customHeight="1">
      <c r="AB9480" s="9"/>
      <c r="AC9480" s="9"/>
      <c r="AD9480" s="9"/>
      <c r="AF9480" s="10"/>
      <c r="AG9480" s="10"/>
      <c r="AH9480" s="10"/>
      <c r="AI9480" s="10"/>
    </row>
    <row r="9481" spans="28:35" ht="15" hidden="1" customHeight="1">
      <c r="AB9481" s="9"/>
      <c r="AC9481" s="9"/>
      <c r="AD9481" s="9"/>
      <c r="AF9481" s="10"/>
      <c r="AG9481" s="10"/>
      <c r="AH9481" s="10"/>
      <c r="AI9481" s="10"/>
    </row>
    <row r="9482" spans="28:35" ht="15" hidden="1" customHeight="1">
      <c r="AB9482" s="9"/>
      <c r="AC9482" s="9"/>
      <c r="AD9482" s="9"/>
      <c r="AF9482" s="10"/>
      <c r="AG9482" s="10"/>
      <c r="AH9482" s="10"/>
      <c r="AI9482" s="10"/>
    </row>
    <row r="9483" spans="28:35" ht="15" hidden="1" customHeight="1">
      <c r="AB9483" s="9"/>
      <c r="AC9483" s="9"/>
      <c r="AD9483" s="9"/>
      <c r="AF9483" s="10"/>
      <c r="AG9483" s="10"/>
      <c r="AH9483" s="10"/>
      <c r="AI9483" s="10"/>
    </row>
    <row r="9484" spans="28:35" ht="15" hidden="1" customHeight="1">
      <c r="AB9484" s="9"/>
      <c r="AC9484" s="9"/>
      <c r="AD9484" s="9"/>
      <c r="AF9484" s="10"/>
      <c r="AG9484" s="10"/>
      <c r="AH9484" s="10"/>
      <c r="AI9484" s="10"/>
    </row>
    <row r="9485" spans="28:35" ht="15" hidden="1" customHeight="1">
      <c r="AB9485" s="9"/>
      <c r="AC9485" s="9"/>
      <c r="AD9485" s="9"/>
      <c r="AF9485" s="10"/>
      <c r="AG9485" s="10"/>
      <c r="AH9485" s="10"/>
      <c r="AI9485" s="10"/>
    </row>
    <row r="9486" spans="28:35" ht="15" hidden="1" customHeight="1">
      <c r="AB9486" s="9"/>
      <c r="AC9486" s="9"/>
      <c r="AD9486" s="9"/>
      <c r="AF9486" s="10"/>
      <c r="AG9486" s="10"/>
      <c r="AH9486" s="10"/>
      <c r="AI9486" s="10"/>
    </row>
    <row r="9487" spans="28:35" ht="15" hidden="1" customHeight="1">
      <c r="AB9487" s="9"/>
      <c r="AC9487" s="9"/>
      <c r="AD9487" s="9"/>
      <c r="AF9487" s="10"/>
      <c r="AG9487" s="10"/>
      <c r="AH9487" s="10"/>
      <c r="AI9487" s="10"/>
    </row>
    <row r="9488" spans="28:35" ht="15" hidden="1" customHeight="1">
      <c r="AB9488" s="9"/>
      <c r="AC9488" s="9"/>
      <c r="AD9488" s="9"/>
      <c r="AF9488" s="10"/>
      <c r="AG9488" s="10"/>
      <c r="AH9488" s="10"/>
      <c r="AI9488" s="10"/>
    </row>
    <row r="9489" spans="28:35" ht="15" hidden="1" customHeight="1">
      <c r="AB9489" s="9"/>
      <c r="AC9489" s="9"/>
      <c r="AD9489" s="9"/>
      <c r="AF9489" s="10"/>
      <c r="AG9489" s="10"/>
      <c r="AH9489" s="10"/>
      <c r="AI9489" s="10"/>
    </row>
    <row r="9490" spans="28:35" ht="15" hidden="1" customHeight="1">
      <c r="AB9490" s="9"/>
      <c r="AC9490" s="9"/>
      <c r="AD9490" s="9"/>
      <c r="AF9490" s="10"/>
      <c r="AG9490" s="10"/>
      <c r="AH9490" s="10"/>
      <c r="AI9490" s="10"/>
    </row>
    <row r="9491" spans="28:35" ht="15" hidden="1" customHeight="1">
      <c r="AB9491" s="9"/>
      <c r="AC9491" s="9"/>
      <c r="AD9491" s="9"/>
      <c r="AF9491" s="10"/>
      <c r="AG9491" s="10"/>
      <c r="AH9491" s="10"/>
      <c r="AI9491" s="10"/>
    </row>
    <row r="9492" spans="28:35" ht="15" hidden="1" customHeight="1">
      <c r="AB9492" s="9"/>
      <c r="AC9492" s="9"/>
      <c r="AD9492" s="9"/>
      <c r="AF9492" s="10"/>
      <c r="AG9492" s="10"/>
      <c r="AH9492" s="10"/>
      <c r="AI9492" s="10"/>
    </row>
    <row r="9493" spans="28:35" ht="15" hidden="1" customHeight="1">
      <c r="AB9493" s="9"/>
      <c r="AC9493" s="9"/>
      <c r="AD9493" s="9"/>
      <c r="AF9493" s="10"/>
      <c r="AG9493" s="10"/>
      <c r="AH9493" s="10"/>
      <c r="AI9493" s="10"/>
    </row>
    <row r="9494" spans="28:35" ht="15" hidden="1" customHeight="1">
      <c r="AB9494" s="9"/>
      <c r="AC9494" s="9"/>
      <c r="AD9494" s="9"/>
      <c r="AF9494" s="10"/>
      <c r="AG9494" s="10"/>
      <c r="AH9494" s="10"/>
      <c r="AI9494" s="10"/>
    </row>
    <row r="9495" spans="28:35" ht="15" hidden="1" customHeight="1">
      <c r="AB9495" s="9"/>
      <c r="AC9495" s="9"/>
      <c r="AD9495" s="9"/>
      <c r="AF9495" s="10"/>
      <c r="AG9495" s="10"/>
      <c r="AH9495" s="10"/>
      <c r="AI9495" s="10"/>
    </row>
    <row r="9496" spans="28:35" ht="15" hidden="1" customHeight="1">
      <c r="AB9496" s="9"/>
      <c r="AC9496" s="9"/>
      <c r="AD9496" s="9"/>
      <c r="AF9496" s="10"/>
      <c r="AG9496" s="10"/>
      <c r="AH9496" s="10"/>
      <c r="AI9496" s="10"/>
    </row>
    <row r="9497" spans="28:35" ht="15" hidden="1" customHeight="1">
      <c r="AB9497" s="9"/>
      <c r="AC9497" s="9"/>
      <c r="AD9497" s="9"/>
      <c r="AF9497" s="10"/>
      <c r="AG9497" s="10"/>
      <c r="AH9497" s="10"/>
      <c r="AI9497" s="10"/>
    </row>
    <row r="9498" spans="28:35" ht="15" hidden="1" customHeight="1">
      <c r="AB9498" s="9"/>
      <c r="AC9498" s="9"/>
      <c r="AD9498" s="9"/>
      <c r="AF9498" s="10"/>
      <c r="AG9498" s="10"/>
      <c r="AH9498" s="10"/>
      <c r="AI9498" s="10"/>
    </row>
    <row r="9499" spans="28:35" ht="15" hidden="1" customHeight="1">
      <c r="AB9499" s="9"/>
      <c r="AC9499" s="9"/>
      <c r="AD9499" s="9"/>
      <c r="AF9499" s="10"/>
      <c r="AG9499" s="10"/>
      <c r="AH9499" s="10"/>
      <c r="AI9499" s="10"/>
    </row>
    <row r="9500" spans="28:35" ht="15" hidden="1" customHeight="1">
      <c r="AB9500" s="9"/>
      <c r="AC9500" s="9"/>
      <c r="AD9500" s="9"/>
      <c r="AF9500" s="10"/>
      <c r="AG9500" s="10"/>
      <c r="AH9500" s="10"/>
      <c r="AI9500" s="10"/>
    </row>
    <row r="9501" spans="28:35" ht="15" hidden="1" customHeight="1">
      <c r="AB9501" s="9"/>
      <c r="AC9501" s="9"/>
      <c r="AD9501" s="9"/>
      <c r="AF9501" s="10"/>
      <c r="AG9501" s="10"/>
      <c r="AH9501" s="10"/>
      <c r="AI9501" s="10"/>
    </row>
    <row r="9502" spans="28:35" ht="15" hidden="1" customHeight="1">
      <c r="AB9502" s="9"/>
      <c r="AC9502" s="9"/>
      <c r="AD9502" s="9"/>
      <c r="AF9502" s="10"/>
      <c r="AG9502" s="10"/>
      <c r="AH9502" s="10"/>
      <c r="AI9502" s="10"/>
    </row>
    <row r="9503" spans="28:35" ht="15" hidden="1" customHeight="1">
      <c r="AB9503" s="9"/>
      <c r="AC9503" s="9"/>
      <c r="AD9503" s="9"/>
      <c r="AF9503" s="10"/>
      <c r="AG9503" s="10"/>
      <c r="AH9503" s="10"/>
      <c r="AI9503" s="10"/>
    </row>
    <row r="9504" spans="28:35" ht="15" hidden="1" customHeight="1">
      <c r="AB9504" s="9"/>
      <c r="AC9504" s="9"/>
      <c r="AD9504" s="9"/>
      <c r="AF9504" s="10"/>
      <c r="AG9504" s="10"/>
      <c r="AH9504" s="10"/>
      <c r="AI9504" s="10"/>
    </row>
    <row r="9505" spans="28:35" ht="15" hidden="1" customHeight="1">
      <c r="AB9505" s="9"/>
      <c r="AC9505" s="9"/>
      <c r="AD9505" s="9"/>
      <c r="AF9505" s="10"/>
      <c r="AG9505" s="10"/>
      <c r="AH9505" s="10"/>
      <c r="AI9505" s="10"/>
    </row>
    <row r="9506" spans="28:35" ht="15" hidden="1" customHeight="1">
      <c r="AB9506" s="9"/>
      <c r="AC9506" s="9"/>
      <c r="AD9506" s="9"/>
      <c r="AF9506" s="10"/>
      <c r="AG9506" s="10"/>
      <c r="AH9506" s="10"/>
      <c r="AI9506" s="10"/>
    </row>
    <row r="9507" spans="28:35" ht="15" hidden="1" customHeight="1">
      <c r="AB9507" s="9"/>
      <c r="AC9507" s="9"/>
      <c r="AD9507" s="9"/>
      <c r="AF9507" s="10"/>
      <c r="AG9507" s="10"/>
      <c r="AH9507" s="10"/>
      <c r="AI9507" s="10"/>
    </row>
    <row r="9508" spans="28:35" ht="15" hidden="1" customHeight="1">
      <c r="AB9508" s="9"/>
      <c r="AC9508" s="9"/>
      <c r="AD9508" s="9"/>
      <c r="AF9508" s="10"/>
      <c r="AG9508" s="10"/>
      <c r="AH9508" s="10"/>
      <c r="AI9508" s="10"/>
    </row>
    <row r="9509" spans="28:35" ht="15" hidden="1" customHeight="1">
      <c r="AB9509" s="9"/>
      <c r="AC9509" s="9"/>
      <c r="AD9509" s="9"/>
      <c r="AF9509" s="10"/>
      <c r="AG9509" s="10"/>
      <c r="AH9509" s="10"/>
      <c r="AI9509" s="10"/>
    </row>
    <row r="9510" spans="28:35" ht="15" hidden="1" customHeight="1">
      <c r="AB9510" s="9"/>
      <c r="AC9510" s="9"/>
      <c r="AD9510" s="9"/>
      <c r="AF9510" s="10"/>
      <c r="AG9510" s="10"/>
      <c r="AH9510" s="10"/>
      <c r="AI9510" s="10"/>
    </row>
    <row r="9511" spans="28:35" ht="15" hidden="1" customHeight="1">
      <c r="AB9511" s="9"/>
      <c r="AC9511" s="9"/>
      <c r="AD9511" s="9"/>
      <c r="AF9511" s="10"/>
      <c r="AG9511" s="10"/>
      <c r="AH9511" s="10"/>
      <c r="AI9511" s="10"/>
    </row>
    <row r="9512" spans="28:35" ht="15" hidden="1" customHeight="1">
      <c r="AB9512" s="9"/>
      <c r="AC9512" s="9"/>
      <c r="AD9512" s="9"/>
      <c r="AF9512" s="10"/>
      <c r="AG9512" s="10"/>
      <c r="AH9512" s="10"/>
      <c r="AI9512" s="10"/>
    </row>
    <row r="9513" spans="28:35" ht="15" hidden="1" customHeight="1">
      <c r="AB9513" s="9"/>
      <c r="AC9513" s="9"/>
      <c r="AD9513" s="9"/>
      <c r="AF9513" s="10"/>
      <c r="AG9513" s="10"/>
      <c r="AH9513" s="10"/>
      <c r="AI9513" s="10"/>
    </row>
    <row r="9514" spans="28:35" ht="15" hidden="1" customHeight="1">
      <c r="AB9514" s="9"/>
      <c r="AC9514" s="9"/>
      <c r="AD9514" s="9"/>
      <c r="AF9514" s="10"/>
      <c r="AG9514" s="10"/>
      <c r="AH9514" s="10"/>
      <c r="AI9514" s="10"/>
    </row>
    <row r="9515" spans="28:35" ht="15" hidden="1" customHeight="1">
      <c r="AB9515" s="9"/>
      <c r="AC9515" s="9"/>
      <c r="AD9515" s="9"/>
      <c r="AF9515" s="10"/>
      <c r="AG9515" s="10"/>
      <c r="AH9515" s="10"/>
      <c r="AI9515" s="10"/>
    </row>
    <row r="9516" spans="28:35" ht="15" hidden="1" customHeight="1">
      <c r="AB9516" s="9"/>
      <c r="AC9516" s="9"/>
      <c r="AD9516" s="9"/>
      <c r="AF9516" s="10"/>
      <c r="AG9516" s="10"/>
      <c r="AH9516" s="10"/>
      <c r="AI9516" s="10"/>
    </row>
    <row r="9517" spans="28:35" ht="15" hidden="1" customHeight="1">
      <c r="AB9517" s="9"/>
      <c r="AC9517" s="9"/>
      <c r="AD9517" s="9"/>
      <c r="AF9517" s="10"/>
      <c r="AG9517" s="10"/>
      <c r="AH9517" s="10"/>
      <c r="AI9517" s="10"/>
    </row>
    <row r="9518" spans="28:35" ht="15" hidden="1" customHeight="1">
      <c r="AB9518" s="9"/>
      <c r="AC9518" s="9"/>
      <c r="AD9518" s="9"/>
      <c r="AF9518" s="10"/>
      <c r="AG9518" s="10"/>
      <c r="AH9518" s="10"/>
      <c r="AI9518" s="10"/>
    </row>
    <row r="9519" spans="28:35" ht="15" hidden="1" customHeight="1">
      <c r="AB9519" s="9"/>
      <c r="AC9519" s="9"/>
      <c r="AD9519" s="9"/>
      <c r="AF9519" s="10"/>
      <c r="AG9519" s="10"/>
      <c r="AH9519" s="10"/>
      <c r="AI9519" s="10"/>
    </row>
    <row r="9520" spans="28:35" ht="15" hidden="1" customHeight="1">
      <c r="AB9520" s="9"/>
      <c r="AC9520" s="9"/>
      <c r="AD9520" s="9"/>
      <c r="AF9520" s="10"/>
      <c r="AG9520" s="10"/>
      <c r="AH9520" s="10"/>
      <c r="AI9520" s="10"/>
    </row>
    <row r="9521" spans="28:35" ht="15" hidden="1" customHeight="1">
      <c r="AB9521" s="9"/>
      <c r="AC9521" s="9"/>
      <c r="AD9521" s="9"/>
      <c r="AF9521" s="10"/>
      <c r="AG9521" s="10"/>
      <c r="AH9521" s="10"/>
      <c r="AI9521" s="10"/>
    </row>
    <row r="9522" spans="28:35" ht="15" hidden="1" customHeight="1">
      <c r="AB9522" s="9"/>
      <c r="AC9522" s="9"/>
      <c r="AD9522" s="9"/>
      <c r="AF9522" s="10"/>
      <c r="AG9522" s="10"/>
      <c r="AH9522" s="10"/>
      <c r="AI9522" s="10"/>
    </row>
    <row r="9523" spans="28:35" ht="15" hidden="1" customHeight="1">
      <c r="AB9523" s="9"/>
      <c r="AC9523" s="9"/>
      <c r="AD9523" s="9"/>
      <c r="AF9523" s="10"/>
      <c r="AG9523" s="10"/>
      <c r="AH9523" s="10"/>
      <c r="AI9523" s="10"/>
    </row>
    <row r="9524" spans="28:35" ht="15" hidden="1" customHeight="1">
      <c r="AB9524" s="9"/>
      <c r="AC9524" s="9"/>
      <c r="AD9524" s="9"/>
      <c r="AF9524" s="10"/>
      <c r="AG9524" s="10"/>
      <c r="AH9524" s="10"/>
      <c r="AI9524" s="10"/>
    </row>
    <row r="9525" spans="28:35" ht="15" hidden="1" customHeight="1">
      <c r="AB9525" s="9"/>
      <c r="AC9525" s="9"/>
      <c r="AD9525" s="9"/>
      <c r="AF9525" s="10"/>
      <c r="AG9525" s="10"/>
      <c r="AH9525" s="10"/>
      <c r="AI9525" s="10"/>
    </row>
    <row r="9526" spans="28:35" ht="15" hidden="1" customHeight="1">
      <c r="AB9526" s="9"/>
      <c r="AC9526" s="9"/>
      <c r="AD9526" s="9"/>
      <c r="AF9526" s="10"/>
      <c r="AG9526" s="10"/>
      <c r="AH9526" s="10"/>
      <c r="AI9526" s="10"/>
    </row>
    <row r="9527" spans="28:35" ht="15" hidden="1" customHeight="1">
      <c r="AB9527" s="9"/>
      <c r="AC9527" s="9"/>
      <c r="AD9527" s="9"/>
      <c r="AF9527" s="10"/>
      <c r="AG9527" s="10"/>
      <c r="AH9527" s="10"/>
      <c r="AI9527" s="10"/>
    </row>
    <row r="9528" spans="28:35" ht="15" hidden="1" customHeight="1">
      <c r="AB9528" s="9"/>
      <c r="AC9528" s="9"/>
      <c r="AD9528" s="9"/>
      <c r="AF9528" s="10"/>
      <c r="AG9528" s="10"/>
      <c r="AH9528" s="10"/>
      <c r="AI9528" s="10"/>
    </row>
    <row r="9529" spans="28:35" ht="15" hidden="1" customHeight="1">
      <c r="AB9529" s="9"/>
      <c r="AC9529" s="9"/>
      <c r="AD9529" s="9"/>
      <c r="AF9529" s="10"/>
      <c r="AG9529" s="10"/>
      <c r="AH9529" s="10"/>
      <c r="AI9529" s="10"/>
    </row>
    <row r="9530" spans="28:35" ht="15" hidden="1" customHeight="1">
      <c r="AB9530" s="9"/>
      <c r="AC9530" s="9"/>
      <c r="AD9530" s="9"/>
      <c r="AF9530" s="10"/>
      <c r="AG9530" s="10"/>
      <c r="AH9530" s="10"/>
      <c r="AI9530" s="10"/>
    </row>
    <row r="9531" spans="28:35" ht="15" hidden="1" customHeight="1">
      <c r="AB9531" s="9"/>
      <c r="AC9531" s="9"/>
      <c r="AD9531" s="9"/>
      <c r="AF9531" s="10"/>
      <c r="AG9531" s="10"/>
      <c r="AH9531" s="10"/>
      <c r="AI9531" s="10"/>
    </row>
    <row r="9532" spans="28:35" ht="15" hidden="1" customHeight="1">
      <c r="AB9532" s="9"/>
      <c r="AC9532" s="9"/>
      <c r="AD9532" s="9"/>
      <c r="AF9532" s="10"/>
      <c r="AG9532" s="10"/>
      <c r="AH9532" s="10"/>
      <c r="AI9532" s="10"/>
    </row>
    <row r="9533" spans="28:35" ht="15" hidden="1" customHeight="1">
      <c r="AB9533" s="9"/>
      <c r="AC9533" s="9"/>
      <c r="AD9533" s="9"/>
      <c r="AF9533" s="10"/>
      <c r="AG9533" s="10"/>
      <c r="AH9533" s="10"/>
      <c r="AI9533" s="10"/>
    </row>
    <row r="9534" spans="28:35" ht="15" hidden="1" customHeight="1">
      <c r="AB9534" s="9"/>
      <c r="AC9534" s="9"/>
      <c r="AD9534" s="9"/>
      <c r="AF9534" s="10"/>
      <c r="AG9534" s="10"/>
      <c r="AH9534" s="10"/>
      <c r="AI9534" s="10"/>
    </row>
    <row r="9535" spans="28:35" ht="15" hidden="1" customHeight="1">
      <c r="AB9535" s="9"/>
      <c r="AC9535" s="9"/>
      <c r="AD9535" s="9"/>
      <c r="AF9535" s="10"/>
      <c r="AG9535" s="10"/>
      <c r="AH9535" s="10"/>
      <c r="AI9535" s="10"/>
    </row>
    <row r="9536" spans="28:35" ht="15" hidden="1" customHeight="1">
      <c r="AB9536" s="9"/>
      <c r="AC9536" s="9"/>
      <c r="AD9536" s="9"/>
      <c r="AF9536" s="10"/>
      <c r="AG9536" s="10"/>
      <c r="AH9536" s="10"/>
      <c r="AI9536" s="10"/>
    </row>
    <row r="9537" spans="28:35" ht="15" hidden="1" customHeight="1">
      <c r="AB9537" s="9"/>
      <c r="AC9537" s="9"/>
      <c r="AD9537" s="9"/>
      <c r="AF9537" s="10"/>
      <c r="AG9537" s="10"/>
      <c r="AH9537" s="10"/>
      <c r="AI9537" s="10"/>
    </row>
    <row r="9538" spans="28:35" ht="15" hidden="1" customHeight="1">
      <c r="AB9538" s="9"/>
      <c r="AC9538" s="9"/>
      <c r="AD9538" s="9"/>
      <c r="AF9538" s="10"/>
      <c r="AG9538" s="10"/>
      <c r="AH9538" s="10"/>
      <c r="AI9538" s="10"/>
    </row>
    <row r="9539" spans="28:35" ht="15" hidden="1" customHeight="1">
      <c r="AB9539" s="9"/>
      <c r="AC9539" s="9"/>
      <c r="AD9539" s="9"/>
      <c r="AF9539" s="10"/>
      <c r="AG9539" s="10"/>
      <c r="AH9539" s="10"/>
      <c r="AI9539" s="10"/>
    </row>
    <row r="9540" spans="28:35" ht="15" hidden="1" customHeight="1">
      <c r="AB9540" s="9"/>
      <c r="AC9540" s="9"/>
      <c r="AD9540" s="9"/>
      <c r="AF9540" s="10"/>
      <c r="AG9540" s="10"/>
      <c r="AH9540" s="10"/>
      <c r="AI9540" s="10"/>
    </row>
    <row r="9541" spans="28:35" ht="15" hidden="1" customHeight="1">
      <c r="AB9541" s="9"/>
      <c r="AC9541" s="9"/>
      <c r="AD9541" s="9"/>
      <c r="AF9541" s="10"/>
      <c r="AG9541" s="10"/>
      <c r="AH9541" s="10"/>
      <c r="AI9541" s="10"/>
    </row>
    <row r="9542" spans="28:35" ht="15" hidden="1" customHeight="1">
      <c r="AB9542" s="9"/>
      <c r="AC9542" s="9"/>
      <c r="AD9542" s="9"/>
      <c r="AF9542" s="10"/>
      <c r="AG9542" s="10"/>
      <c r="AH9542" s="10"/>
      <c r="AI9542" s="10"/>
    </row>
    <row r="9543" spans="28:35" ht="15" hidden="1" customHeight="1">
      <c r="AB9543" s="9"/>
      <c r="AC9543" s="9"/>
      <c r="AD9543" s="9"/>
      <c r="AF9543" s="10"/>
      <c r="AG9543" s="10"/>
      <c r="AH9543" s="10"/>
      <c r="AI9543" s="10"/>
    </row>
    <row r="9544" spans="28:35" ht="15" hidden="1" customHeight="1">
      <c r="AB9544" s="9"/>
      <c r="AC9544" s="9"/>
      <c r="AD9544" s="9"/>
      <c r="AF9544" s="10"/>
      <c r="AG9544" s="10"/>
      <c r="AH9544" s="10"/>
      <c r="AI9544" s="10"/>
    </row>
    <row r="9545" spans="28:35" ht="15" hidden="1" customHeight="1">
      <c r="AB9545" s="9"/>
      <c r="AC9545" s="9"/>
      <c r="AD9545" s="9"/>
      <c r="AF9545" s="10"/>
      <c r="AG9545" s="10"/>
      <c r="AH9545" s="10"/>
      <c r="AI9545" s="10"/>
    </row>
    <row r="9546" spans="28:35" ht="15" hidden="1" customHeight="1">
      <c r="AB9546" s="9"/>
      <c r="AC9546" s="9"/>
      <c r="AD9546" s="9"/>
      <c r="AF9546" s="10"/>
      <c r="AG9546" s="10"/>
      <c r="AH9546" s="10"/>
      <c r="AI9546" s="10"/>
    </row>
    <row r="9547" spans="28:35" ht="15" hidden="1" customHeight="1">
      <c r="AB9547" s="9"/>
      <c r="AC9547" s="9"/>
      <c r="AD9547" s="9"/>
      <c r="AF9547" s="10"/>
      <c r="AG9547" s="10"/>
      <c r="AH9547" s="10"/>
      <c r="AI9547" s="10"/>
    </row>
    <row r="9548" spans="28:35" ht="15" hidden="1" customHeight="1">
      <c r="AB9548" s="9"/>
      <c r="AC9548" s="9"/>
      <c r="AD9548" s="9"/>
      <c r="AF9548" s="10"/>
      <c r="AG9548" s="10"/>
      <c r="AH9548" s="10"/>
      <c r="AI9548" s="10"/>
    </row>
    <row r="9549" spans="28:35" ht="15" hidden="1" customHeight="1">
      <c r="AB9549" s="9"/>
      <c r="AC9549" s="9"/>
      <c r="AD9549" s="9"/>
      <c r="AF9549" s="10"/>
      <c r="AG9549" s="10"/>
      <c r="AH9549" s="10"/>
      <c r="AI9549" s="10"/>
    </row>
    <row r="9550" spans="28:35" ht="15" hidden="1" customHeight="1">
      <c r="AB9550" s="9"/>
      <c r="AC9550" s="9"/>
      <c r="AD9550" s="9"/>
      <c r="AF9550" s="10"/>
      <c r="AG9550" s="10"/>
      <c r="AH9550" s="10"/>
      <c r="AI9550" s="10"/>
    </row>
    <row r="9551" spans="28:35" ht="15" hidden="1" customHeight="1">
      <c r="AB9551" s="9"/>
      <c r="AC9551" s="9"/>
      <c r="AD9551" s="9"/>
      <c r="AF9551" s="10"/>
      <c r="AG9551" s="10"/>
      <c r="AH9551" s="10"/>
      <c r="AI9551" s="10"/>
    </row>
    <row r="9552" spans="28:35" ht="15" hidden="1" customHeight="1">
      <c r="AB9552" s="9"/>
      <c r="AC9552" s="9"/>
      <c r="AD9552" s="9"/>
      <c r="AF9552" s="10"/>
      <c r="AG9552" s="10"/>
      <c r="AH9552" s="10"/>
      <c r="AI9552" s="10"/>
    </row>
    <row r="9553" spans="28:35" ht="15" hidden="1" customHeight="1">
      <c r="AB9553" s="9"/>
      <c r="AC9553" s="9"/>
      <c r="AD9553" s="9"/>
      <c r="AF9553" s="10"/>
      <c r="AG9553" s="10"/>
      <c r="AH9553" s="10"/>
      <c r="AI9553" s="10"/>
    </row>
    <row r="9554" spans="28:35" ht="15" hidden="1" customHeight="1">
      <c r="AB9554" s="9"/>
      <c r="AC9554" s="9"/>
      <c r="AD9554" s="9"/>
      <c r="AF9554" s="10"/>
      <c r="AG9554" s="10"/>
      <c r="AH9554" s="10"/>
      <c r="AI9554" s="10"/>
    </row>
    <row r="9555" spans="28:35" ht="15" hidden="1" customHeight="1">
      <c r="AB9555" s="9"/>
      <c r="AC9555" s="9"/>
      <c r="AD9555" s="9"/>
      <c r="AF9555" s="10"/>
      <c r="AG9555" s="10"/>
      <c r="AH9555" s="10"/>
      <c r="AI9555" s="10"/>
    </row>
    <row r="9556" spans="28:35" ht="15" hidden="1" customHeight="1">
      <c r="AB9556" s="9"/>
      <c r="AC9556" s="9"/>
      <c r="AD9556" s="9"/>
      <c r="AF9556" s="10"/>
      <c r="AG9556" s="10"/>
      <c r="AH9556" s="10"/>
      <c r="AI9556" s="10"/>
    </row>
    <row r="9557" spans="28:35" ht="15" hidden="1" customHeight="1">
      <c r="AB9557" s="9"/>
      <c r="AC9557" s="9"/>
      <c r="AD9557" s="9"/>
      <c r="AF9557" s="10"/>
      <c r="AG9557" s="10"/>
      <c r="AH9557" s="10"/>
      <c r="AI9557" s="10"/>
    </row>
    <row r="9558" spans="28:35" ht="15" hidden="1" customHeight="1">
      <c r="AB9558" s="9"/>
      <c r="AC9558" s="9"/>
      <c r="AD9558" s="9"/>
      <c r="AF9558" s="10"/>
      <c r="AG9558" s="10"/>
      <c r="AH9558" s="10"/>
      <c r="AI9558" s="10"/>
    </row>
    <row r="9559" spans="28:35" ht="15" hidden="1" customHeight="1">
      <c r="AB9559" s="9"/>
      <c r="AC9559" s="9"/>
      <c r="AD9559" s="9"/>
      <c r="AF9559" s="10"/>
      <c r="AG9559" s="10"/>
      <c r="AH9559" s="10"/>
      <c r="AI9559" s="10"/>
    </row>
    <row r="9560" spans="28:35" ht="15" hidden="1" customHeight="1">
      <c r="AB9560" s="9"/>
      <c r="AC9560" s="9"/>
      <c r="AD9560" s="9"/>
      <c r="AF9560" s="10"/>
      <c r="AG9560" s="10"/>
      <c r="AH9560" s="10"/>
      <c r="AI9560" s="10"/>
    </row>
    <row r="9561" spans="28:35" ht="15" hidden="1" customHeight="1">
      <c r="AB9561" s="9"/>
      <c r="AC9561" s="9"/>
      <c r="AD9561" s="9"/>
      <c r="AF9561" s="10"/>
      <c r="AG9561" s="10"/>
      <c r="AH9561" s="10"/>
      <c r="AI9561" s="10"/>
    </row>
    <row r="9562" spans="28:35" ht="15" hidden="1" customHeight="1">
      <c r="AB9562" s="9"/>
      <c r="AC9562" s="9"/>
      <c r="AD9562" s="9"/>
      <c r="AF9562" s="10"/>
      <c r="AG9562" s="10"/>
      <c r="AH9562" s="10"/>
      <c r="AI9562" s="10"/>
    </row>
    <row r="9563" spans="28:35" ht="15" hidden="1" customHeight="1">
      <c r="AB9563" s="9"/>
      <c r="AC9563" s="9"/>
      <c r="AD9563" s="9"/>
      <c r="AF9563" s="10"/>
      <c r="AG9563" s="10"/>
      <c r="AH9563" s="10"/>
      <c r="AI9563" s="10"/>
    </row>
    <row r="9564" spans="28:35" ht="15" hidden="1" customHeight="1">
      <c r="AB9564" s="9"/>
      <c r="AC9564" s="9"/>
      <c r="AD9564" s="9"/>
      <c r="AF9564" s="10"/>
      <c r="AG9564" s="10"/>
      <c r="AH9564" s="10"/>
      <c r="AI9564" s="10"/>
    </row>
    <row r="9565" spans="28:35" ht="15" hidden="1" customHeight="1">
      <c r="AB9565" s="9"/>
      <c r="AC9565" s="9"/>
      <c r="AD9565" s="9"/>
      <c r="AF9565" s="10"/>
      <c r="AG9565" s="10"/>
      <c r="AH9565" s="10"/>
      <c r="AI9565" s="10"/>
    </row>
    <row r="9566" spans="28:35" ht="15" hidden="1" customHeight="1">
      <c r="AB9566" s="9"/>
      <c r="AC9566" s="9"/>
      <c r="AD9566" s="9"/>
      <c r="AF9566" s="10"/>
      <c r="AG9566" s="10"/>
      <c r="AH9566" s="10"/>
      <c r="AI9566" s="10"/>
    </row>
    <row r="9567" spans="28:35" ht="15" hidden="1" customHeight="1">
      <c r="AB9567" s="9"/>
      <c r="AC9567" s="9"/>
      <c r="AD9567" s="9"/>
      <c r="AF9567" s="10"/>
      <c r="AG9567" s="10"/>
      <c r="AH9567" s="10"/>
      <c r="AI9567" s="10"/>
    </row>
    <row r="9568" spans="28:35" ht="15" hidden="1" customHeight="1">
      <c r="AB9568" s="9"/>
      <c r="AC9568" s="9"/>
      <c r="AD9568" s="9"/>
      <c r="AF9568" s="10"/>
      <c r="AG9568" s="10"/>
      <c r="AH9568" s="10"/>
      <c r="AI9568" s="10"/>
    </row>
    <row r="9569" spans="28:35" ht="15" hidden="1" customHeight="1">
      <c r="AB9569" s="9"/>
      <c r="AC9569" s="9"/>
      <c r="AD9569" s="9"/>
      <c r="AF9569" s="10"/>
      <c r="AG9569" s="10"/>
      <c r="AH9569" s="10"/>
      <c r="AI9569" s="10"/>
    </row>
    <row r="9570" spans="28:35" ht="15" hidden="1" customHeight="1">
      <c r="AB9570" s="9"/>
      <c r="AC9570" s="9"/>
      <c r="AD9570" s="9"/>
      <c r="AF9570" s="10"/>
      <c r="AG9570" s="10"/>
      <c r="AH9570" s="10"/>
      <c r="AI9570" s="10"/>
    </row>
    <row r="9571" spans="28:35" ht="15" hidden="1" customHeight="1">
      <c r="AB9571" s="9"/>
      <c r="AC9571" s="9"/>
      <c r="AD9571" s="9"/>
      <c r="AF9571" s="10"/>
      <c r="AG9571" s="10"/>
      <c r="AH9571" s="10"/>
      <c r="AI9571" s="10"/>
    </row>
    <row r="9572" spans="28:35" ht="15" hidden="1" customHeight="1">
      <c r="AB9572" s="9"/>
      <c r="AC9572" s="9"/>
      <c r="AD9572" s="9"/>
      <c r="AF9572" s="10"/>
      <c r="AG9572" s="10"/>
      <c r="AH9572" s="10"/>
      <c r="AI9572" s="10"/>
    </row>
    <row r="9573" spans="28:35" ht="15" hidden="1" customHeight="1">
      <c r="AB9573" s="9"/>
      <c r="AC9573" s="9"/>
      <c r="AD9573" s="9"/>
      <c r="AF9573" s="10"/>
      <c r="AG9573" s="10"/>
      <c r="AH9573" s="10"/>
      <c r="AI9573" s="10"/>
    </row>
    <row r="9574" spans="28:35" ht="15" hidden="1" customHeight="1">
      <c r="AB9574" s="9"/>
      <c r="AC9574" s="9"/>
      <c r="AD9574" s="9"/>
      <c r="AF9574" s="10"/>
      <c r="AG9574" s="10"/>
      <c r="AH9574" s="10"/>
      <c r="AI9574" s="10"/>
    </row>
    <row r="9575" spans="28:35" ht="15" hidden="1" customHeight="1">
      <c r="AB9575" s="9"/>
      <c r="AC9575" s="9"/>
      <c r="AD9575" s="9"/>
      <c r="AF9575" s="10"/>
      <c r="AG9575" s="10"/>
      <c r="AH9575" s="10"/>
      <c r="AI9575" s="10"/>
    </row>
    <row r="9576" spans="28:35" ht="15" hidden="1" customHeight="1">
      <c r="AB9576" s="9"/>
      <c r="AC9576" s="9"/>
      <c r="AD9576" s="9"/>
      <c r="AF9576" s="10"/>
      <c r="AG9576" s="10"/>
      <c r="AH9576" s="10"/>
      <c r="AI9576" s="10"/>
    </row>
    <row r="9577" spans="28:35" ht="15" hidden="1" customHeight="1">
      <c r="AB9577" s="9"/>
      <c r="AC9577" s="9"/>
      <c r="AD9577" s="9"/>
      <c r="AF9577" s="10"/>
      <c r="AG9577" s="10"/>
      <c r="AH9577" s="10"/>
      <c r="AI9577" s="10"/>
    </row>
    <row r="9578" spans="28:35" ht="15" hidden="1" customHeight="1">
      <c r="AB9578" s="9"/>
      <c r="AC9578" s="9"/>
      <c r="AD9578" s="9"/>
      <c r="AF9578" s="10"/>
      <c r="AG9578" s="10"/>
      <c r="AH9578" s="10"/>
      <c r="AI9578" s="10"/>
    </row>
    <row r="9579" spans="28:35" ht="15" hidden="1" customHeight="1">
      <c r="AB9579" s="9"/>
      <c r="AC9579" s="9"/>
      <c r="AD9579" s="9"/>
      <c r="AF9579" s="10"/>
      <c r="AG9579" s="10"/>
      <c r="AH9579" s="10"/>
      <c r="AI9579" s="10"/>
    </row>
    <row r="9580" spans="28:35" ht="15" hidden="1" customHeight="1">
      <c r="AB9580" s="9"/>
      <c r="AC9580" s="9"/>
      <c r="AD9580" s="9"/>
      <c r="AF9580" s="10"/>
      <c r="AG9580" s="10"/>
      <c r="AH9580" s="10"/>
      <c r="AI9580" s="10"/>
    </row>
    <row r="9581" spans="28:35" ht="15" hidden="1" customHeight="1">
      <c r="AB9581" s="9"/>
      <c r="AC9581" s="9"/>
      <c r="AD9581" s="9"/>
      <c r="AF9581" s="10"/>
      <c r="AG9581" s="10"/>
      <c r="AH9581" s="10"/>
      <c r="AI9581" s="10"/>
    </row>
    <row r="9582" spans="28:35" ht="15" hidden="1" customHeight="1">
      <c r="AB9582" s="9"/>
      <c r="AC9582" s="9"/>
      <c r="AD9582" s="9"/>
      <c r="AF9582" s="10"/>
      <c r="AG9582" s="10"/>
      <c r="AH9582" s="10"/>
      <c r="AI9582" s="10"/>
    </row>
    <row r="9583" spans="28:35" ht="15" hidden="1" customHeight="1">
      <c r="AB9583" s="9"/>
      <c r="AC9583" s="9"/>
      <c r="AD9583" s="9"/>
      <c r="AF9583" s="10"/>
      <c r="AG9583" s="10"/>
      <c r="AH9583" s="10"/>
      <c r="AI9583" s="10"/>
    </row>
    <row r="9584" spans="28:35" ht="15" hidden="1" customHeight="1">
      <c r="AB9584" s="9"/>
      <c r="AC9584" s="9"/>
      <c r="AD9584" s="9"/>
      <c r="AF9584" s="10"/>
      <c r="AG9584" s="10"/>
      <c r="AH9584" s="10"/>
      <c r="AI9584" s="10"/>
    </row>
    <row r="9585" spans="28:35" ht="15" hidden="1" customHeight="1">
      <c r="AB9585" s="9"/>
      <c r="AC9585" s="9"/>
      <c r="AD9585" s="9"/>
      <c r="AF9585" s="10"/>
      <c r="AG9585" s="10"/>
      <c r="AH9585" s="10"/>
      <c r="AI9585" s="10"/>
    </row>
    <row r="9586" spans="28:35" ht="15" hidden="1" customHeight="1">
      <c r="AB9586" s="9"/>
      <c r="AC9586" s="9"/>
      <c r="AD9586" s="9"/>
      <c r="AF9586" s="10"/>
      <c r="AG9586" s="10"/>
      <c r="AH9586" s="10"/>
      <c r="AI9586" s="10"/>
    </row>
    <row r="9587" spans="28:35" ht="15" hidden="1" customHeight="1">
      <c r="AB9587" s="9"/>
      <c r="AC9587" s="9"/>
      <c r="AD9587" s="9"/>
      <c r="AF9587" s="10"/>
      <c r="AG9587" s="10"/>
      <c r="AH9587" s="10"/>
      <c r="AI9587" s="10"/>
    </row>
    <row r="9588" spans="28:35" ht="15" hidden="1" customHeight="1">
      <c r="AB9588" s="9"/>
      <c r="AC9588" s="9"/>
      <c r="AD9588" s="9"/>
      <c r="AF9588" s="10"/>
      <c r="AG9588" s="10"/>
      <c r="AH9588" s="10"/>
      <c r="AI9588" s="10"/>
    </row>
    <row r="9589" spans="28:35" ht="15" hidden="1" customHeight="1">
      <c r="AB9589" s="9"/>
      <c r="AC9589" s="9"/>
      <c r="AD9589" s="9"/>
      <c r="AF9589" s="10"/>
      <c r="AG9589" s="10"/>
      <c r="AH9589" s="10"/>
      <c r="AI9589" s="10"/>
    </row>
    <row r="9590" spans="28:35" ht="15" hidden="1" customHeight="1">
      <c r="AB9590" s="9"/>
      <c r="AC9590" s="9"/>
      <c r="AD9590" s="9"/>
      <c r="AF9590" s="10"/>
      <c r="AG9590" s="10"/>
      <c r="AH9590" s="10"/>
      <c r="AI9590" s="10"/>
    </row>
    <row r="9591" spans="28:35" ht="15" hidden="1" customHeight="1">
      <c r="AB9591" s="9"/>
      <c r="AC9591" s="9"/>
      <c r="AD9591" s="9"/>
      <c r="AF9591" s="10"/>
      <c r="AG9591" s="10"/>
      <c r="AH9591" s="10"/>
      <c r="AI9591" s="10"/>
    </row>
    <row r="9592" spans="28:35" ht="15" hidden="1" customHeight="1">
      <c r="AB9592" s="9"/>
      <c r="AC9592" s="9"/>
      <c r="AD9592" s="9"/>
      <c r="AF9592" s="10"/>
      <c r="AG9592" s="10"/>
      <c r="AH9592" s="10"/>
      <c r="AI9592" s="10"/>
    </row>
    <row r="9593" spans="28:35" ht="15" hidden="1" customHeight="1">
      <c r="AB9593" s="9"/>
      <c r="AC9593" s="9"/>
      <c r="AD9593" s="9"/>
      <c r="AF9593" s="10"/>
      <c r="AG9593" s="10"/>
      <c r="AH9593" s="10"/>
      <c r="AI9593" s="10"/>
    </row>
    <row r="9594" spans="28:35" ht="15" hidden="1" customHeight="1">
      <c r="AB9594" s="9"/>
      <c r="AC9594" s="9"/>
      <c r="AD9594" s="9"/>
      <c r="AF9594" s="10"/>
      <c r="AG9594" s="10"/>
      <c r="AH9594" s="10"/>
      <c r="AI9594" s="10"/>
    </row>
    <row r="9595" spans="28:35" ht="15" hidden="1" customHeight="1">
      <c r="AB9595" s="9"/>
      <c r="AC9595" s="9"/>
      <c r="AD9595" s="9"/>
      <c r="AF9595" s="10"/>
      <c r="AG9595" s="10"/>
      <c r="AH9595" s="10"/>
      <c r="AI9595" s="10"/>
    </row>
    <row r="9596" spans="28:35" ht="15" hidden="1" customHeight="1">
      <c r="AB9596" s="9"/>
      <c r="AC9596" s="9"/>
      <c r="AD9596" s="9"/>
      <c r="AF9596" s="10"/>
      <c r="AG9596" s="10"/>
      <c r="AH9596" s="10"/>
      <c r="AI9596" s="10"/>
    </row>
    <row r="9597" spans="28:35" ht="15" hidden="1" customHeight="1">
      <c r="AB9597" s="9"/>
      <c r="AC9597" s="9"/>
      <c r="AD9597" s="9"/>
      <c r="AF9597" s="10"/>
      <c r="AG9597" s="10"/>
      <c r="AH9597" s="10"/>
      <c r="AI9597" s="10"/>
    </row>
    <row r="9598" spans="28:35" ht="15" hidden="1" customHeight="1">
      <c r="AB9598" s="9"/>
      <c r="AC9598" s="9"/>
      <c r="AD9598" s="9"/>
      <c r="AF9598" s="10"/>
      <c r="AG9598" s="10"/>
      <c r="AH9598" s="10"/>
      <c r="AI9598" s="10"/>
    </row>
    <row r="9599" spans="28:35" ht="15" hidden="1" customHeight="1">
      <c r="AB9599" s="9"/>
      <c r="AC9599" s="9"/>
      <c r="AD9599" s="9"/>
      <c r="AF9599" s="10"/>
      <c r="AG9599" s="10"/>
      <c r="AH9599" s="10"/>
      <c r="AI9599" s="10"/>
    </row>
    <row r="9600" spans="28:35" ht="15" hidden="1" customHeight="1">
      <c r="AB9600" s="9"/>
      <c r="AC9600" s="9"/>
      <c r="AD9600" s="9"/>
      <c r="AF9600" s="10"/>
      <c r="AG9600" s="10"/>
      <c r="AH9600" s="10"/>
      <c r="AI9600" s="10"/>
    </row>
    <row r="9601" spans="28:35" ht="15" hidden="1" customHeight="1">
      <c r="AB9601" s="9"/>
      <c r="AC9601" s="9"/>
      <c r="AD9601" s="9"/>
      <c r="AF9601" s="10"/>
      <c r="AG9601" s="10"/>
      <c r="AH9601" s="10"/>
      <c r="AI9601" s="10"/>
    </row>
    <row r="9602" spans="28:35" ht="15" hidden="1" customHeight="1">
      <c r="AB9602" s="9"/>
      <c r="AC9602" s="9"/>
      <c r="AD9602" s="9"/>
      <c r="AF9602" s="10"/>
      <c r="AG9602" s="10"/>
      <c r="AH9602" s="10"/>
      <c r="AI9602" s="10"/>
    </row>
    <row r="9603" spans="28:35" ht="15" hidden="1" customHeight="1">
      <c r="AB9603" s="9"/>
      <c r="AC9603" s="9"/>
      <c r="AD9603" s="9"/>
      <c r="AF9603" s="10"/>
      <c r="AG9603" s="10"/>
      <c r="AH9603" s="10"/>
      <c r="AI9603" s="10"/>
    </row>
    <row r="9604" spans="28:35" ht="15" hidden="1" customHeight="1">
      <c r="AB9604" s="9"/>
      <c r="AC9604" s="9"/>
      <c r="AD9604" s="9"/>
      <c r="AF9604" s="10"/>
      <c r="AG9604" s="10"/>
      <c r="AH9604" s="10"/>
      <c r="AI9604" s="10"/>
    </row>
    <row r="9605" spans="28:35" ht="15" hidden="1" customHeight="1">
      <c r="AB9605" s="9"/>
      <c r="AC9605" s="9"/>
      <c r="AD9605" s="9"/>
      <c r="AF9605" s="10"/>
      <c r="AG9605" s="10"/>
      <c r="AH9605" s="10"/>
      <c r="AI9605" s="10"/>
    </row>
    <row r="9606" spans="28:35" ht="15" hidden="1" customHeight="1">
      <c r="AB9606" s="9"/>
      <c r="AC9606" s="9"/>
      <c r="AD9606" s="9"/>
      <c r="AF9606" s="10"/>
      <c r="AG9606" s="10"/>
      <c r="AH9606" s="10"/>
      <c r="AI9606" s="10"/>
    </row>
    <row r="9607" spans="28:35" ht="15" hidden="1" customHeight="1">
      <c r="AB9607" s="9"/>
      <c r="AC9607" s="9"/>
      <c r="AD9607" s="9"/>
      <c r="AF9607" s="10"/>
      <c r="AG9607" s="10"/>
      <c r="AH9607" s="10"/>
      <c r="AI9607" s="10"/>
    </row>
    <row r="9608" spans="28:35" ht="15" hidden="1" customHeight="1">
      <c r="AB9608" s="9"/>
      <c r="AC9608" s="9"/>
      <c r="AD9608" s="9"/>
      <c r="AF9608" s="10"/>
      <c r="AG9608" s="10"/>
      <c r="AH9608" s="10"/>
      <c r="AI9608" s="10"/>
    </row>
    <row r="9609" spans="28:35" ht="15" hidden="1" customHeight="1">
      <c r="AB9609" s="9"/>
      <c r="AC9609" s="9"/>
      <c r="AD9609" s="9"/>
      <c r="AF9609" s="10"/>
      <c r="AG9609" s="10"/>
      <c r="AH9609" s="10"/>
      <c r="AI9609" s="10"/>
    </row>
    <row r="9610" spans="28:35" ht="15" hidden="1" customHeight="1">
      <c r="AB9610" s="9"/>
      <c r="AC9610" s="9"/>
      <c r="AD9610" s="9"/>
      <c r="AF9610" s="10"/>
      <c r="AG9610" s="10"/>
      <c r="AH9610" s="10"/>
      <c r="AI9610" s="10"/>
    </row>
    <row r="9611" spans="28:35" ht="15" hidden="1" customHeight="1">
      <c r="AB9611" s="9"/>
      <c r="AC9611" s="9"/>
      <c r="AD9611" s="9"/>
      <c r="AF9611" s="10"/>
      <c r="AG9611" s="10"/>
      <c r="AH9611" s="10"/>
      <c r="AI9611" s="10"/>
    </row>
    <row r="9612" spans="28:35" ht="15" hidden="1" customHeight="1">
      <c r="AB9612" s="9"/>
      <c r="AC9612" s="9"/>
      <c r="AD9612" s="9"/>
      <c r="AF9612" s="10"/>
      <c r="AG9612" s="10"/>
      <c r="AH9612" s="10"/>
      <c r="AI9612" s="10"/>
    </row>
    <row r="9613" spans="28:35" ht="15" hidden="1" customHeight="1">
      <c r="AB9613" s="9"/>
      <c r="AC9613" s="9"/>
      <c r="AD9613" s="9"/>
      <c r="AF9613" s="10"/>
      <c r="AG9613" s="10"/>
      <c r="AH9613" s="10"/>
      <c r="AI9613" s="10"/>
    </row>
    <row r="9614" spans="28:35" ht="15" hidden="1" customHeight="1">
      <c r="AB9614" s="9"/>
      <c r="AC9614" s="9"/>
      <c r="AD9614" s="9"/>
      <c r="AF9614" s="10"/>
      <c r="AG9614" s="10"/>
      <c r="AH9614" s="10"/>
      <c r="AI9614" s="10"/>
    </row>
    <row r="9615" spans="28:35" ht="15" hidden="1" customHeight="1">
      <c r="AB9615" s="9"/>
      <c r="AC9615" s="9"/>
      <c r="AD9615" s="9"/>
      <c r="AF9615" s="10"/>
      <c r="AG9615" s="10"/>
      <c r="AH9615" s="10"/>
      <c r="AI9615" s="10"/>
    </row>
    <row r="9616" spans="28:35" ht="15" hidden="1" customHeight="1">
      <c r="AB9616" s="9"/>
      <c r="AC9616" s="9"/>
      <c r="AD9616" s="9"/>
      <c r="AF9616" s="10"/>
      <c r="AG9616" s="10"/>
      <c r="AH9616" s="10"/>
      <c r="AI9616" s="10"/>
    </row>
    <row r="9617" spans="28:35" ht="15" hidden="1" customHeight="1">
      <c r="AB9617" s="9"/>
      <c r="AC9617" s="9"/>
      <c r="AD9617" s="9"/>
      <c r="AF9617" s="10"/>
      <c r="AG9617" s="10"/>
      <c r="AH9617" s="10"/>
      <c r="AI9617" s="10"/>
    </row>
    <row r="9618" spans="28:35" ht="15" hidden="1" customHeight="1">
      <c r="AB9618" s="9"/>
      <c r="AC9618" s="9"/>
      <c r="AD9618" s="9"/>
      <c r="AF9618" s="10"/>
      <c r="AG9618" s="10"/>
      <c r="AH9618" s="10"/>
      <c r="AI9618" s="10"/>
    </row>
    <row r="9619" spans="28:35" ht="15" hidden="1" customHeight="1">
      <c r="AB9619" s="9"/>
      <c r="AC9619" s="9"/>
      <c r="AD9619" s="9"/>
      <c r="AF9619" s="10"/>
      <c r="AG9619" s="10"/>
      <c r="AH9619" s="10"/>
      <c r="AI9619" s="10"/>
    </row>
    <row r="9620" spans="28:35" ht="15" hidden="1" customHeight="1">
      <c r="AB9620" s="9"/>
      <c r="AC9620" s="9"/>
      <c r="AD9620" s="9"/>
      <c r="AF9620" s="10"/>
      <c r="AG9620" s="10"/>
      <c r="AH9620" s="10"/>
      <c r="AI9620" s="10"/>
    </row>
    <row r="9621" spans="28:35" ht="15" hidden="1" customHeight="1">
      <c r="AB9621" s="9"/>
      <c r="AC9621" s="9"/>
      <c r="AD9621" s="9"/>
      <c r="AF9621" s="10"/>
      <c r="AG9621" s="10"/>
      <c r="AH9621" s="10"/>
      <c r="AI9621" s="10"/>
    </row>
    <row r="9622" spans="28:35" ht="15" hidden="1" customHeight="1">
      <c r="AB9622" s="9"/>
      <c r="AC9622" s="9"/>
      <c r="AD9622" s="9"/>
      <c r="AF9622" s="10"/>
      <c r="AG9622" s="10"/>
      <c r="AH9622" s="10"/>
      <c r="AI9622" s="10"/>
    </row>
    <row r="9623" spans="28:35" ht="15" hidden="1" customHeight="1">
      <c r="AB9623" s="9"/>
      <c r="AC9623" s="9"/>
      <c r="AD9623" s="9"/>
      <c r="AF9623" s="10"/>
      <c r="AG9623" s="10"/>
      <c r="AH9623" s="10"/>
      <c r="AI9623" s="10"/>
    </row>
    <row r="9624" spans="28:35" ht="15" hidden="1" customHeight="1">
      <c r="AB9624" s="9"/>
      <c r="AC9624" s="9"/>
      <c r="AD9624" s="9"/>
      <c r="AF9624" s="10"/>
      <c r="AG9624" s="10"/>
      <c r="AH9624" s="10"/>
      <c r="AI9624" s="10"/>
    </row>
    <row r="9625" spans="28:35" ht="15" hidden="1" customHeight="1">
      <c r="AB9625" s="9"/>
      <c r="AC9625" s="9"/>
      <c r="AD9625" s="9"/>
      <c r="AF9625" s="10"/>
      <c r="AG9625" s="10"/>
      <c r="AH9625" s="10"/>
      <c r="AI9625" s="10"/>
    </row>
    <row r="9626" spans="28:35" ht="15" hidden="1" customHeight="1">
      <c r="AB9626" s="9"/>
      <c r="AC9626" s="9"/>
      <c r="AD9626" s="9"/>
      <c r="AF9626" s="10"/>
      <c r="AG9626" s="10"/>
      <c r="AH9626" s="10"/>
      <c r="AI9626" s="10"/>
    </row>
    <row r="9627" spans="28:35" ht="15" hidden="1" customHeight="1">
      <c r="AB9627" s="9"/>
      <c r="AC9627" s="9"/>
      <c r="AD9627" s="9"/>
      <c r="AF9627" s="10"/>
      <c r="AG9627" s="10"/>
      <c r="AH9627" s="10"/>
      <c r="AI9627" s="10"/>
    </row>
    <row r="9628" spans="28:35" ht="15" hidden="1" customHeight="1">
      <c r="AB9628" s="9"/>
      <c r="AC9628" s="9"/>
      <c r="AD9628" s="9"/>
      <c r="AF9628" s="10"/>
      <c r="AG9628" s="10"/>
      <c r="AH9628" s="10"/>
      <c r="AI9628" s="10"/>
    </row>
    <row r="9629" spans="28:35" ht="15" hidden="1" customHeight="1">
      <c r="AB9629" s="9"/>
      <c r="AC9629" s="9"/>
      <c r="AD9629" s="9"/>
      <c r="AF9629" s="10"/>
      <c r="AG9629" s="10"/>
      <c r="AH9629" s="10"/>
      <c r="AI9629" s="10"/>
    </row>
    <row r="9630" spans="28:35" ht="15" hidden="1" customHeight="1">
      <c r="AB9630" s="9"/>
      <c r="AC9630" s="9"/>
      <c r="AD9630" s="9"/>
      <c r="AF9630" s="10"/>
      <c r="AG9630" s="10"/>
      <c r="AH9630" s="10"/>
      <c r="AI9630" s="10"/>
    </row>
    <row r="9631" spans="28:35" ht="15" hidden="1" customHeight="1">
      <c r="AB9631" s="9"/>
      <c r="AC9631" s="9"/>
      <c r="AD9631" s="9"/>
      <c r="AF9631" s="10"/>
      <c r="AG9631" s="10"/>
      <c r="AH9631" s="10"/>
      <c r="AI9631" s="10"/>
    </row>
    <row r="9632" spans="28:35" ht="15" hidden="1" customHeight="1">
      <c r="AB9632" s="9"/>
      <c r="AC9632" s="9"/>
      <c r="AD9632" s="9"/>
      <c r="AF9632" s="10"/>
      <c r="AG9632" s="10"/>
      <c r="AH9632" s="10"/>
      <c r="AI9632" s="10"/>
    </row>
    <row r="9633" spans="28:35" ht="15" hidden="1" customHeight="1">
      <c r="AB9633" s="9"/>
      <c r="AC9633" s="9"/>
      <c r="AD9633" s="9"/>
      <c r="AF9633" s="10"/>
      <c r="AG9633" s="10"/>
      <c r="AH9633" s="10"/>
      <c r="AI9633" s="10"/>
    </row>
    <row r="9634" spans="28:35" ht="15" hidden="1" customHeight="1">
      <c r="AB9634" s="9"/>
      <c r="AC9634" s="9"/>
      <c r="AD9634" s="9"/>
      <c r="AF9634" s="10"/>
      <c r="AG9634" s="10"/>
      <c r="AH9634" s="10"/>
      <c r="AI9634" s="10"/>
    </row>
    <row r="9635" spans="28:35" ht="15" hidden="1" customHeight="1">
      <c r="AB9635" s="9"/>
      <c r="AC9635" s="9"/>
      <c r="AD9635" s="9"/>
      <c r="AF9635" s="10"/>
      <c r="AG9635" s="10"/>
      <c r="AH9635" s="10"/>
      <c r="AI9635" s="10"/>
    </row>
    <row r="9636" spans="28:35" ht="15" hidden="1" customHeight="1">
      <c r="AB9636" s="9"/>
      <c r="AC9636" s="9"/>
      <c r="AD9636" s="9"/>
      <c r="AF9636" s="10"/>
      <c r="AG9636" s="10"/>
      <c r="AH9636" s="10"/>
      <c r="AI9636" s="10"/>
    </row>
    <row r="9637" spans="28:35" ht="15" hidden="1" customHeight="1">
      <c r="AB9637" s="9"/>
      <c r="AC9637" s="9"/>
      <c r="AD9637" s="9"/>
      <c r="AF9637" s="10"/>
      <c r="AG9637" s="10"/>
      <c r="AH9637" s="10"/>
      <c r="AI9637" s="10"/>
    </row>
    <row r="9638" spans="28:35" ht="15" hidden="1" customHeight="1">
      <c r="AB9638" s="9"/>
      <c r="AC9638" s="9"/>
      <c r="AD9638" s="9"/>
      <c r="AF9638" s="10"/>
      <c r="AG9638" s="10"/>
      <c r="AH9638" s="10"/>
      <c r="AI9638" s="10"/>
    </row>
    <row r="9639" spans="28:35" ht="15" hidden="1" customHeight="1">
      <c r="AB9639" s="9"/>
      <c r="AC9639" s="9"/>
      <c r="AD9639" s="9"/>
      <c r="AF9639" s="10"/>
      <c r="AG9639" s="10"/>
      <c r="AH9639" s="10"/>
      <c r="AI9639" s="10"/>
    </row>
    <row r="9640" spans="28:35" ht="15" hidden="1" customHeight="1">
      <c r="AB9640" s="9"/>
      <c r="AC9640" s="9"/>
      <c r="AD9640" s="9"/>
      <c r="AF9640" s="10"/>
      <c r="AG9640" s="10"/>
      <c r="AH9640" s="10"/>
      <c r="AI9640" s="10"/>
    </row>
    <row r="9641" spans="28:35" ht="15" hidden="1" customHeight="1">
      <c r="AB9641" s="9"/>
      <c r="AC9641" s="9"/>
      <c r="AD9641" s="9"/>
      <c r="AF9641" s="10"/>
      <c r="AG9641" s="10"/>
      <c r="AH9641" s="10"/>
      <c r="AI9641" s="10"/>
    </row>
    <row r="9642" spans="28:35" ht="15" hidden="1" customHeight="1">
      <c r="AB9642" s="9"/>
      <c r="AC9642" s="9"/>
      <c r="AD9642" s="9"/>
      <c r="AF9642" s="10"/>
      <c r="AG9642" s="10"/>
      <c r="AH9642" s="10"/>
      <c r="AI9642" s="10"/>
    </row>
    <row r="9643" spans="28:35" ht="15" hidden="1" customHeight="1">
      <c r="AB9643" s="9"/>
      <c r="AC9643" s="9"/>
      <c r="AD9643" s="9"/>
      <c r="AF9643" s="10"/>
      <c r="AG9643" s="10"/>
      <c r="AH9643" s="10"/>
      <c r="AI9643" s="10"/>
    </row>
    <row r="9644" spans="28:35" ht="15" hidden="1" customHeight="1">
      <c r="AB9644" s="9"/>
      <c r="AC9644" s="9"/>
      <c r="AD9644" s="9"/>
      <c r="AF9644" s="10"/>
      <c r="AG9644" s="10"/>
      <c r="AH9644" s="10"/>
      <c r="AI9644" s="10"/>
    </row>
    <row r="9645" spans="28:35" ht="15" hidden="1" customHeight="1">
      <c r="AB9645" s="9"/>
      <c r="AC9645" s="9"/>
      <c r="AD9645" s="9"/>
      <c r="AF9645" s="10"/>
      <c r="AG9645" s="10"/>
      <c r="AH9645" s="10"/>
      <c r="AI9645" s="10"/>
    </row>
    <row r="9646" spans="28:35" ht="15" hidden="1" customHeight="1">
      <c r="AB9646" s="9"/>
      <c r="AC9646" s="9"/>
      <c r="AD9646" s="9"/>
      <c r="AF9646" s="10"/>
      <c r="AG9646" s="10"/>
      <c r="AH9646" s="10"/>
      <c r="AI9646" s="10"/>
    </row>
    <row r="9647" spans="28:35" ht="15" hidden="1" customHeight="1">
      <c r="AB9647" s="9"/>
      <c r="AC9647" s="9"/>
      <c r="AD9647" s="9"/>
      <c r="AF9647" s="10"/>
      <c r="AG9647" s="10"/>
      <c r="AH9647" s="10"/>
      <c r="AI9647" s="10"/>
    </row>
    <row r="9648" spans="28:35" ht="15" hidden="1" customHeight="1">
      <c r="AB9648" s="9"/>
      <c r="AC9648" s="9"/>
      <c r="AD9648" s="9"/>
      <c r="AF9648" s="10"/>
      <c r="AG9648" s="10"/>
      <c r="AH9648" s="10"/>
      <c r="AI9648" s="10"/>
    </row>
    <row r="9649" spans="28:35" ht="15" hidden="1" customHeight="1">
      <c r="AB9649" s="9"/>
      <c r="AC9649" s="9"/>
      <c r="AD9649" s="9"/>
      <c r="AF9649" s="10"/>
      <c r="AG9649" s="10"/>
      <c r="AH9649" s="10"/>
      <c r="AI9649" s="10"/>
    </row>
    <row r="9650" spans="28:35" ht="15" hidden="1" customHeight="1">
      <c r="AB9650" s="9"/>
      <c r="AC9650" s="9"/>
      <c r="AD9650" s="9"/>
      <c r="AF9650" s="10"/>
      <c r="AG9650" s="10"/>
      <c r="AH9650" s="10"/>
      <c r="AI9650" s="10"/>
    </row>
    <row r="9651" spans="28:35" ht="15" hidden="1" customHeight="1">
      <c r="AB9651" s="9"/>
      <c r="AC9651" s="9"/>
      <c r="AD9651" s="9"/>
      <c r="AF9651" s="10"/>
      <c r="AG9651" s="10"/>
      <c r="AH9651" s="10"/>
      <c r="AI9651" s="10"/>
    </row>
    <row r="9652" spans="28:35" ht="15" hidden="1" customHeight="1">
      <c r="AB9652" s="9"/>
      <c r="AC9652" s="9"/>
      <c r="AD9652" s="9"/>
      <c r="AF9652" s="10"/>
      <c r="AG9652" s="10"/>
      <c r="AH9652" s="10"/>
      <c r="AI9652" s="10"/>
    </row>
    <row r="9653" spans="28:35" ht="15" hidden="1" customHeight="1">
      <c r="AB9653" s="9"/>
      <c r="AC9653" s="9"/>
      <c r="AD9653" s="9"/>
      <c r="AF9653" s="10"/>
      <c r="AG9653" s="10"/>
      <c r="AH9653" s="10"/>
      <c r="AI9653" s="10"/>
    </row>
    <row r="9654" spans="28:35" ht="15" hidden="1" customHeight="1">
      <c r="AB9654" s="9"/>
      <c r="AC9654" s="9"/>
      <c r="AD9654" s="9"/>
      <c r="AF9654" s="10"/>
      <c r="AG9654" s="10"/>
      <c r="AH9654" s="10"/>
      <c r="AI9654" s="10"/>
    </row>
    <row r="9655" spans="28:35" ht="15" hidden="1" customHeight="1">
      <c r="AB9655" s="9"/>
      <c r="AC9655" s="9"/>
      <c r="AD9655" s="9"/>
      <c r="AF9655" s="10"/>
      <c r="AG9655" s="10"/>
      <c r="AH9655" s="10"/>
      <c r="AI9655" s="10"/>
    </row>
    <row r="9656" spans="28:35" ht="15" hidden="1" customHeight="1">
      <c r="AB9656" s="9"/>
      <c r="AC9656" s="9"/>
      <c r="AD9656" s="9"/>
      <c r="AF9656" s="10"/>
      <c r="AG9656" s="10"/>
      <c r="AH9656" s="10"/>
      <c r="AI9656" s="10"/>
    </row>
    <row r="9657" spans="28:35" ht="15" hidden="1" customHeight="1">
      <c r="AB9657" s="9"/>
      <c r="AC9657" s="9"/>
      <c r="AD9657" s="9"/>
      <c r="AF9657" s="10"/>
      <c r="AG9657" s="10"/>
      <c r="AH9657" s="10"/>
      <c r="AI9657" s="10"/>
    </row>
    <row r="9658" spans="28:35" ht="15" hidden="1" customHeight="1">
      <c r="AB9658" s="9"/>
      <c r="AC9658" s="9"/>
      <c r="AD9658" s="9"/>
      <c r="AF9658" s="10"/>
      <c r="AG9658" s="10"/>
      <c r="AH9658" s="10"/>
      <c r="AI9658" s="10"/>
    </row>
    <row r="9659" spans="28:35" ht="15" hidden="1" customHeight="1">
      <c r="AB9659" s="9"/>
      <c r="AC9659" s="9"/>
      <c r="AD9659" s="9"/>
      <c r="AF9659" s="10"/>
      <c r="AG9659" s="10"/>
      <c r="AH9659" s="10"/>
      <c r="AI9659" s="10"/>
    </row>
    <row r="9660" spans="28:35" ht="15" hidden="1" customHeight="1">
      <c r="AB9660" s="9"/>
      <c r="AC9660" s="9"/>
      <c r="AD9660" s="9"/>
      <c r="AF9660" s="10"/>
      <c r="AG9660" s="10"/>
      <c r="AH9660" s="10"/>
      <c r="AI9660" s="10"/>
    </row>
    <row r="9661" spans="28:35" ht="15" hidden="1" customHeight="1">
      <c r="AB9661" s="9"/>
      <c r="AC9661" s="9"/>
      <c r="AD9661" s="9"/>
      <c r="AF9661" s="10"/>
      <c r="AG9661" s="10"/>
      <c r="AH9661" s="10"/>
      <c r="AI9661" s="10"/>
    </row>
    <row r="9662" spans="28:35" ht="15" hidden="1" customHeight="1">
      <c r="AB9662" s="9"/>
      <c r="AC9662" s="9"/>
      <c r="AD9662" s="9"/>
      <c r="AF9662" s="10"/>
      <c r="AG9662" s="10"/>
      <c r="AH9662" s="10"/>
      <c r="AI9662" s="10"/>
    </row>
    <row r="9663" spans="28:35" ht="15" hidden="1" customHeight="1">
      <c r="AB9663" s="9"/>
      <c r="AC9663" s="9"/>
      <c r="AD9663" s="9"/>
      <c r="AF9663" s="10"/>
      <c r="AG9663" s="10"/>
      <c r="AH9663" s="10"/>
      <c r="AI9663" s="10"/>
    </row>
    <row r="9664" spans="28:35" ht="15" hidden="1" customHeight="1">
      <c r="AB9664" s="9"/>
      <c r="AC9664" s="9"/>
      <c r="AD9664" s="9"/>
      <c r="AF9664" s="10"/>
      <c r="AG9664" s="10"/>
      <c r="AH9664" s="10"/>
      <c r="AI9664" s="10"/>
    </row>
    <row r="9665" spans="28:35" ht="15" hidden="1" customHeight="1">
      <c r="AB9665" s="9"/>
      <c r="AC9665" s="9"/>
      <c r="AD9665" s="9"/>
      <c r="AF9665" s="10"/>
      <c r="AG9665" s="10"/>
      <c r="AH9665" s="10"/>
      <c r="AI9665" s="10"/>
    </row>
    <row r="9666" spans="28:35" ht="15" hidden="1" customHeight="1">
      <c r="AB9666" s="9"/>
      <c r="AC9666" s="9"/>
      <c r="AD9666" s="9"/>
      <c r="AF9666" s="10"/>
      <c r="AG9666" s="10"/>
      <c r="AH9666" s="10"/>
      <c r="AI9666" s="10"/>
    </row>
    <row r="9667" spans="28:35" ht="15" hidden="1" customHeight="1">
      <c r="AB9667" s="9"/>
      <c r="AC9667" s="9"/>
      <c r="AD9667" s="9"/>
      <c r="AF9667" s="10"/>
      <c r="AG9667" s="10"/>
      <c r="AH9667" s="10"/>
      <c r="AI9667" s="10"/>
    </row>
    <row r="9668" spans="28:35" ht="15" hidden="1" customHeight="1">
      <c r="AB9668" s="9"/>
      <c r="AC9668" s="9"/>
      <c r="AD9668" s="9"/>
      <c r="AF9668" s="10"/>
      <c r="AG9668" s="10"/>
      <c r="AH9668" s="10"/>
      <c r="AI9668" s="10"/>
    </row>
    <row r="9669" spans="28:35" ht="15" hidden="1" customHeight="1">
      <c r="AB9669" s="9"/>
      <c r="AC9669" s="9"/>
      <c r="AD9669" s="9"/>
      <c r="AF9669" s="10"/>
      <c r="AG9669" s="10"/>
      <c r="AH9669" s="10"/>
      <c r="AI9669" s="10"/>
    </row>
    <row r="9670" spans="28:35" ht="15" hidden="1" customHeight="1">
      <c r="AB9670" s="9"/>
      <c r="AC9670" s="9"/>
      <c r="AD9670" s="9"/>
      <c r="AF9670" s="10"/>
      <c r="AG9670" s="10"/>
      <c r="AH9670" s="10"/>
      <c r="AI9670" s="10"/>
    </row>
    <row r="9671" spans="28:35" ht="15" hidden="1" customHeight="1">
      <c r="AB9671" s="9"/>
      <c r="AC9671" s="9"/>
      <c r="AD9671" s="9"/>
      <c r="AF9671" s="10"/>
      <c r="AG9671" s="10"/>
      <c r="AH9671" s="10"/>
      <c r="AI9671" s="10"/>
    </row>
    <row r="9672" spans="28:35" ht="15" hidden="1" customHeight="1">
      <c r="AB9672" s="9"/>
      <c r="AC9672" s="9"/>
      <c r="AD9672" s="9"/>
      <c r="AF9672" s="10"/>
      <c r="AG9672" s="10"/>
      <c r="AH9672" s="10"/>
      <c r="AI9672" s="10"/>
    </row>
    <row r="9673" spans="28:35" ht="15" hidden="1" customHeight="1">
      <c r="AB9673" s="9"/>
      <c r="AC9673" s="9"/>
      <c r="AD9673" s="9"/>
      <c r="AF9673" s="10"/>
      <c r="AG9673" s="10"/>
      <c r="AH9673" s="10"/>
      <c r="AI9673" s="10"/>
    </row>
    <row r="9674" spans="28:35" ht="15" hidden="1" customHeight="1">
      <c r="AB9674" s="9"/>
      <c r="AC9674" s="9"/>
      <c r="AD9674" s="9"/>
      <c r="AF9674" s="10"/>
      <c r="AG9674" s="10"/>
      <c r="AH9674" s="10"/>
      <c r="AI9674" s="10"/>
    </row>
    <row r="9675" spans="28:35" ht="15" hidden="1" customHeight="1">
      <c r="AB9675" s="9"/>
      <c r="AC9675" s="9"/>
      <c r="AD9675" s="9"/>
      <c r="AF9675" s="10"/>
      <c r="AG9675" s="10"/>
      <c r="AH9675" s="10"/>
      <c r="AI9675" s="10"/>
    </row>
    <row r="9676" spans="28:35" ht="15" hidden="1" customHeight="1">
      <c r="AB9676" s="9"/>
      <c r="AC9676" s="9"/>
      <c r="AD9676" s="9"/>
      <c r="AF9676" s="10"/>
      <c r="AG9676" s="10"/>
      <c r="AH9676" s="10"/>
      <c r="AI9676" s="10"/>
    </row>
    <row r="9677" spans="28:35" ht="15" hidden="1" customHeight="1">
      <c r="AB9677" s="9"/>
      <c r="AC9677" s="9"/>
      <c r="AD9677" s="9"/>
      <c r="AF9677" s="10"/>
      <c r="AG9677" s="10"/>
      <c r="AH9677" s="10"/>
      <c r="AI9677" s="10"/>
    </row>
    <row r="9678" spans="28:35" ht="15" hidden="1" customHeight="1">
      <c r="AB9678" s="9"/>
      <c r="AC9678" s="9"/>
      <c r="AD9678" s="9"/>
      <c r="AF9678" s="10"/>
      <c r="AG9678" s="10"/>
      <c r="AH9678" s="10"/>
      <c r="AI9678" s="10"/>
    </row>
    <row r="9679" spans="28:35" ht="15" hidden="1" customHeight="1">
      <c r="AB9679" s="9"/>
      <c r="AC9679" s="9"/>
      <c r="AD9679" s="9"/>
      <c r="AF9679" s="10"/>
      <c r="AG9679" s="10"/>
      <c r="AH9679" s="10"/>
      <c r="AI9679" s="10"/>
    </row>
    <row r="9680" spans="28:35" ht="15" hidden="1" customHeight="1">
      <c r="AB9680" s="9"/>
      <c r="AC9680" s="9"/>
      <c r="AD9680" s="9"/>
      <c r="AF9680" s="10"/>
      <c r="AG9680" s="10"/>
      <c r="AH9680" s="10"/>
      <c r="AI9680" s="10"/>
    </row>
    <row r="9681" spans="28:35" ht="15" hidden="1" customHeight="1">
      <c r="AB9681" s="9"/>
      <c r="AC9681" s="9"/>
      <c r="AD9681" s="9"/>
      <c r="AF9681" s="10"/>
      <c r="AG9681" s="10"/>
      <c r="AH9681" s="10"/>
      <c r="AI9681" s="10"/>
    </row>
    <row r="9682" spans="28:35" ht="15" hidden="1" customHeight="1">
      <c r="AB9682" s="9"/>
      <c r="AC9682" s="9"/>
      <c r="AD9682" s="9"/>
      <c r="AF9682" s="10"/>
      <c r="AG9682" s="10"/>
      <c r="AH9682" s="10"/>
      <c r="AI9682" s="10"/>
    </row>
    <row r="9683" spans="28:35" ht="15" hidden="1" customHeight="1">
      <c r="AB9683" s="9"/>
      <c r="AC9683" s="9"/>
      <c r="AD9683" s="9"/>
      <c r="AF9683" s="10"/>
      <c r="AG9683" s="10"/>
      <c r="AH9683" s="10"/>
      <c r="AI9683" s="10"/>
    </row>
    <row r="9684" spans="28:35" ht="15" hidden="1" customHeight="1">
      <c r="AB9684" s="9"/>
      <c r="AC9684" s="9"/>
      <c r="AD9684" s="9"/>
      <c r="AF9684" s="10"/>
      <c r="AG9684" s="10"/>
      <c r="AH9684" s="10"/>
      <c r="AI9684" s="10"/>
    </row>
    <row r="9685" spans="28:35" ht="15" hidden="1" customHeight="1">
      <c r="AB9685" s="9"/>
      <c r="AC9685" s="9"/>
      <c r="AD9685" s="9"/>
      <c r="AF9685" s="10"/>
      <c r="AG9685" s="10"/>
      <c r="AH9685" s="10"/>
      <c r="AI9685" s="10"/>
    </row>
    <row r="9686" spans="28:35" ht="15" hidden="1" customHeight="1">
      <c r="AB9686" s="9"/>
      <c r="AC9686" s="9"/>
      <c r="AD9686" s="9"/>
      <c r="AF9686" s="10"/>
      <c r="AG9686" s="10"/>
      <c r="AH9686" s="10"/>
      <c r="AI9686" s="10"/>
    </row>
    <row r="9687" spans="28:35" ht="15" hidden="1" customHeight="1">
      <c r="AB9687" s="9"/>
      <c r="AC9687" s="9"/>
      <c r="AD9687" s="9"/>
      <c r="AF9687" s="10"/>
      <c r="AG9687" s="10"/>
      <c r="AH9687" s="10"/>
      <c r="AI9687" s="10"/>
    </row>
    <row r="9688" spans="28:35" ht="15" hidden="1" customHeight="1">
      <c r="AB9688" s="9"/>
      <c r="AC9688" s="9"/>
      <c r="AD9688" s="9"/>
      <c r="AF9688" s="10"/>
      <c r="AG9688" s="10"/>
      <c r="AH9688" s="10"/>
      <c r="AI9688" s="10"/>
    </row>
    <row r="9689" spans="28:35" ht="15" hidden="1" customHeight="1">
      <c r="AB9689" s="9"/>
      <c r="AC9689" s="9"/>
      <c r="AD9689" s="9"/>
      <c r="AF9689" s="10"/>
      <c r="AG9689" s="10"/>
      <c r="AH9689" s="10"/>
      <c r="AI9689" s="10"/>
    </row>
    <row r="9690" spans="28:35" ht="15" hidden="1" customHeight="1">
      <c r="AB9690" s="9"/>
      <c r="AC9690" s="9"/>
      <c r="AD9690" s="9"/>
      <c r="AF9690" s="10"/>
      <c r="AG9690" s="10"/>
      <c r="AH9690" s="10"/>
      <c r="AI9690" s="10"/>
    </row>
    <row r="9691" spans="28:35" ht="15" hidden="1" customHeight="1">
      <c r="AB9691" s="9"/>
      <c r="AC9691" s="9"/>
      <c r="AD9691" s="9"/>
      <c r="AF9691" s="10"/>
      <c r="AG9691" s="10"/>
      <c r="AH9691" s="10"/>
      <c r="AI9691" s="10"/>
    </row>
    <row r="9692" spans="28:35" ht="15" hidden="1" customHeight="1">
      <c r="AB9692" s="9"/>
      <c r="AC9692" s="9"/>
      <c r="AD9692" s="9"/>
      <c r="AF9692" s="10"/>
      <c r="AG9692" s="10"/>
      <c r="AH9692" s="10"/>
      <c r="AI9692" s="10"/>
    </row>
    <row r="9693" spans="28:35" ht="15" hidden="1" customHeight="1">
      <c r="AB9693" s="9"/>
      <c r="AC9693" s="9"/>
      <c r="AD9693" s="9"/>
      <c r="AF9693" s="10"/>
      <c r="AG9693" s="10"/>
      <c r="AH9693" s="10"/>
      <c r="AI9693" s="10"/>
    </row>
    <row r="9694" spans="28:35" ht="15" hidden="1" customHeight="1">
      <c r="AB9694" s="9"/>
      <c r="AC9694" s="9"/>
      <c r="AD9694" s="9"/>
      <c r="AF9694" s="10"/>
      <c r="AG9694" s="10"/>
      <c r="AH9694" s="10"/>
      <c r="AI9694" s="10"/>
    </row>
    <row r="9695" spans="28:35" ht="15" hidden="1" customHeight="1">
      <c r="AB9695" s="9"/>
      <c r="AC9695" s="9"/>
      <c r="AD9695" s="9"/>
      <c r="AF9695" s="10"/>
      <c r="AG9695" s="10"/>
      <c r="AH9695" s="10"/>
      <c r="AI9695" s="10"/>
    </row>
    <row r="9696" spans="28:35" ht="15" hidden="1" customHeight="1">
      <c r="AB9696" s="9"/>
      <c r="AC9696" s="9"/>
      <c r="AD9696" s="9"/>
      <c r="AF9696" s="10"/>
      <c r="AG9696" s="10"/>
      <c r="AH9696" s="10"/>
      <c r="AI9696" s="10"/>
    </row>
    <row r="9697" spans="28:35" ht="15" hidden="1" customHeight="1">
      <c r="AB9697" s="9"/>
      <c r="AC9697" s="9"/>
      <c r="AD9697" s="9"/>
      <c r="AF9697" s="10"/>
      <c r="AG9697" s="10"/>
      <c r="AH9697" s="10"/>
      <c r="AI9697" s="10"/>
    </row>
    <row r="9698" spans="28:35" ht="15" hidden="1" customHeight="1">
      <c r="AB9698" s="9"/>
      <c r="AC9698" s="9"/>
      <c r="AD9698" s="9"/>
      <c r="AF9698" s="10"/>
      <c r="AG9698" s="10"/>
      <c r="AH9698" s="10"/>
      <c r="AI9698" s="10"/>
    </row>
    <row r="9699" spans="28:35" ht="15" hidden="1" customHeight="1">
      <c r="AB9699" s="9"/>
      <c r="AC9699" s="9"/>
      <c r="AD9699" s="9"/>
      <c r="AF9699" s="10"/>
      <c r="AG9699" s="10"/>
      <c r="AH9699" s="10"/>
      <c r="AI9699" s="10"/>
    </row>
    <row r="9700" spans="28:35" ht="15" hidden="1" customHeight="1">
      <c r="AB9700" s="9"/>
      <c r="AC9700" s="9"/>
      <c r="AD9700" s="9"/>
      <c r="AF9700" s="10"/>
      <c r="AG9700" s="10"/>
      <c r="AH9700" s="10"/>
      <c r="AI9700" s="10"/>
    </row>
    <row r="9701" spans="28:35" ht="15" hidden="1" customHeight="1">
      <c r="AB9701" s="9"/>
      <c r="AC9701" s="9"/>
      <c r="AD9701" s="9"/>
      <c r="AF9701" s="10"/>
      <c r="AG9701" s="10"/>
      <c r="AH9701" s="10"/>
      <c r="AI9701" s="10"/>
    </row>
    <row r="9702" spans="28:35" ht="15" hidden="1" customHeight="1">
      <c r="AB9702" s="9"/>
      <c r="AC9702" s="9"/>
      <c r="AD9702" s="9"/>
      <c r="AF9702" s="10"/>
      <c r="AG9702" s="10"/>
      <c r="AH9702" s="10"/>
      <c r="AI9702" s="10"/>
    </row>
    <row r="9703" spans="28:35" ht="15" hidden="1" customHeight="1">
      <c r="AB9703" s="9"/>
      <c r="AC9703" s="9"/>
      <c r="AD9703" s="9"/>
      <c r="AF9703" s="10"/>
      <c r="AG9703" s="10"/>
      <c r="AH9703" s="10"/>
      <c r="AI9703" s="10"/>
    </row>
    <row r="9704" spans="28:35" ht="15" hidden="1" customHeight="1">
      <c r="AB9704" s="9"/>
      <c r="AC9704" s="9"/>
      <c r="AD9704" s="9"/>
      <c r="AF9704" s="10"/>
      <c r="AG9704" s="10"/>
      <c r="AH9704" s="10"/>
      <c r="AI9704" s="10"/>
    </row>
    <row r="9705" spans="28:35" ht="15" hidden="1" customHeight="1">
      <c r="AB9705" s="9"/>
      <c r="AC9705" s="9"/>
      <c r="AD9705" s="9"/>
      <c r="AF9705" s="10"/>
      <c r="AG9705" s="10"/>
      <c r="AH9705" s="10"/>
      <c r="AI9705" s="10"/>
    </row>
    <row r="9706" spans="28:35" ht="15" hidden="1" customHeight="1">
      <c r="AB9706" s="9"/>
      <c r="AC9706" s="9"/>
      <c r="AD9706" s="9"/>
      <c r="AF9706" s="10"/>
      <c r="AG9706" s="10"/>
      <c r="AH9706" s="10"/>
      <c r="AI9706" s="10"/>
    </row>
    <row r="9707" spans="28:35" ht="15" hidden="1" customHeight="1">
      <c r="AB9707" s="9"/>
      <c r="AC9707" s="9"/>
      <c r="AD9707" s="9"/>
      <c r="AF9707" s="10"/>
      <c r="AG9707" s="10"/>
      <c r="AH9707" s="10"/>
      <c r="AI9707" s="10"/>
    </row>
    <row r="9708" spans="28:35" ht="15" hidden="1" customHeight="1">
      <c r="AB9708" s="9"/>
      <c r="AC9708" s="9"/>
      <c r="AD9708" s="9"/>
      <c r="AF9708" s="10"/>
      <c r="AG9708" s="10"/>
      <c r="AH9708" s="10"/>
      <c r="AI9708" s="10"/>
    </row>
    <row r="9709" spans="28:35" ht="15" hidden="1" customHeight="1">
      <c r="AB9709" s="9"/>
      <c r="AC9709" s="9"/>
      <c r="AD9709" s="9"/>
      <c r="AF9709" s="10"/>
      <c r="AG9709" s="10"/>
      <c r="AH9709" s="10"/>
      <c r="AI9709" s="10"/>
    </row>
    <row r="9710" spans="28:35" ht="15" hidden="1" customHeight="1">
      <c r="AB9710" s="9"/>
      <c r="AC9710" s="9"/>
      <c r="AD9710" s="9"/>
      <c r="AF9710" s="10"/>
      <c r="AG9710" s="10"/>
      <c r="AH9710" s="10"/>
      <c r="AI9710" s="10"/>
    </row>
    <row r="9711" spans="28:35" ht="15" hidden="1" customHeight="1">
      <c r="AB9711" s="9"/>
      <c r="AC9711" s="9"/>
      <c r="AD9711" s="9"/>
      <c r="AF9711" s="10"/>
      <c r="AG9711" s="10"/>
      <c r="AH9711" s="10"/>
      <c r="AI9711" s="10"/>
    </row>
    <row r="9712" spans="28:35" ht="15" hidden="1" customHeight="1">
      <c r="AB9712" s="9"/>
      <c r="AC9712" s="9"/>
      <c r="AD9712" s="9"/>
      <c r="AF9712" s="10"/>
      <c r="AG9712" s="10"/>
      <c r="AH9712" s="10"/>
      <c r="AI9712" s="10"/>
    </row>
    <row r="9713" spans="28:35" ht="15" hidden="1" customHeight="1">
      <c r="AB9713" s="9"/>
      <c r="AC9713" s="9"/>
      <c r="AD9713" s="9"/>
      <c r="AF9713" s="10"/>
      <c r="AG9713" s="10"/>
      <c r="AH9713" s="10"/>
      <c r="AI9713" s="10"/>
    </row>
    <row r="9714" spans="28:35" ht="15" hidden="1" customHeight="1">
      <c r="AB9714" s="9"/>
      <c r="AC9714" s="9"/>
      <c r="AD9714" s="9"/>
      <c r="AF9714" s="10"/>
      <c r="AG9714" s="10"/>
      <c r="AH9714" s="10"/>
      <c r="AI9714" s="10"/>
    </row>
    <row r="9715" spans="28:35" ht="15" hidden="1" customHeight="1">
      <c r="AB9715" s="9"/>
      <c r="AC9715" s="9"/>
      <c r="AD9715" s="9"/>
      <c r="AF9715" s="10"/>
      <c r="AG9715" s="10"/>
      <c r="AH9715" s="10"/>
      <c r="AI9715" s="10"/>
    </row>
    <row r="9716" spans="28:35" ht="15" hidden="1" customHeight="1">
      <c r="AB9716" s="9"/>
      <c r="AC9716" s="9"/>
      <c r="AD9716" s="9"/>
      <c r="AF9716" s="10"/>
      <c r="AG9716" s="10"/>
      <c r="AH9716" s="10"/>
      <c r="AI9716" s="10"/>
    </row>
    <row r="9717" spans="28:35" ht="15" hidden="1" customHeight="1">
      <c r="AB9717" s="9"/>
      <c r="AC9717" s="9"/>
      <c r="AD9717" s="9"/>
      <c r="AF9717" s="10"/>
      <c r="AG9717" s="10"/>
      <c r="AH9717" s="10"/>
      <c r="AI9717" s="10"/>
    </row>
    <row r="9718" spans="28:35" ht="15" hidden="1" customHeight="1">
      <c r="AB9718" s="9"/>
      <c r="AC9718" s="9"/>
      <c r="AD9718" s="9"/>
      <c r="AF9718" s="10"/>
      <c r="AG9718" s="10"/>
      <c r="AH9718" s="10"/>
      <c r="AI9718" s="10"/>
    </row>
    <row r="9719" spans="28:35" ht="15" hidden="1" customHeight="1">
      <c r="AB9719" s="9"/>
      <c r="AC9719" s="9"/>
      <c r="AD9719" s="9"/>
      <c r="AF9719" s="10"/>
      <c r="AG9719" s="10"/>
      <c r="AH9719" s="10"/>
      <c r="AI9719" s="10"/>
    </row>
    <row r="9720" spans="28:35" ht="15" hidden="1" customHeight="1">
      <c r="AB9720" s="9"/>
      <c r="AC9720" s="9"/>
      <c r="AD9720" s="9"/>
      <c r="AF9720" s="10"/>
      <c r="AG9720" s="10"/>
      <c r="AH9720" s="10"/>
      <c r="AI9720" s="10"/>
    </row>
    <row r="9721" spans="28:35" ht="15" hidden="1" customHeight="1">
      <c r="AB9721" s="9"/>
      <c r="AC9721" s="9"/>
      <c r="AD9721" s="9"/>
      <c r="AF9721" s="10"/>
      <c r="AG9721" s="10"/>
      <c r="AH9721" s="10"/>
      <c r="AI9721" s="10"/>
    </row>
    <row r="9722" spans="28:35" ht="15" hidden="1" customHeight="1">
      <c r="AB9722" s="9"/>
      <c r="AC9722" s="9"/>
      <c r="AD9722" s="9"/>
      <c r="AF9722" s="10"/>
      <c r="AG9722" s="10"/>
      <c r="AH9722" s="10"/>
      <c r="AI9722" s="10"/>
    </row>
    <row r="9723" spans="28:35" ht="15" hidden="1" customHeight="1">
      <c r="AB9723" s="9"/>
      <c r="AC9723" s="9"/>
      <c r="AD9723" s="9"/>
      <c r="AF9723" s="10"/>
      <c r="AG9723" s="10"/>
      <c r="AH9723" s="10"/>
      <c r="AI9723" s="10"/>
    </row>
    <row r="9724" spans="28:35" ht="15" hidden="1" customHeight="1">
      <c r="AB9724" s="9"/>
      <c r="AC9724" s="9"/>
      <c r="AD9724" s="9"/>
      <c r="AF9724" s="10"/>
      <c r="AG9724" s="10"/>
      <c r="AH9724" s="10"/>
      <c r="AI9724" s="10"/>
    </row>
    <row r="9725" spans="28:35" ht="15" hidden="1" customHeight="1">
      <c r="AB9725" s="9"/>
      <c r="AC9725" s="9"/>
      <c r="AD9725" s="9"/>
      <c r="AF9725" s="10"/>
      <c r="AG9725" s="10"/>
      <c r="AH9725" s="10"/>
      <c r="AI9725" s="10"/>
    </row>
    <row r="9726" spans="28:35" ht="15" hidden="1" customHeight="1">
      <c r="AB9726" s="9"/>
      <c r="AC9726" s="9"/>
      <c r="AD9726" s="9"/>
      <c r="AF9726" s="10"/>
      <c r="AG9726" s="10"/>
      <c r="AH9726" s="10"/>
      <c r="AI9726" s="10"/>
    </row>
    <row r="9727" spans="28:35" ht="15" hidden="1" customHeight="1">
      <c r="AB9727" s="9"/>
      <c r="AC9727" s="9"/>
      <c r="AD9727" s="9"/>
      <c r="AF9727" s="10"/>
      <c r="AG9727" s="10"/>
      <c r="AH9727" s="10"/>
      <c r="AI9727" s="10"/>
    </row>
    <row r="9728" spans="28:35" ht="15" hidden="1" customHeight="1">
      <c r="AB9728" s="9"/>
      <c r="AC9728" s="9"/>
      <c r="AD9728" s="9"/>
      <c r="AF9728" s="10"/>
      <c r="AG9728" s="10"/>
      <c r="AH9728" s="10"/>
      <c r="AI9728" s="10"/>
    </row>
    <row r="9729" spans="28:35" ht="15" hidden="1" customHeight="1">
      <c r="AB9729" s="9"/>
      <c r="AC9729" s="9"/>
      <c r="AD9729" s="9"/>
      <c r="AF9729" s="10"/>
      <c r="AG9729" s="10"/>
      <c r="AH9729" s="10"/>
      <c r="AI9729" s="10"/>
    </row>
    <row r="9730" spans="28:35" ht="15" hidden="1" customHeight="1">
      <c r="AB9730" s="9"/>
      <c r="AC9730" s="9"/>
      <c r="AD9730" s="9"/>
      <c r="AF9730" s="10"/>
      <c r="AG9730" s="10"/>
      <c r="AH9730" s="10"/>
      <c r="AI9730" s="10"/>
    </row>
    <row r="9731" spans="28:35" ht="15" hidden="1" customHeight="1">
      <c r="AB9731" s="9"/>
      <c r="AC9731" s="9"/>
      <c r="AD9731" s="9"/>
      <c r="AF9731" s="10"/>
      <c r="AG9731" s="10"/>
      <c r="AH9731" s="10"/>
      <c r="AI9731" s="10"/>
    </row>
    <row r="9732" spans="28:35" ht="15" hidden="1" customHeight="1">
      <c r="AB9732" s="9"/>
      <c r="AC9732" s="9"/>
      <c r="AD9732" s="9"/>
      <c r="AF9732" s="10"/>
      <c r="AG9732" s="10"/>
      <c r="AH9732" s="10"/>
      <c r="AI9732" s="10"/>
    </row>
    <row r="9733" spans="28:35" ht="15" hidden="1" customHeight="1">
      <c r="AB9733" s="9"/>
      <c r="AC9733" s="9"/>
      <c r="AD9733" s="9"/>
      <c r="AF9733" s="10"/>
      <c r="AG9733" s="10"/>
      <c r="AH9733" s="10"/>
      <c r="AI9733" s="10"/>
    </row>
    <row r="9734" spans="28:35" ht="15" hidden="1" customHeight="1">
      <c r="AB9734" s="9"/>
      <c r="AC9734" s="9"/>
      <c r="AD9734" s="9"/>
      <c r="AF9734" s="10"/>
      <c r="AG9734" s="10"/>
      <c r="AH9734" s="10"/>
      <c r="AI9734" s="10"/>
    </row>
    <row r="9735" spans="28:35" ht="15" hidden="1" customHeight="1">
      <c r="AB9735" s="9"/>
      <c r="AC9735" s="9"/>
      <c r="AD9735" s="9"/>
      <c r="AF9735" s="10"/>
      <c r="AG9735" s="10"/>
      <c r="AH9735" s="10"/>
      <c r="AI9735" s="10"/>
    </row>
    <row r="9736" spans="28:35" ht="15" hidden="1" customHeight="1">
      <c r="AB9736" s="9"/>
      <c r="AC9736" s="9"/>
      <c r="AD9736" s="9"/>
      <c r="AF9736" s="10"/>
      <c r="AG9736" s="10"/>
      <c r="AH9736" s="10"/>
      <c r="AI9736" s="10"/>
    </row>
    <row r="9737" spans="28:35" ht="15" hidden="1" customHeight="1">
      <c r="AB9737" s="9"/>
      <c r="AC9737" s="9"/>
      <c r="AD9737" s="9"/>
      <c r="AF9737" s="10"/>
      <c r="AG9737" s="10"/>
      <c r="AH9737" s="10"/>
      <c r="AI9737" s="10"/>
    </row>
    <row r="9738" spans="28:35" ht="15" hidden="1" customHeight="1">
      <c r="AB9738" s="9"/>
      <c r="AC9738" s="9"/>
      <c r="AD9738" s="9"/>
      <c r="AF9738" s="10"/>
      <c r="AG9738" s="10"/>
      <c r="AH9738" s="10"/>
      <c r="AI9738" s="10"/>
    </row>
    <row r="9739" spans="28:35" ht="15" hidden="1" customHeight="1">
      <c r="AB9739" s="9"/>
      <c r="AC9739" s="9"/>
      <c r="AD9739" s="9"/>
      <c r="AF9739" s="10"/>
      <c r="AG9739" s="10"/>
      <c r="AH9739" s="10"/>
      <c r="AI9739" s="10"/>
    </row>
    <row r="9740" spans="28:35" ht="15" hidden="1" customHeight="1">
      <c r="AB9740" s="9"/>
      <c r="AC9740" s="9"/>
      <c r="AD9740" s="9"/>
      <c r="AF9740" s="10"/>
      <c r="AG9740" s="10"/>
      <c r="AH9740" s="10"/>
      <c r="AI9740" s="10"/>
    </row>
    <row r="9741" spans="28:35" ht="15" hidden="1" customHeight="1">
      <c r="AB9741" s="9"/>
      <c r="AC9741" s="9"/>
      <c r="AD9741" s="9"/>
      <c r="AF9741" s="10"/>
      <c r="AG9741" s="10"/>
      <c r="AH9741" s="10"/>
      <c r="AI9741" s="10"/>
    </row>
    <row r="9742" spans="28:35" ht="15" hidden="1" customHeight="1">
      <c r="AB9742" s="9"/>
      <c r="AC9742" s="9"/>
      <c r="AD9742" s="9"/>
      <c r="AF9742" s="10"/>
      <c r="AG9742" s="10"/>
      <c r="AH9742" s="10"/>
      <c r="AI9742" s="10"/>
    </row>
    <row r="9743" spans="28:35" ht="15" hidden="1" customHeight="1">
      <c r="AB9743" s="9"/>
      <c r="AC9743" s="9"/>
      <c r="AD9743" s="9"/>
      <c r="AF9743" s="10"/>
      <c r="AG9743" s="10"/>
      <c r="AH9743" s="10"/>
      <c r="AI9743" s="10"/>
    </row>
    <row r="9744" spans="28:35" ht="15" hidden="1" customHeight="1">
      <c r="AB9744" s="9"/>
      <c r="AC9744" s="9"/>
      <c r="AD9744" s="9"/>
      <c r="AF9744" s="10"/>
      <c r="AG9744" s="10"/>
      <c r="AH9744" s="10"/>
      <c r="AI9744" s="10"/>
    </row>
    <row r="9745" spans="28:35" ht="15" hidden="1" customHeight="1">
      <c r="AB9745" s="9"/>
      <c r="AC9745" s="9"/>
      <c r="AD9745" s="9"/>
      <c r="AF9745" s="10"/>
      <c r="AG9745" s="10"/>
      <c r="AH9745" s="10"/>
      <c r="AI9745" s="10"/>
    </row>
    <row r="9746" spans="28:35" ht="15" hidden="1" customHeight="1">
      <c r="AB9746" s="9"/>
      <c r="AC9746" s="9"/>
      <c r="AD9746" s="9"/>
      <c r="AF9746" s="10"/>
      <c r="AG9746" s="10"/>
      <c r="AH9746" s="10"/>
      <c r="AI9746" s="10"/>
    </row>
    <row r="9747" spans="28:35" ht="15" hidden="1" customHeight="1">
      <c r="AB9747" s="9"/>
      <c r="AC9747" s="9"/>
      <c r="AD9747" s="9"/>
      <c r="AF9747" s="10"/>
      <c r="AG9747" s="10"/>
      <c r="AH9747" s="10"/>
      <c r="AI9747" s="10"/>
    </row>
    <row r="9748" spans="28:35" ht="15" hidden="1" customHeight="1">
      <c r="AB9748" s="9"/>
      <c r="AC9748" s="9"/>
      <c r="AD9748" s="9"/>
      <c r="AF9748" s="10"/>
      <c r="AG9748" s="10"/>
      <c r="AH9748" s="10"/>
      <c r="AI9748" s="10"/>
    </row>
    <row r="9749" spans="28:35" ht="15" hidden="1" customHeight="1">
      <c r="AB9749" s="9"/>
      <c r="AC9749" s="9"/>
      <c r="AD9749" s="9"/>
      <c r="AF9749" s="10"/>
      <c r="AG9749" s="10"/>
      <c r="AH9749" s="10"/>
      <c r="AI9749" s="10"/>
    </row>
    <row r="9750" spans="28:35" ht="15" hidden="1" customHeight="1">
      <c r="AB9750" s="9"/>
      <c r="AC9750" s="9"/>
      <c r="AD9750" s="9"/>
      <c r="AF9750" s="10"/>
      <c r="AG9750" s="10"/>
      <c r="AH9750" s="10"/>
      <c r="AI9750" s="10"/>
    </row>
    <row r="9751" spans="28:35" ht="15" hidden="1" customHeight="1">
      <c r="AB9751" s="9"/>
      <c r="AC9751" s="9"/>
      <c r="AD9751" s="9"/>
      <c r="AF9751" s="10"/>
      <c r="AG9751" s="10"/>
      <c r="AH9751" s="10"/>
      <c r="AI9751" s="10"/>
    </row>
    <row r="9752" spans="28:35" ht="15" hidden="1" customHeight="1">
      <c r="AB9752" s="9"/>
      <c r="AC9752" s="9"/>
      <c r="AD9752" s="9"/>
      <c r="AF9752" s="10"/>
      <c r="AG9752" s="10"/>
      <c r="AH9752" s="10"/>
      <c r="AI9752" s="10"/>
    </row>
    <row r="9753" spans="28:35" ht="15" hidden="1" customHeight="1">
      <c r="AB9753" s="9"/>
      <c r="AC9753" s="9"/>
      <c r="AD9753" s="9"/>
      <c r="AF9753" s="10"/>
      <c r="AG9753" s="10"/>
      <c r="AH9753" s="10"/>
      <c r="AI9753" s="10"/>
    </row>
    <row r="9754" spans="28:35" ht="15" hidden="1" customHeight="1">
      <c r="AB9754" s="9"/>
      <c r="AC9754" s="9"/>
      <c r="AD9754" s="9"/>
      <c r="AF9754" s="10"/>
      <c r="AG9754" s="10"/>
      <c r="AH9754" s="10"/>
      <c r="AI9754" s="10"/>
    </row>
    <row r="9755" spans="28:35" ht="15" hidden="1" customHeight="1">
      <c r="AB9755" s="9"/>
      <c r="AC9755" s="9"/>
      <c r="AD9755" s="9"/>
      <c r="AF9755" s="10"/>
      <c r="AG9755" s="10"/>
      <c r="AH9755" s="10"/>
      <c r="AI9755" s="10"/>
    </row>
    <row r="9756" spans="28:35" ht="15" hidden="1" customHeight="1">
      <c r="AB9756" s="9"/>
      <c r="AC9756" s="9"/>
      <c r="AD9756" s="9"/>
      <c r="AF9756" s="10"/>
      <c r="AG9756" s="10"/>
      <c r="AH9756" s="10"/>
      <c r="AI9756" s="10"/>
    </row>
    <row r="9757" spans="28:35" ht="15" hidden="1" customHeight="1">
      <c r="AB9757" s="9"/>
      <c r="AC9757" s="9"/>
      <c r="AD9757" s="9"/>
      <c r="AF9757" s="10"/>
      <c r="AG9757" s="10"/>
      <c r="AH9757" s="10"/>
      <c r="AI9757" s="10"/>
    </row>
    <row r="9758" spans="28:35" ht="15" hidden="1" customHeight="1">
      <c r="AB9758" s="9"/>
      <c r="AC9758" s="9"/>
      <c r="AD9758" s="9"/>
      <c r="AF9758" s="10"/>
      <c r="AG9758" s="10"/>
      <c r="AH9758" s="10"/>
      <c r="AI9758" s="10"/>
    </row>
    <row r="9759" spans="28:35" ht="15" hidden="1" customHeight="1">
      <c r="AB9759" s="9"/>
      <c r="AC9759" s="9"/>
      <c r="AD9759" s="9"/>
      <c r="AF9759" s="10"/>
      <c r="AG9759" s="10"/>
      <c r="AH9759" s="10"/>
      <c r="AI9759" s="10"/>
    </row>
    <row r="9760" spans="28:35" ht="15" hidden="1" customHeight="1">
      <c r="AB9760" s="9"/>
      <c r="AC9760" s="9"/>
      <c r="AD9760" s="9"/>
      <c r="AF9760" s="10"/>
      <c r="AG9760" s="10"/>
      <c r="AH9760" s="10"/>
      <c r="AI9760" s="10"/>
    </row>
    <row r="9761" spans="28:35" ht="15" hidden="1" customHeight="1">
      <c r="AB9761" s="9"/>
      <c r="AC9761" s="9"/>
      <c r="AD9761" s="9"/>
      <c r="AF9761" s="10"/>
      <c r="AG9761" s="10"/>
      <c r="AH9761" s="10"/>
      <c r="AI9761" s="10"/>
    </row>
    <row r="9762" spans="28:35" ht="15" hidden="1" customHeight="1">
      <c r="AB9762" s="9"/>
      <c r="AC9762" s="9"/>
      <c r="AD9762" s="9"/>
      <c r="AF9762" s="10"/>
      <c r="AG9762" s="10"/>
      <c r="AH9762" s="10"/>
      <c r="AI9762" s="10"/>
    </row>
    <row r="9763" spans="28:35" ht="15" hidden="1" customHeight="1">
      <c r="AB9763" s="9"/>
      <c r="AC9763" s="9"/>
      <c r="AD9763" s="9"/>
      <c r="AF9763" s="10"/>
      <c r="AG9763" s="10"/>
      <c r="AH9763" s="10"/>
      <c r="AI9763" s="10"/>
    </row>
    <row r="9764" spans="28:35" ht="15" hidden="1" customHeight="1">
      <c r="AB9764" s="9"/>
      <c r="AC9764" s="9"/>
      <c r="AD9764" s="9"/>
      <c r="AF9764" s="10"/>
      <c r="AG9764" s="10"/>
      <c r="AH9764" s="10"/>
      <c r="AI9764" s="10"/>
    </row>
    <row r="9765" spans="28:35" ht="15" hidden="1" customHeight="1">
      <c r="AB9765" s="9"/>
      <c r="AC9765" s="9"/>
      <c r="AD9765" s="9"/>
      <c r="AF9765" s="10"/>
      <c r="AG9765" s="10"/>
      <c r="AH9765" s="10"/>
      <c r="AI9765" s="10"/>
    </row>
    <row r="9766" spans="28:35" ht="15" hidden="1" customHeight="1">
      <c r="AB9766" s="9"/>
      <c r="AC9766" s="9"/>
      <c r="AD9766" s="9"/>
      <c r="AF9766" s="10"/>
      <c r="AG9766" s="10"/>
      <c r="AH9766" s="10"/>
      <c r="AI9766" s="10"/>
    </row>
    <row r="9767" spans="28:35" ht="15" hidden="1" customHeight="1">
      <c r="AB9767" s="9"/>
      <c r="AC9767" s="9"/>
      <c r="AD9767" s="9"/>
      <c r="AF9767" s="10"/>
      <c r="AG9767" s="10"/>
      <c r="AH9767" s="10"/>
      <c r="AI9767" s="10"/>
    </row>
    <row r="9768" spans="28:35" ht="15" hidden="1" customHeight="1">
      <c r="AB9768" s="9"/>
      <c r="AC9768" s="9"/>
      <c r="AD9768" s="9"/>
      <c r="AF9768" s="10"/>
      <c r="AG9768" s="10"/>
      <c r="AH9768" s="10"/>
      <c r="AI9768" s="10"/>
    </row>
    <row r="9769" spans="28:35" ht="15" hidden="1" customHeight="1">
      <c r="AB9769" s="9"/>
      <c r="AC9769" s="9"/>
      <c r="AD9769" s="9"/>
      <c r="AF9769" s="10"/>
      <c r="AG9769" s="10"/>
      <c r="AH9769" s="10"/>
      <c r="AI9769" s="10"/>
    </row>
    <row r="9770" spans="28:35" ht="15" hidden="1" customHeight="1">
      <c r="AB9770" s="9"/>
      <c r="AC9770" s="9"/>
      <c r="AD9770" s="9"/>
      <c r="AF9770" s="10"/>
      <c r="AG9770" s="10"/>
      <c r="AH9770" s="10"/>
      <c r="AI9770" s="10"/>
    </row>
    <row r="9771" spans="28:35" ht="15" hidden="1" customHeight="1">
      <c r="AB9771" s="9"/>
      <c r="AC9771" s="9"/>
      <c r="AD9771" s="9"/>
      <c r="AF9771" s="10"/>
      <c r="AG9771" s="10"/>
      <c r="AH9771" s="10"/>
      <c r="AI9771" s="10"/>
    </row>
    <row r="9772" spans="28:35" ht="15" hidden="1" customHeight="1">
      <c r="AB9772" s="9"/>
      <c r="AC9772" s="9"/>
      <c r="AD9772" s="9"/>
      <c r="AF9772" s="10"/>
      <c r="AG9772" s="10"/>
      <c r="AH9772" s="10"/>
      <c r="AI9772" s="10"/>
    </row>
    <row r="9773" spans="28:35" ht="15" hidden="1" customHeight="1">
      <c r="AB9773" s="9"/>
      <c r="AC9773" s="9"/>
      <c r="AD9773" s="9"/>
      <c r="AF9773" s="10"/>
      <c r="AG9773" s="10"/>
      <c r="AH9773" s="10"/>
      <c r="AI9773" s="10"/>
    </row>
    <row r="9774" spans="28:35" ht="15" hidden="1" customHeight="1">
      <c r="AB9774" s="9"/>
      <c r="AC9774" s="9"/>
      <c r="AD9774" s="9"/>
      <c r="AF9774" s="10"/>
      <c r="AG9774" s="10"/>
      <c r="AH9774" s="10"/>
      <c r="AI9774" s="10"/>
    </row>
    <row r="9775" spans="28:35" ht="15" hidden="1" customHeight="1">
      <c r="AB9775" s="9"/>
      <c r="AC9775" s="9"/>
      <c r="AD9775" s="9"/>
      <c r="AF9775" s="10"/>
      <c r="AG9775" s="10"/>
      <c r="AH9775" s="10"/>
      <c r="AI9775" s="10"/>
    </row>
    <row r="9776" spans="28:35" ht="15" hidden="1" customHeight="1">
      <c r="AB9776" s="9"/>
      <c r="AC9776" s="9"/>
      <c r="AD9776" s="9"/>
      <c r="AF9776" s="10"/>
      <c r="AG9776" s="10"/>
      <c r="AH9776" s="10"/>
      <c r="AI9776" s="10"/>
    </row>
    <row r="9777" spans="28:35" ht="15" hidden="1" customHeight="1">
      <c r="AB9777" s="9"/>
      <c r="AC9777" s="9"/>
      <c r="AD9777" s="9"/>
      <c r="AF9777" s="10"/>
      <c r="AG9777" s="10"/>
      <c r="AH9777" s="10"/>
      <c r="AI9777" s="10"/>
    </row>
    <row r="9778" spans="28:35" ht="15" hidden="1" customHeight="1">
      <c r="AB9778" s="9"/>
      <c r="AC9778" s="9"/>
      <c r="AD9778" s="9"/>
      <c r="AF9778" s="10"/>
      <c r="AG9778" s="10"/>
      <c r="AH9778" s="10"/>
      <c r="AI9778" s="10"/>
    </row>
    <row r="9779" spans="28:35" ht="15" hidden="1" customHeight="1">
      <c r="AB9779" s="9"/>
      <c r="AC9779" s="9"/>
      <c r="AD9779" s="9"/>
      <c r="AF9779" s="10"/>
      <c r="AG9779" s="10"/>
      <c r="AH9779" s="10"/>
      <c r="AI9779" s="10"/>
    </row>
    <row r="9780" spans="28:35" ht="15" hidden="1" customHeight="1">
      <c r="AB9780" s="9"/>
      <c r="AC9780" s="9"/>
      <c r="AD9780" s="9"/>
      <c r="AF9780" s="10"/>
      <c r="AG9780" s="10"/>
      <c r="AH9780" s="10"/>
      <c r="AI9780" s="10"/>
    </row>
    <row r="9781" spans="28:35" ht="15" hidden="1" customHeight="1">
      <c r="AB9781" s="9"/>
      <c r="AC9781" s="9"/>
      <c r="AD9781" s="9"/>
      <c r="AF9781" s="10"/>
      <c r="AG9781" s="10"/>
      <c r="AH9781" s="10"/>
      <c r="AI9781" s="10"/>
    </row>
    <row r="9782" spans="28:35" ht="15" hidden="1" customHeight="1">
      <c r="AB9782" s="9"/>
      <c r="AC9782" s="9"/>
      <c r="AD9782" s="9"/>
      <c r="AF9782" s="10"/>
      <c r="AG9782" s="10"/>
      <c r="AH9782" s="10"/>
      <c r="AI9782" s="10"/>
    </row>
    <row r="9783" spans="28:35" ht="15" hidden="1" customHeight="1">
      <c r="AB9783" s="9"/>
      <c r="AC9783" s="9"/>
      <c r="AD9783" s="9"/>
      <c r="AF9783" s="10"/>
      <c r="AG9783" s="10"/>
      <c r="AH9783" s="10"/>
      <c r="AI9783" s="10"/>
    </row>
    <row r="9784" spans="28:35" ht="15" hidden="1" customHeight="1">
      <c r="AB9784" s="9"/>
      <c r="AC9784" s="9"/>
      <c r="AD9784" s="9"/>
      <c r="AF9784" s="10"/>
      <c r="AG9784" s="10"/>
      <c r="AH9784" s="10"/>
      <c r="AI9784" s="10"/>
    </row>
    <row r="9785" spans="28:35" ht="15" hidden="1" customHeight="1">
      <c r="AB9785" s="9"/>
      <c r="AC9785" s="9"/>
      <c r="AD9785" s="9"/>
      <c r="AF9785" s="10"/>
      <c r="AG9785" s="10"/>
      <c r="AH9785" s="10"/>
      <c r="AI9785" s="10"/>
    </row>
    <row r="9786" spans="28:35" ht="15" hidden="1" customHeight="1">
      <c r="AB9786" s="9"/>
      <c r="AC9786" s="9"/>
      <c r="AD9786" s="9"/>
      <c r="AF9786" s="10"/>
      <c r="AG9786" s="10"/>
      <c r="AH9786" s="10"/>
      <c r="AI9786" s="10"/>
    </row>
    <row r="9787" spans="28:35" ht="15" hidden="1" customHeight="1">
      <c r="AB9787" s="9"/>
      <c r="AC9787" s="9"/>
      <c r="AD9787" s="9"/>
      <c r="AF9787" s="10"/>
      <c r="AG9787" s="10"/>
      <c r="AH9787" s="10"/>
      <c r="AI9787" s="10"/>
    </row>
    <row r="9788" spans="28:35" ht="15" hidden="1" customHeight="1">
      <c r="AB9788" s="9"/>
      <c r="AC9788" s="9"/>
      <c r="AD9788" s="9"/>
      <c r="AF9788" s="10"/>
      <c r="AG9788" s="10"/>
      <c r="AH9788" s="10"/>
      <c r="AI9788" s="10"/>
    </row>
    <row r="9789" spans="28:35" ht="15" hidden="1" customHeight="1">
      <c r="AB9789" s="9"/>
      <c r="AC9789" s="9"/>
      <c r="AD9789" s="9"/>
      <c r="AF9789" s="10"/>
      <c r="AG9789" s="10"/>
      <c r="AH9789" s="10"/>
      <c r="AI9789" s="10"/>
    </row>
    <row r="9790" spans="28:35" ht="15" hidden="1" customHeight="1">
      <c r="AB9790" s="9"/>
      <c r="AC9790" s="9"/>
      <c r="AD9790" s="9"/>
      <c r="AF9790" s="10"/>
      <c r="AG9790" s="10"/>
      <c r="AH9790" s="10"/>
      <c r="AI9790" s="10"/>
    </row>
    <row r="9791" spans="28:35" ht="15" hidden="1" customHeight="1">
      <c r="AB9791" s="9"/>
      <c r="AC9791" s="9"/>
      <c r="AD9791" s="9"/>
      <c r="AF9791" s="10"/>
      <c r="AG9791" s="10"/>
      <c r="AH9791" s="10"/>
      <c r="AI9791" s="10"/>
    </row>
    <row r="9792" spans="28:35" ht="15" hidden="1" customHeight="1">
      <c r="AB9792" s="9"/>
      <c r="AC9792" s="9"/>
      <c r="AD9792" s="9"/>
      <c r="AF9792" s="10"/>
      <c r="AG9792" s="10"/>
      <c r="AH9792" s="10"/>
      <c r="AI9792" s="10"/>
    </row>
    <row r="9793" spans="28:35" ht="15" hidden="1" customHeight="1">
      <c r="AB9793" s="9"/>
      <c r="AC9793" s="9"/>
      <c r="AD9793" s="9"/>
      <c r="AF9793" s="10"/>
      <c r="AG9793" s="10"/>
      <c r="AH9793" s="10"/>
      <c r="AI9793" s="10"/>
    </row>
    <row r="9794" spans="28:35" ht="15" hidden="1" customHeight="1">
      <c r="AB9794" s="9"/>
      <c r="AC9794" s="9"/>
      <c r="AD9794" s="9"/>
      <c r="AF9794" s="10"/>
      <c r="AG9794" s="10"/>
      <c r="AH9794" s="10"/>
      <c r="AI9794" s="10"/>
    </row>
    <row r="9795" spans="28:35" ht="15" hidden="1" customHeight="1">
      <c r="AB9795" s="9"/>
      <c r="AC9795" s="9"/>
      <c r="AD9795" s="9"/>
      <c r="AF9795" s="10"/>
      <c r="AG9795" s="10"/>
      <c r="AH9795" s="10"/>
      <c r="AI9795" s="10"/>
    </row>
    <row r="9796" spans="28:35" ht="15" hidden="1" customHeight="1">
      <c r="AB9796" s="9"/>
      <c r="AC9796" s="9"/>
      <c r="AD9796" s="9"/>
      <c r="AF9796" s="10"/>
      <c r="AG9796" s="10"/>
      <c r="AH9796" s="10"/>
      <c r="AI9796" s="10"/>
    </row>
    <row r="9797" spans="28:35" ht="15" hidden="1" customHeight="1">
      <c r="AB9797" s="9"/>
      <c r="AC9797" s="9"/>
      <c r="AD9797" s="9"/>
      <c r="AF9797" s="10"/>
      <c r="AG9797" s="10"/>
      <c r="AH9797" s="10"/>
      <c r="AI9797" s="10"/>
    </row>
    <row r="9798" spans="28:35" ht="15" hidden="1" customHeight="1">
      <c r="AB9798" s="9"/>
      <c r="AC9798" s="9"/>
      <c r="AD9798" s="9"/>
      <c r="AF9798" s="10"/>
      <c r="AG9798" s="10"/>
      <c r="AH9798" s="10"/>
      <c r="AI9798" s="10"/>
    </row>
    <row r="9799" spans="28:35" ht="15" hidden="1" customHeight="1">
      <c r="AB9799" s="9"/>
      <c r="AC9799" s="9"/>
      <c r="AD9799" s="9"/>
      <c r="AF9799" s="10"/>
      <c r="AG9799" s="10"/>
      <c r="AH9799" s="10"/>
      <c r="AI9799" s="10"/>
    </row>
    <row r="9800" spans="28:35" ht="15" hidden="1" customHeight="1">
      <c r="AB9800" s="9"/>
      <c r="AC9800" s="9"/>
      <c r="AD9800" s="9"/>
      <c r="AF9800" s="10"/>
      <c r="AG9800" s="10"/>
      <c r="AH9800" s="10"/>
      <c r="AI9800" s="10"/>
    </row>
    <row r="9801" spans="28:35" ht="15" hidden="1" customHeight="1">
      <c r="AB9801" s="9"/>
      <c r="AC9801" s="9"/>
      <c r="AD9801" s="9"/>
      <c r="AF9801" s="10"/>
      <c r="AG9801" s="10"/>
      <c r="AH9801" s="10"/>
      <c r="AI9801" s="10"/>
    </row>
    <row r="9802" spans="28:35" ht="15" hidden="1" customHeight="1">
      <c r="AB9802" s="9"/>
      <c r="AC9802" s="9"/>
      <c r="AD9802" s="9"/>
      <c r="AF9802" s="10"/>
      <c r="AG9802" s="10"/>
      <c r="AH9802" s="10"/>
      <c r="AI9802" s="10"/>
    </row>
    <row r="9803" spans="28:35" ht="15" hidden="1" customHeight="1">
      <c r="AB9803" s="9"/>
      <c r="AC9803" s="9"/>
      <c r="AD9803" s="9"/>
      <c r="AF9803" s="10"/>
      <c r="AG9803" s="10"/>
      <c r="AH9803" s="10"/>
      <c r="AI9803" s="10"/>
    </row>
    <row r="9804" spans="28:35" ht="15" hidden="1" customHeight="1">
      <c r="AB9804" s="9"/>
      <c r="AC9804" s="9"/>
      <c r="AD9804" s="9"/>
      <c r="AF9804" s="10"/>
      <c r="AG9804" s="10"/>
      <c r="AH9804" s="10"/>
      <c r="AI9804" s="10"/>
    </row>
    <row r="9805" spans="28:35" ht="15" hidden="1" customHeight="1">
      <c r="AB9805" s="9"/>
      <c r="AC9805" s="9"/>
      <c r="AD9805" s="9"/>
      <c r="AF9805" s="10"/>
      <c r="AG9805" s="10"/>
      <c r="AH9805" s="10"/>
      <c r="AI9805" s="10"/>
    </row>
    <row r="9806" spans="28:35" ht="15" hidden="1" customHeight="1">
      <c r="AB9806" s="9"/>
      <c r="AC9806" s="9"/>
      <c r="AD9806" s="9"/>
      <c r="AF9806" s="10"/>
      <c r="AG9806" s="10"/>
      <c r="AH9806" s="10"/>
      <c r="AI9806" s="10"/>
    </row>
    <row r="9807" spans="28:35" ht="15" hidden="1" customHeight="1">
      <c r="AB9807" s="9"/>
      <c r="AC9807" s="9"/>
      <c r="AD9807" s="9"/>
      <c r="AF9807" s="10"/>
      <c r="AG9807" s="10"/>
      <c r="AH9807" s="10"/>
      <c r="AI9807" s="10"/>
    </row>
    <row r="9808" spans="28:35" ht="15" hidden="1" customHeight="1">
      <c r="AB9808" s="9"/>
      <c r="AC9808" s="9"/>
      <c r="AD9808" s="9"/>
      <c r="AF9808" s="10"/>
      <c r="AG9808" s="10"/>
      <c r="AH9808" s="10"/>
      <c r="AI9808" s="10"/>
    </row>
    <row r="9809" spans="28:35" ht="15" hidden="1" customHeight="1">
      <c r="AB9809" s="9"/>
      <c r="AC9809" s="9"/>
      <c r="AD9809" s="9"/>
      <c r="AF9809" s="10"/>
      <c r="AG9809" s="10"/>
      <c r="AH9809" s="10"/>
      <c r="AI9809" s="10"/>
    </row>
    <row r="9810" spans="28:35" ht="15" hidden="1" customHeight="1">
      <c r="AB9810" s="9"/>
      <c r="AC9810" s="9"/>
      <c r="AD9810" s="9"/>
      <c r="AF9810" s="10"/>
      <c r="AG9810" s="10"/>
      <c r="AH9810" s="10"/>
      <c r="AI9810" s="10"/>
    </row>
    <row r="9811" spans="28:35" ht="15" hidden="1" customHeight="1">
      <c r="AB9811" s="9"/>
      <c r="AC9811" s="9"/>
      <c r="AD9811" s="9"/>
      <c r="AF9811" s="10"/>
      <c r="AG9811" s="10"/>
      <c r="AH9811" s="10"/>
      <c r="AI9811" s="10"/>
    </row>
    <row r="9812" spans="28:35" ht="15" hidden="1" customHeight="1">
      <c r="AB9812" s="9"/>
      <c r="AC9812" s="9"/>
      <c r="AD9812" s="9"/>
      <c r="AF9812" s="10"/>
      <c r="AG9812" s="10"/>
      <c r="AH9812" s="10"/>
      <c r="AI9812" s="10"/>
    </row>
    <row r="9813" spans="28:35" ht="15" hidden="1" customHeight="1">
      <c r="AB9813" s="9"/>
      <c r="AC9813" s="9"/>
      <c r="AD9813" s="9"/>
      <c r="AF9813" s="10"/>
      <c r="AG9813" s="10"/>
      <c r="AH9813" s="10"/>
      <c r="AI9813" s="10"/>
    </row>
    <row r="9814" spans="28:35" ht="15" hidden="1" customHeight="1">
      <c r="AB9814" s="9"/>
      <c r="AC9814" s="9"/>
      <c r="AD9814" s="9"/>
      <c r="AF9814" s="10"/>
      <c r="AG9814" s="10"/>
      <c r="AH9814" s="10"/>
      <c r="AI9814" s="10"/>
    </row>
    <row r="9815" spans="28:35" ht="15" hidden="1" customHeight="1">
      <c r="AB9815" s="9"/>
      <c r="AC9815" s="9"/>
      <c r="AD9815" s="9"/>
      <c r="AF9815" s="10"/>
      <c r="AG9815" s="10"/>
      <c r="AH9815" s="10"/>
      <c r="AI9815" s="10"/>
    </row>
    <row r="9816" spans="28:35" ht="15" hidden="1" customHeight="1">
      <c r="AB9816" s="9"/>
      <c r="AC9816" s="9"/>
      <c r="AD9816" s="9"/>
      <c r="AF9816" s="10"/>
      <c r="AG9816" s="10"/>
      <c r="AH9816" s="10"/>
      <c r="AI9816" s="10"/>
    </row>
    <row r="9817" spans="28:35" ht="15" hidden="1" customHeight="1">
      <c r="AB9817" s="9"/>
      <c r="AC9817" s="9"/>
      <c r="AD9817" s="9"/>
      <c r="AF9817" s="10"/>
      <c r="AG9817" s="10"/>
      <c r="AH9817" s="10"/>
      <c r="AI9817" s="10"/>
    </row>
    <row r="9818" spans="28:35" ht="15" hidden="1" customHeight="1">
      <c r="AB9818" s="9"/>
      <c r="AC9818" s="9"/>
      <c r="AD9818" s="9"/>
      <c r="AF9818" s="10"/>
      <c r="AG9818" s="10"/>
      <c r="AH9818" s="10"/>
      <c r="AI9818" s="10"/>
    </row>
    <row r="9819" spans="28:35" ht="15" hidden="1" customHeight="1">
      <c r="AB9819" s="9"/>
      <c r="AC9819" s="9"/>
      <c r="AD9819" s="9"/>
      <c r="AF9819" s="10"/>
      <c r="AG9819" s="10"/>
      <c r="AH9819" s="10"/>
      <c r="AI9819" s="10"/>
    </row>
    <row r="9820" spans="28:35" ht="15" hidden="1" customHeight="1">
      <c r="AB9820" s="9"/>
      <c r="AC9820" s="9"/>
      <c r="AD9820" s="9"/>
      <c r="AF9820" s="10"/>
      <c r="AG9820" s="10"/>
      <c r="AH9820" s="10"/>
      <c r="AI9820" s="10"/>
    </row>
    <row r="9821" spans="28:35" ht="15" hidden="1" customHeight="1">
      <c r="AB9821" s="9"/>
      <c r="AC9821" s="9"/>
      <c r="AD9821" s="9"/>
      <c r="AF9821" s="10"/>
      <c r="AG9821" s="10"/>
      <c r="AH9821" s="10"/>
      <c r="AI9821" s="10"/>
    </row>
    <row r="9822" spans="28:35" ht="15" hidden="1" customHeight="1">
      <c r="AB9822" s="9"/>
      <c r="AC9822" s="9"/>
      <c r="AD9822" s="9"/>
      <c r="AF9822" s="10"/>
      <c r="AG9822" s="10"/>
      <c r="AH9822" s="10"/>
      <c r="AI9822" s="10"/>
    </row>
    <row r="9823" spans="28:35" ht="15" hidden="1" customHeight="1">
      <c r="AB9823" s="9"/>
      <c r="AC9823" s="9"/>
      <c r="AD9823" s="9"/>
      <c r="AF9823" s="10"/>
      <c r="AG9823" s="10"/>
      <c r="AH9823" s="10"/>
      <c r="AI9823" s="10"/>
    </row>
    <row r="9824" spans="28:35" ht="15" hidden="1" customHeight="1">
      <c r="AB9824" s="9"/>
      <c r="AC9824" s="9"/>
      <c r="AD9824" s="9"/>
      <c r="AF9824" s="10"/>
      <c r="AG9824" s="10"/>
      <c r="AH9824" s="10"/>
      <c r="AI9824" s="10"/>
    </row>
    <row r="9825" spans="28:35" ht="15" hidden="1" customHeight="1">
      <c r="AB9825" s="9"/>
      <c r="AC9825" s="9"/>
      <c r="AD9825" s="9"/>
      <c r="AF9825" s="10"/>
      <c r="AG9825" s="10"/>
      <c r="AH9825" s="10"/>
      <c r="AI9825" s="10"/>
    </row>
    <row r="9826" spans="28:35" ht="15" hidden="1" customHeight="1">
      <c r="AB9826" s="9"/>
      <c r="AC9826" s="9"/>
      <c r="AD9826" s="9"/>
      <c r="AF9826" s="10"/>
      <c r="AG9826" s="10"/>
      <c r="AH9826" s="10"/>
      <c r="AI9826" s="10"/>
    </row>
    <row r="9827" spans="28:35" ht="15" hidden="1" customHeight="1">
      <c r="AB9827" s="9"/>
      <c r="AC9827" s="9"/>
      <c r="AD9827" s="9"/>
      <c r="AF9827" s="10"/>
      <c r="AG9827" s="10"/>
      <c r="AH9827" s="10"/>
      <c r="AI9827" s="10"/>
    </row>
    <row r="9828" spans="28:35" ht="15" hidden="1" customHeight="1">
      <c r="AB9828" s="9"/>
      <c r="AC9828" s="9"/>
      <c r="AD9828" s="9"/>
      <c r="AF9828" s="10"/>
      <c r="AG9828" s="10"/>
      <c r="AH9828" s="10"/>
      <c r="AI9828" s="10"/>
    </row>
    <row r="9829" spans="28:35" ht="15" hidden="1" customHeight="1">
      <c r="AB9829" s="9"/>
      <c r="AC9829" s="9"/>
      <c r="AD9829" s="9"/>
      <c r="AF9829" s="10"/>
      <c r="AG9829" s="10"/>
      <c r="AH9829" s="10"/>
      <c r="AI9829" s="10"/>
    </row>
    <row r="9830" spans="28:35" ht="15" hidden="1" customHeight="1">
      <c r="AB9830" s="9"/>
      <c r="AC9830" s="9"/>
      <c r="AD9830" s="9"/>
      <c r="AF9830" s="10"/>
      <c r="AG9830" s="10"/>
      <c r="AH9830" s="10"/>
      <c r="AI9830" s="10"/>
    </row>
    <row r="9831" spans="28:35" ht="15" hidden="1" customHeight="1">
      <c r="AB9831" s="9"/>
      <c r="AC9831" s="9"/>
      <c r="AD9831" s="9"/>
      <c r="AF9831" s="10"/>
      <c r="AG9831" s="10"/>
      <c r="AH9831" s="10"/>
      <c r="AI9831" s="10"/>
    </row>
    <row r="9832" spans="28:35" ht="15" hidden="1" customHeight="1">
      <c r="AB9832" s="9"/>
      <c r="AC9832" s="9"/>
      <c r="AD9832" s="9"/>
      <c r="AF9832" s="10"/>
      <c r="AG9832" s="10"/>
      <c r="AH9832" s="10"/>
      <c r="AI9832" s="10"/>
    </row>
    <row r="9833" spans="28:35" ht="15" hidden="1" customHeight="1">
      <c r="AB9833" s="9"/>
      <c r="AC9833" s="9"/>
      <c r="AD9833" s="9"/>
      <c r="AF9833" s="10"/>
      <c r="AG9833" s="10"/>
      <c r="AH9833" s="10"/>
      <c r="AI9833" s="10"/>
    </row>
    <row r="9834" spans="28:35" ht="15" hidden="1" customHeight="1">
      <c r="AB9834" s="9"/>
      <c r="AC9834" s="9"/>
      <c r="AD9834" s="9"/>
      <c r="AF9834" s="10"/>
      <c r="AG9834" s="10"/>
      <c r="AH9834" s="10"/>
      <c r="AI9834" s="10"/>
    </row>
    <row r="9835" spans="28:35" ht="15" hidden="1" customHeight="1">
      <c r="AB9835" s="9"/>
      <c r="AC9835" s="9"/>
      <c r="AD9835" s="9"/>
      <c r="AF9835" s="10"/>
      <c r="AG9835" s="10"/>
      <c r="AH9835" s="10"/>
      <c r="AI9835" s="10"/>
    </row>
    <row r="9836" spans="28:35" ht="15" hidden="1" customHeight="1">
      <c r="AB9836" s="9"/>
      <c r="AC9836" s="9"/>
      <c r="AD9836" s="9"/>
      <c r="AF9836" s="10"/>
      <c r="AG9836" s="10"/>
      <c r="AH9836" s="10"/>
      <c r="AI9836" s="10"/>
    </row>
    <row r="9837" spans="28:35" ht="15" hidden="1" customHeight="1">
      <c r="AB9837" s="9"/>
      <c r="AC9837" s="9"/>
      <c r="AD9837" s="9"/>
      <c r="AF9837" s="10"/>
      <c r="AG9837" s="10"/>
      <c r="AH9837" s="10"/>
      <c r="AI9837" s="10"/>
    </row>
    <row r="9838" spans="28:35" ht="15" hidden="1" customHeight="1">
      <c r="AB9838" s="9"/>
      <c r="AC9838" s="9"/>
      <c r="AD9838" s="9"/>
      <c r="AF9838" s="10"/>
      <c r="AG9838" s="10"/>
      <c r="AH9838" s="10"/>
      <c r="AI9838" s="10"/>
    </row>
    <row r="9839" spans="28:35" ht="15" hidden="1" customHeight="1">
      <c r="AB9839" s="9"/>
      <c r="AC9839" s="9"/>
      <c r="AD9839" s="9"/>
      <c r="AF9839" s="10"/>
      <c r="AG9839" s="10"/>
      <c r="AH9839" s="10"/>
      <c r="AI9839" s="10"/>
    </row>
    <row r="9840" spans="28:35" ht="15" hidden="1" customHeight="1">
      <c r="AB9840" s="9"/>
      <c r="AC9840" s="9"/>
      <c r="AD9840" s="9"/>
      <c r="AF9840" s="10"/>
      <c r="AG9840" s="10"/>
      <c r="AH9840" s="10"/>
      <c r="AI9840" s="10"/>
    </row>
    <row r="9841" spans="28:35" ht="15" hidden="1" customHeight="1">
      <c r="AB9841" s="9"/>
      <c r="AC9841" s="9"/>
      <c r="AD9841" s="9"/>
      <c r="AF9841" s="10"/>
      <c r="AG9841" s="10"/>
      <c r="AH9841" s="10"/>
      <c r="AI9841" s="10"/>
    </row>
    <row r="9842" spans="28:35" ht="15" hidden="1" customHeight="1">
      <c r="AB9842" s="9"/>
      <c r="AC9842" s="9"/>
      <c r="AD9842" s="9"/>
      <c r="AF9842" s="10"/>
      <c r="AG9842" s="10"/>
      <c r="AH9842" s="10"/>
      <c r="AI9842" s="10"/>
    </row>
    <row r="9843" spans="28:35" ht="15" hidden="1" customHeight="1">
      <c r="AB9843" s="9"/>
      <c r="AC9843" s="9"/>
      <c r="AD9843" s="9"/>
      <c r="AF9843" s="10"/>
      <c r="AG9843" s="10"/>
      <c r="AH9843" s="10"/>
      <c r="AI9843" s="10"/>
    </row>
    <row r="9844" spans="28:35" ht="15" hidden="1" customHeight="1">
      <c r="AB9844" s="9"/>
      <c r="AC9844" s="9"/>
      <c r="AD9844" s="9"/>
      <c r="AF9844" s="10"/>
      <c r="AG9844" s="10"/>
      <c r="AH9844" s="10"/>
      <c r="AI9844" s="10"/>
    </row>
    <row r="9845" spans="28:35" ht="15" hidden="1" customHeight="1">
      <c r="AB9845" s="9"/>
      <c r="AC9845" s="9"/>
      <c r="AD9845" s="9"/>
      <c r="AF9845" s="10"/>
      <c r="AG9845" s="10"/>
      <c r="AH9845" s="10"/>
      <c r="AI9845" s="10"/>
    </row>
    <row r="9846" spans="28:35" ht="15" hidden="1" customHeight="1">
      <c r="AB9846" s="9"/>
      <c r="AC9846" s="9"/>
      <c r="AD9846" s="9"/>
      <c r="AF9846" s="10"/>
      <c r="AG9846" s="10"/>
      <c r="AH9846" s="10"/>
      <c r="AI9846" s="10"/>
    </row>
    <row r="9847" spans="28:35" ht="15" hidden="1" customHeight="1">
      <c r="AB9847" s="9"/>
      <c r="AC9847" s="9"/>
      <c r="AD9847" s="9"/>
      <c r="AF9847" s="10"/>
      <c r="AG9847" s="10"/>
      <c r="AH9847" s="10"/>
      <c r="AI9847" s="10"/>
    </row>
    <row r="9848" spans="28:35" ht="15" hidden="1" customHeight="1">
      <c r="AB9848" s="9"/>
      <c r="AC9848" s="9"/>
      <c r="AD9848" s="9"/>
      <c r="AF9848" s="10"/>
      <c r="AG9848" s="10"/>
      <c r="AH9848" s="10"/>
      <c r="AI9848" s="10"/>
    </row>
    <row r="9849" spans="28:35" ht="15" hidden="1" customHeight="1">
      <c r="AB9849" s="9"/>
      <c r="AC9849" s="9"/>
      <c r="AD9849" s="9"/>
      <c r="AF9849" s="10"/>
      <c r="AG9849" s="10"/>
      <c r="AH9849" s="10"/>
      <c r="AI9849" s="10"/>
    </row>
    <row r="9850" spans="28:35" ht="15" hidden="1" customHeight="1">
      <c r="AB9850" s="9"/>
      <c r="AC9850" s="9"/>
      <c r="AD9850" s="9"/>
      <c r="AF9850" s="10"/>
      <c r="AG9850" s="10"/>
      <c r="AH9850" s="10"/>
      <c r="AI9850" s="10"/>
    </row>
    <row r="9851" spans="28:35" ht="15" hidden="1" customHeight="1">
      <c r="AB9851" s="9"/>
      <c r="AC9851" s="9"/>
      <c r="AD9851" s="9"/>
      <c r="AF9851" s="10"/>
      <c r="AG9851" s="10"/>
      <c r="AH9851" s="10"/>
      <c r="AI9851" s="10"/>
    </row>
    <row r="9852" spans="28:35" ht="15" hidden="1" customHeight="1">
      <c r="AB9852" s="9"/>
      <c r="AC9852" s="9"/>
      <c r="AD9852" s="9"/>
      <c r="AF9852" s="10"/>
      <c r="AG9852" s="10"/>
      <c r="AH9852" s="10"/>
      <c r="AI9852" s="10"/>
    </row>
    <row r="9853" spans="28:35" ht="15" hidden="1" customHeight="1">
      <c r="AB9853" s="9"/>
      <c r="AC9853" s="9"/>
      <c r="AD9853" s="9"/>
      <c r="AF9853" s="10"/>
      <c r="AG9853" s="10"/>
      <c r="AH9853" s="10"/>
      <c r="AI9853" s="10"/>
    </row>
    <row r="9854" spans="28:35" ht="15" hidden="1" customHeight="1">
      <c r="AB9854" s="9"/>
      <c r="AC9854" s="9"/>
      <c r="AD9854" s="9"/>
      <c r="AF9854" s="10"/>
      <c r="AG9854" s="10"/>
      <c r="AH9854" s="10"/>
      <c r="AI9854" s="10"/>
    </row>
    <row r="9855" spans="28:35" ht="15" hidden="1" customHeight="1">
      <c r="AB9855" s="9"/>
      <c r="AC9855" s="9"/>
      <c r="AD9855" s="9"/>
      <c r="AF9855" s="10"/>
      <c r="AG9855" s="10"/>
      <c r="AH9855" s="10"/>
      <c r="AI9855" s="10"/>
    </row>
    <row r="9856" spans="28:35" ht="15" hidden="1" customHeight="1">
      <c r="AB9856" s="9"/>
      <c r="AC9856" s="9"/>
      <c r="AD9856" s="9"/>
      <c r="AF9856" s="10"/>
      <c r="AG9856" s="10"/>
      <c r="AH9856" s="10"/>
      <c r="AI9856" s="10"/>
    </row>
    <row r="9857" spans="28:35" ht="15" hidden="1" customHeight="1">
      <c r="AB9857" s="9"/>
      <c r="AC9857" s="9"/>
      <c r="AD9857" s="9"/>
      <c r="AF9857" s="10"/>
      <c r="AG9857" s="10"/>
      <c r="AH9857" s="10"/>
      <c r="AI9857" s="10"/>
    </row>
    <row r="9858" spans="28:35" ht="15" hidden="1" customHeight="1">
      <c r="AB9858" s="9"/>
      <c r="AC9858" s="9"/>
      <c r="AD9858" s="9"/>
      <c r="AF9858" s="10"/>
      <c r="AG9858" s="10"/>
      <c r="AH9858" s="10"/>
      <c r="AI9858" s="10"/>
    </row>
    <row r="9859" spans="28:35" ht="15" hidden="1" customHeight="1">
      <c r="AB9859" s="9"/>
      <c r="AC9859" s="9"/>
      <c r="AD9859" s="9"/>
      <c r="AF9859" s="10"/>
      <c r="AG9859" s="10"/>
      <c r="AH9859" s="10"/>
      <c r="AI9859" s="10"/>
    </row>
    <row r="9860" spans="28:35" ht="15" hidden="1" customHeight="1">
      <c r="AB9860" s="9"/>
      <c r="AC9860" s="9"/>
      <c r="AD9860" s="9"/>
      <c r="AF9860" s="10"/>
      <c r="AG9860" s="10"/>
      <c r="AH9860" s="10"/>
      <c r="AI9860" s="10"/>
    </row>
    <row r="9861" spans="28:35" ht="15" hidden="1" customHeight="1">
      <c r="AB9861" s="9"/>
      <c r="AC9861" s="9"/>
      <c r="AD9861" s="9"/>
      <c r="AF9861" s="10"/>
      <c r="AG9861" s="10"/>
      <c r="AH9861" s="10"/>
      <c r="AI9861" s="10"/>
    </row>
    <row r="9862" spans="28:35" ht="15" hidden="1" customHeight="1">
      <c r="AB9862" s="9"/>
      <c r="AC9862" s="9"/>
      <c r="AD9862" s="9"/>
      <c r="AF9862" s="10"/>
      <c r="AG9862" s="10"/>
      <c r="AH9862" s="10"/>
      <c r="AI9862" s="10"/>
    </row>
    <row r="9863" spans="28:35" ht="15" hidden="1" customHeight="1">
      <c r="AB9863" s="9"/>
      <c r="AC9863" s="9"/>
      <c r="AD9863" s="9"/>
      <c r="AF9863" s="10"/>
      <c r="AG9863" s="10"/>
      <c r="AH9863" s="10"/>
      <c r="AI9863" s="10"/>
    </row>
    <row r="9864" spans="28:35" ht="15" hidden="1" customHeight="1">
      <c r="AB9864" s="9"/>
      <c r="AC9864" s="9"/>
      <c r="AD9864" s="9"/>
      <c r="AF9864" s="10"/>
      <c r="AG9864" s="10"/>
      <c r="AH9864" s="10"/>
      <c r="AI9864" s="10"/>
    </row>
    <row r="9865" spans="28:35" ht="15" hidden="1" customHeight="1">
      <c r="AB9865" s="9"/>
      <c r="AC9865" s="9"/>
      <c r="AD9865" s="9"/>
      <c r="AF9865" s="10"/>
      <c r="AG9865" s="10"/>
      <c r="AH9865" s="10"/>
      <c r="AI9865" s="10"/>
    </row>
    <row r="9866" spans="28:35" ht="15" hidden="1" customHeight="1">
      <c r="AB9866" s="9"/>
      <c r="AC9866" s="9"/>
      <c r="AD9866" s="9"/>
      <c r="AF9866" s="10"/>
      <c r="AG9866" s="10"/>
      <c r="AH9866" s="10"/>
      <c r="AI9866" s="10"/>
    </row>
    <row r="9867" spans="28:35" ht="15" hidden="1" customHeight="1">
      <c r="AB9867" s="9"/>
      <c r="AC9867" s="9"/>
      <c r="AD9867" s="9"/>
      <c r="AF9867" s="10"/>
      <c r="AG9867" s="10"/>
      <c r="AH9867" s="10"/>
      <c r="AI9867" s="10"/>
    </row>
    <row r="9868" spans="28:35" ht="15" hidden="1" customHeight="1">
      <c r="AB9868" s="9"/>
      <c r="AC9868" s="9"/>
      <c r="AD9868" s="9"/>
      <c r="AF9868" s="10"/>
      <c r="AG9868" s="10"/>
      <c r="AH9868" s="10"/>
      <c r="AI9868" s="10"/>
    </row>
    <row r="9869" spans="28:35" ht="15" hidden="1" customHeight="1">
      <c r="AB9869" s="9"/>
      <c r="AC9869" s="9"/>
      <c r="AD9869" s="9"/>
      <c r="AF9869" s="10"/>
      <c r="AG9869" s="10"/>
      <c r="AH9869" s="10"/>
      <c r="AI9869" s="10"/>
    </row>
    <row r="9870" spans="28:35" ht="15" hidden="1" customHeight="1">
      <c r="AB9870" s="9"/>
      <c r="AC9870" s="9"/>
      <c r="AD9870" s="9"/>
      <c r="AF9870" s="10"/>
      <c r="AG9870" s="10"/>
      <c r="AH9870" s="10"/>
      <c r="AI9870" s="10"/>
    </row>
    <row r="9871" spans="28:35" ht="15" hidden="1" customHeight="1">
      <c r="AB9871" s="9"/>
      <c r="AC9871" s="9"/>
      <c r="AD9871" s="9"/>
      <c r="AF9871" s="10"/>
      <c r="AG9871" s="10"/>
      <c r="AH9871" s="10"/>
      <c r="AI9871" s="10"/>
    </row>
    <row r="9872" spans="28:35" ht="15" hidden="1" customHeight="1">
      <c r="AB9872" s="9"/>
      <c r="AC9872" s="9"/>
      <c r="AD9872" s="9"/>
      <c r="AF9872" s="10"/>
      <c r="AG9872" s="10"/>
      <c r="AH9872" s="10"/>
      <c r="AI9872" s="10"/>
    </row>
    <row r="9873" spans="28:35" ht="15" hidden="1" customHeight="1">
      <c r="AB9873" s="9"/>
      <c r="AC9873" s="9"/>
      <c r="AD9873" s="9"/>
      <c r="AF9873" s="10"/>
      <c r="AG9873" s="10"/>
      <c r="AH9873" s="10"/>
      <c r="AI9873" s="10"/>
    </row>
    <row r="9874" spans="28:35" ht="15" hidden="1" customHeight="1">
      <c r="AB9874" s="9"/>
      <c r="AC9874" s="9"/>
      <c r="AD9874" s="9"/>
      <c r="AF9874" s="10"/>
      <c r="AG9874" s="10"/>
      <c r="AH9874" s="10"/>
      <c r="AI9874" s="10"/>
    </row>
    <row r="9875" spans="28:35" ht="15" hidden="1" customHeight="1">
      <c r="AB9875" s="9"/>
      <c r="AC9875" s="9"/>
      <c r="AD9875" s="9"/>
      <c r="AF9875" s="10"/>
      <c r="AG9875" s="10"/>
      <c r="AH9875" s="10"/>
      <c r="AI9875" s="10"/>
    </row>
    <row r="9876" spans="28:35" ht="15" hidden="1" customHeight="1">
      <c r="AB9876" s="9"/>
      <c r="AC9876" s="9"/>
      <c r="AD9876" s="9"/>
      <c r="AF9876" s="10"/>
      <c r="AG9876" s="10"/>
      <c r="AH9876" s="10"/>
      <c r="AI9876" s="10"/>
    </row>
    <row r="9877" spans="28:35" ht="15" hidden="1" customHeight="1">
      <c r="AB9877" s="9"/>
      <c r="AC9877" s="9"/>
      <c r="AD9877" s="9"/>
      <c r="AF9877" s="10"/>
      <c r="AG9877" s="10"/>
      <c r="AH9877" s="10"/>
      <c r="AI9877" s="10"/>
    </row>
    <row r="9878" spans="28:35" ht="15" hidden="1" customHeight="1">
      <c r="AB9878" s="9"/>
      <c r="AC9878" s="9"/>
      <c r="AD9878" s="9"/>
      <c r="AF9878" s="10"/>
      <c r="AG9878" s="10"/>
      <c r="AH9878" s="10"/>
      <c r="AI9878" s="10"/>
    </row>
    <row r="9879" spans="28:35" ht="15" hidden="1" customHeight="1">
      <c r="AB9879" s="9"/>
      <c r="AC9879" s="9"/>
      <c r="AD9879" s="9"/>
      <c r="AF9879" s="10"/>
      <c r="AG9879" s="10"/>
      <c r="AH9879" s="10"/>
      <c r="AI9879" s="10"/>
    </row>
    <row r="9880" spans="28:35" ht="15" hidden="1" customHeight="1">
      <c r="AB9880" s="9"/>
      <c r="AC9880" s="9"/>
      <c r="AD9880" s="9"/>
      <c r="AF9880" s="10"/>
      <c r="AG9880" s="10"/>
      <c r="AH9880" s="10"/>
      <c r="AI9880" s="10"/>
    </row>
    <row r="9881" spans="28:35" ht="15" hidden="1" customHeight="1">
      <c r="AB9881" s="9"/>
      <c r="AC9881" s="9"/>
      <c r="AD9881" s="9"/>
      <c r="AF9881" s="10"/>
      <c r="AG9881" s="10"/>
      <c r="AH9881" s="10"/>
      <c r="AI9881" s="10"/>
    </row>
    <row r="9882" spans="28:35" ht="15" hidden="1" customHeight="1">
      <c r="AB9882" s="9"/>
      <c r="AC9882" s="9"/>
      <c r="AD9882" s="9"/>
      <c r="AF9882" s="10"/>
      <c r="AG9882" s="10"/>
      <c r="AH9882" s="10"/>
      <c r="AI9882" s="10"/>
    </row>
    <row r="9883" spans="28:35" ht="15" hidden="1" customHeight="1">
      <c r="AB9883" s="9"/>
      <c r="AC9883" s="9"/>
      <c r="AD9883" s="9"/>
      <c r="AF9883" s="10"/>
      <c r="AG9883" s="10"/>
      <c r="AH9883" s="10"/>
      <c r="AI9883" s="10"/>
    </row>
    <row r="9884" spans="28:35" ht="15" hidden="1" customHeight="1">
      <c r="AB9884" s="9"/>
      <c r="AC9884" s="9"/>
      <c r="AD9884" s="9"/>
      <c r="AF9884" s="10"/>
      <c r="AG9884" s="10"/>
      <c r="AH9884" s="10"/>
      <c r="AI9884" s="10"/>
    </row>
    <row r="9885" spans="28:35" ht="15" hidden="1" customHeight="1">
      <c r="AB9885" s="9"/>
      <c r="AC9885" s="9"/>
      <c r="AD9885" s="9"/>
      <c r="AF9885" s="10"/>
      <c r="AG9885" s="10"/>
      <c r="AH9885" s="10"/>
      <c r="AI9885" s="10"/>
    </row>
    <row r="9886" spans="28:35" ht="15" hidden="1" customHeight="1">
      <c r="AB9886" s="9"/>
      <c r="AC9886" s="9"/>
      <c r="AD9886" s="9"/>
      <c r="AF9886" s="10"/>
      <c r="AG9886" s="10"/>
      <c r="AH9886" s="10"/>
      <c r="AI9886" s="10"/>
    </row>
    <row r="9887" spans="28:35" ht="15" hidden="1" customHeight="1">
      <c r="AB9887" s="9"/>
      <c r="AC9887" s="9"/>
      <c r="AD9887" s="9"/>
      <c r="AF9887" s="10"/>
      <c r="AG9887" s="10"/>
      <c r="AH9887" s="10"/>
      <c r="AI9887" s="10"/>
    </row>
    <row r="9888" spans="28:35" ht="15" hidden="1" customHeight="1">
      <c r="AB9888" s="9"/>
      <c r="AC9888" s="9"/>
      <c r="AD9888" s="9"/>
      <c r="AF9888" s="10"/>
      <c r="AG9888" s="10"/>
      <c r="AH9888" s="10"/>
      <c r="AI9888" s="10"/>
    </row>
    <row r="9889" spans="28:35" ht="15" hidden="1" customHeight="1">
      <c r="AB9889" s="9"/>
      <c r="AC9889" s="9"/>
      <c r="AD9889" s="9"/>
      <c r="AF9889" s="10"/>
      <c r="AG9889" s="10"/>
      <c r="AH9889" s="10"/>
      <c r="AI9889" s="10"/>
    </row>
    <row r="9890" spans="28:35" ht="15" hidden="1" customHeight="1">
      <c r="AB9890" s="9"/>
      <c r="AC9890" s="9"/>
      <c r="AD9890" s="9"/>
      <c r="AF9890" s="10"/>
      <c r="AG9890" s="10"/>
      <c r="AH9890" s="10"/>
      <c r="AI9890" s="10"/>
    </row>
    <row r="9891" spans="28:35" ht="15" hidden="1" customHeight="1">
      <c r="AB9891" s="9"/>
      <c r="AC9891" s="9"/>
      <c r="AD9891" s="9"/>
      <c r="AF9891" s="10"/>
      <c r="AG9891" s="10"/>
      <c r="AH9891" s="10"/>
      <c r="AI9891" s="10"/>
    </row>
    <row r="9892" spans="28:35" ht="15" hidden="1" customHeight="1">
      <c r="AB9892" s="9"/>
      <c r="AC9892" s="9"/>
      <c r="AD9892" s="9"/>
      <c r="AF9892" s="10"/>
      <c r="AG9892" s="10"/>
      <c r="AH9892" s="10"/>
      <c r="AI9892" s="10"/>
    </row>
    <row r="9893" spans="28:35" ht="15" hidden="1" customHeight="1">
      <c r="AB9893" s="9"/>
      <c r="AC9893" s="9"/>
      <c r="AD9893" s="9"/>
      <c r="AF9893" s="10"/>
      <c r="AG9893" s="10"/>
      <c r="AH9893" s="10"/>
      <c r="AI9893" s="10"/>
    </row>
    <row r="9894" spans="28:35" ht="15" hidden="1" customHeight="1">
      <c r="AB9894" s="9"/>
      <c r="AC9894" s="9"/>
      <c r="AD9894" s="9"/>
      <c r="AF9894" s="10"/>
      <c r="AG9894" s="10"/>
      <c r="AH9894" s="10"/>
      <c r="AI9894" s="10"/>
    </row>
    <row r="9895" spans="28:35" ht="15" hidden="1" customHeight="1">
      <c r="AB9895" s="9"/>
      <c r="AC9895" s="9"/>
      <c r="AD9895" s="9"/>
      <c r="AF9895" s="10"/>
      <c r="AG9895" s="10"/>
      <c r="AH9895" s="10"/>
      <c r="AI9895" s="10"/>
    </row>
    <row r="9896" spans="28:35" ht="15" hidden="1" customHeight="1">
      <c r="AB9896" s="9"/>
      <c r="AC9896" s="9"/>
      <c r="AD9896" s="9"/>
      <c r="AF9896" s="10"/>
      <c r="AG9896" s="10"/>
      <c r="AH9896" s="10"/>
      <c r="AI9896" s="10"/>
    </row>
    <row r="9897" spans="28:35" ht="15" hidden="1" customHeight="1">
      <c r="AB9897" s="9"/>
      <c r="AC9897" s="9"/>
      <c r="AD9897" s="9"/>
      <c r="AF9897" s="10"/>
      <c r="AG9897" s="10"/>
      <c r="AH9897" s="10"/>
      <c r="AI9897" s="10"/>
    </row>
    <row r="9898" spans="28:35" ht="15" hidden="1" customHeight="1">
      <c r="AB9898" s="9"/>
      <c r="AC9898" s="9"/>
      <c r="AD9898" s="9"/>
      <c r="AF9898" s="10"/>
      <c r="AG9898" s="10"/>
      <c r="AH9898" s="10"/>
      <c r="AI9898" s="10"/>
    </row>
    <row r="9899" spans="28:35" ht="15" hidden="1" customHeight="1">
      <c r="AB9899" s="9"/>
      <c r="AC9899" s="9"/>
      <c r="AD9899" s="9"/>
      <c r="AF9899" s="10"/>
      <c r="AG9899" s="10"/>
      <c r="AH9899" s="10"/>
      <c r="AI9899" s="10"/>
    </row>
    <row r="9900" spans="28:35" ht="15" hidden="1" customHeight="1">
      <c r="AB9900" s="9"/>
      <c r="AC9900" s="9"/>
      <c r="AD9900" s="9"/>
      <c r="AF9900" s="10"/>
      <c r="AG9900" s="10"/>
      <c r="AH9900" s="10"/>
      <c r="AI9900" s="10"/>
    </row>
    <row r="9901" spans="28:35" ht="15" hidden="1" customHeight="1">
      <c r="AB9901" s="9"/>
      <c r="AC9901" s="9"/>
      <c r="AD9901" s="9"/>
      <c r="AF9901" s="10"/>
      <c r="AG9901" s="10"/>
      <c r="AH9901" s="10"/>
      <c r="AI9901" s="10"/>
    </row>
    <row r="9902" spans="28:35" ht="15" hidden="1" customHeight="1">
      <c r="AB9902" s="9"/>
      <c r="AC9902" s="9"/>
      <c r="AD9902" s="9"/>
      <c r="AF9902" s="10"/>
      <c r="AG9902" s="10"/>
      <c r="AH9902" s="10"/>
      <c r="AI9902" s="10"/>
    </row>
    <row r="9903" spans="28:35" ht="15" hidden="1" customHeight="1">
      <c r="AB9903" s="9"/>
      <c r="AC9903" s="9"/>
      <c r="AD9903" s="9"/>
      <c r="AF9903" s="10"/>
      <c r="AG9903" s="10"/>
      <c r="AH9903" s="10"/>
      <c r="AI9903" s="10"/>
    </row>
    <row r="9904" spans="28:35" ht="15" hidden="1" customHeight="1">
      <c r="AB9904" s="9"/>
      <c r="AC9904" s="9"/>
      <c r="AD9904" s="9"/>
      <c r="AF9904" s="10"/>
      <c r="AG9904" s="10"/>
      <c r="AH9904" s="10"/>
      <c r="AI9904" s="10"/>
    </row>
    <row r="9905" spans="28:35" ht="15" hidden="1" customHeight="1">
      <c r="AB9905" s="9"/>
      <c r="AC9905" s="9"/>
      <c r="AD9905" s="9"/>
      <c r="AF9905" s="10"/>
      <c r="AG9905" s="10"/>
      <c r="AH9905" s="10"/>
      <c r="AI9905" s="10"/>
    </row>
    <row r="9906" spans="28:35" ht="15" hidden="1" customHeight="1">
      <c r="AB9906" s="9"/>
      <c r="AC9906" s="9"/>
      <c r="AD9906" s="9"/>
      <c r="AF9906" s="10"/>
      <c r="AG9906" s="10"/>
      <c r="AH9906" s="10"/>
      <c r="AI9906" s="10"/>
    </row>
    <row r="9907" spans="28:35" ht="15" hidden="1" customHeight="1">
      <c r="AB9907" s="9"/>
      <c r="AC9907" s="9"/>
      <c r="AD9907" s="9"/>
      <c r="AF9907" s="10"/>
      <c r="AG9907" s="10"/>
      <c r="AH9907" s="10"/>
      <c r="AI9907" s="10"/>
    </row>
    <row r="9908" spans="28:35" ht="15" hidden="1" customHeight="1">
      <c r="AB9908" s="9"/>
      <c r="AC9908" s="9"/>
      <c r="AD9908" s="9"/>
      <c r="AF9908" s="10"/>
      <c r="AG9908" s="10"/>
      <c r="AH9908" s="10"/>
      <c r="AI9908" s="10"/>
    </row>
    <row r="9909" spans="28:35" ht="15" hidden="1" customHeight="1">
      <c r="AB9909" s="9"/>
      <c r="AC9909" s="9"/>
      <c r="AD9909" s="9"/>
      <c r="AF9909" s="10"/>
      <c r="AG9909" s="10"/>
      <c r="AH9909" s="10"/>
      <c r="AI9909" s="10"/>
    </row>
    <row r="9910" spans="28:35" ht="15" hidden="1" customHeight="1">
      <c r="AB9910" s="9"/>
      <c r="AC9910" s="9"/>
      <c r="AD9910" s="9"/>
      <c r="AF9910" s="10"/>
      <c r="AG9910" s="10"/>
      <c r="AH9910" s="10"/>
      <c r="AI9910" s="10"/>
    </row>
    <row r="9911" spans="28:35" ht="15" hidden="1" customHeight="1">
      <c r="AB9911" s="9"/>
      <c r="AC9911" s="9"/>
      <c r="AD9911" s="9"/>
      <c r="AF9911" s="10"/>
      <c r="AG9911" s="10"/>
      <c r="AH9911" s="10"/>
      <c r="AI9911" s="10"/>
    </row>
    <row r="9912" spans="28:35" ht="15" hidden="1" customHeight="1">
      <c r="AB9912" s="9"/>
      <c r="AC9912" s="9"/>
      <c r="AD9912" s="9"/>
      <c r="AF9912" s="10"/>
      <c r="AG9912" s="10"/>
      <c r="AH9912" s="10"/>
      <c r="AI9912" s="10"/>
    </row>
    <row r="9913" spans="28:35" ht="15" hidden="1" customHeight="1">
      <c r="AB9913" s="9"/>
      <c r="AC9913" s="9"/>
      <c r="AD9913" s="9"/>
      <c r="AF9913" s="10"/>
      <c r="AG9913" s="10"/>
      <c r="AH9913" s="10"/>
      <c r="AI9913" s="10"/>
    </row>
    <row r="9914" spans="28:35" ht="15" hidden="1" customHeight="1">
      <c r="AB9914" s="9"/>
      <c r="AC9914" s="9"/>
      <c r="AD9914" s="9"/>
      <c r="AF9914" s="10"/>
      <c r="AG9914" s="10"/>
      <c r="AH9914" s="10"/>
      <c r="AI9914" s="10"/>
    </row>
    <row r="9915" spans="28:35" ht="15" hidden="1" customHeight="1">
      <c r="AB9915" s="9"/>
      <c r="AC9915" s="9"/>
      <c r="AD9915" s="9"/>
      <c r="AF9915" s="10"/>
      <c r="AG9915" s="10"/>
      <c r="AH9915" s="10"/>
      <c r="AI9915" s="10"/>
    </row>
    <row r="9916" spans="28:35" ht="15" hidden="1" customHeight="1">
      <c r="AB9916" s="9"/>
      <c r="AC9916" s="9"/>
      <c r="AD9916" s="9"/>
      <c r="AF9916" s="10"/>
      <c r="AG9916" s="10"/>
      <c r="AH9916" s="10"/>
      <c r="AI9916" s="10"/>
    </row>
    <row r="9917" spans="28:35" ht="15" hidden="1" customHeight="1">
      <c r="AB9917" s="9"/>
      <c r="AC9917" s="9"/>
      <c r="AD9917" s="9"/>
      <c r="AF9917" s="10"/>
      <c r="AG9917" s="10"/>
      <c r="AH9917" s="10"/>
      <c r="AI9917" s="10"/>
    </row>
    <row r="9918" spans="28:35" ht="15" hidden="1" customHeight="1">
      <c r="AB9918" s="9"/>
      <c r="AC9918" s="9"/>
      <c r="AD9918" s="9"/>
      <c r="AF9918" s="10"/>
      <c r="AG9918" s="10"/>
      <c r="AH9918" s="10"/>
      <c r="AI9918" s="10"/>
    </row>
    <row r="9919" spans="28:35" ht="15" hidden="1" customHeight="1">
      <c r="AB9919" s="9"/>
      <c r="AC9919" s="9"/>
      <c r="AD9919" s="9"/>
      <c r="AF9919" s="10"/>
      <c r="AG9919" s="10"/>
      <c r="AH9919" s="10"/>
      <c r="AI9919" s="10"/>
    </row>
    <row r="9920" spans="28:35" ht="15" hidden="1" customHeight="1">
      <c r="AB9920" s="9"/>
      <c r="AC9920" s="9"/>
      <c r="AD9920" s="9"/>
      <c r="AF9920" s="10"/>
      <c r="AG9920" s="10"/>
      <c r="AH9920" s="10"/>
      <c r="AI9920" s="10"/>
    </row>
    <row r="9921" spans="28:35" ht="15" hidden="1" customHeight="1">
      <c r="AB9921" s="9"/>
      <c r="AC9921" s="9"/>
      <c r="AD9921" s="9"/>
      <c r="AF9921" s="10"/>
      <c r="AG9921" s="10"/>
      <c r="AH9921" s="10"/>
      <c r="AI9921" s="10"/>
    </row>
    <row r="9922" spans="28:35" ht="15" hidden="1" customHeight="1">
      <c r="AB9922" s="9"/>
      <c r="AC9922" s="9"/>
      <c r="AD9922" s="9"/>
      <c r="AF9922" s="10"/>
      <c r="AG9922" s="10"/>
      <c r="AH9922" s="10"/>
      <c r="AI9922" s="10"/>
    </row>
    <row r="9923" spans="28:35" ht="15" hidden="1" customHeight="1">
      <c r="AB9923" s="9"/>
      <c r="AC9923" s="9"/>
      <c r="AD9923" s="9"/>
      <c r="AF9923" s="10"/>
      <c r="AG9923" s="10"/>
      <c r="AH9923" s="10"/>
      <c r="AI9923" s="10"/>
    </row>
    <row r="9924" spans="28:35" ht="15" hidden="1" customHeight="1">
      <c r="AB9924" s="9"/>
      <c r="AC9924" s="9"/>
      <c r="AD9924" s="9"/>
      <c r="AF9924" s="10"/>
      <c r="AG9924" s="10"/>
      <c r="AH9924" s="10"/>
      <c r="AI9924" s="10"/>
    </row>
    <row r="9925" spans="28:35" ht="15" hidden="1" customHeight="1">
      <c r="AB9925" s="9"/>
      <c r="AC9925" s="9"/>
      <c r="AD9925" s="9"/>
      <c r="AF9925" s="10"/>
      <c r="AG9925" s="10"/>
      <c r="AH9925" s="10"/>
      <c r="AI9925" s="10"/>
    </row>
    <row r="9926" spans="28:35" ht="15" hidden="1" customHeight="1">
      <c r="AB9926" s="9"/>
      <c r="AC9926" s="9"/>
      <c r="AD9926" s="9"/>
      <c r="AF9926" s="10"/>
      <c r="AG9926" s="10"/>
      <c r="AH9926" s="10"/>
      <c r="AI9926" s="10"/>
    </row>
    <row r="9927" spans="28:35" ht="15" hidden="1" customHeight="1">
      <c r="AB9927" s="9"/>
      <c r="AC9927" s="9"/>
      <c r="AD9927" s="9"/>
      <c r="AF9927" s="10"/>
      <c r="AG9927" s="10"/>
      <c r="AH9927" s="10"/>
      <c r="AI9927" s="10"/>
    </row>
    <row r="9928" spans="28:35" ht="15" hidden="1" customHeight="1">
      <c r="AB9928" s="9"/>
      <c r="AC9928" s="9"/>
      <c r="AD9928" s="9"/>
      <c r="AF9928" s="10"/>
      <c r="AG9928" s="10"/>
      <c r="AH9928" s="10"/>
      <c r="AI9928" s="10"/>
    </row>
    <row r="9929" spans="28:35" ht="15" hidden="1" customHeight="1">
      <c r="AB9929" s="9"/>
      <c r="AC9929" s="9"/>
      <c r="AD9929" s="9"/>
      <c r="AF9929" s="10"/>
      <c r="AG9929" s="10"/>
      <c r="AH9929" s="10"/>
      <c r="AI9929" s="10"/>
    </row>
    <row r="9930" spans="28:35" ht="15" hidden="1" customHeight="1">
      <c r="AB9930" s="9"/>
      <c r="AC9930" s="9"/>
      <c r="AD9930" s="9"/>
      <c r="AF9930" s="10"/>
      <c r="AG9930" s="10"/>
      <c r="AH9930" s="10"/>
      <c r="AI9930" s="10"/>
    </row>
    <row r="9931" spans="28:35" ht="15" hidden="1" customHeight="1">
      <c r="AB9931" s="9"/>
      <c r="AC9931" s="9"/>
      <c r="AD9931" s="9"/>
      <c r="AF9931" s="10"/>
      <c r="AG9931" s="10"/>
      <c r="AH9931" s="10"/>
      <c r="AI9931" s="10"/>
    </row>
    <row r="9932" spans="28:35" ht="15" hidden="1" customHeight="1">
      <c r="AB9932" s="9"/>
      <c r="AC9932" s="9"/>
      <c r="AD9932" s="9"/>
      <c r="AF9932" s="10"/>
      <c r="AG9932" s="10"/>
      <c r="AH9932" s="10"/>
      <c r="AI9932" s="10"/>
    </row>
    <row r="9933" spans="28:35" ht="15" hidden="1" customHeight="1">
      <c r="AB9933" s="9"/>
      <c r="AC9933" s="9"/>
      <c r="AD9933" s="9"/>
      <c r="AF9933" s="10"/>
      <c r="AG9933" s="10"/>
      <c r="AH9933" s="10"/>
      <c r="AI9933" s="10"/>
    </row>
    <row r="9934" spans="28:35" ht="15" hidden="1" customHeight="1">
      <c r="AB9934" s="9"/>
      <c r="AC9934" s="9"/>
      <c r="AD9934" s="9"/>
      <c r="AF9934" s="10"/>
      <c r="AG9934" s="10"/>
      <c r="AH9934" s="10"/>
      <c r="AI9934" s="10"/>
    </row>
    <row r="9935" spans="28:35" ht="15" hidden="1" customHeight="1">
      <c r="AB9935" s="9"/>
      <c r="AC9935" s="9"/>
      <c r="AD9935" s="9"/>
      <c r="AF9935" s="10"/>
      <c r="AG9935" s="10"/>
      <c r="AH9935" s="10"/>
      <c r="AI9935" s="10"/>
    </row>
    <row r="9936" spans="28:35" ht="15" hidden="1" customHeight="1">
      <c r="AB9936" s="9"/>
      <c r="AC9936" s="9"/>
      <c r="AD9936" s="9"/>
      <c r="AF9936" s="10"/>
      <c r="AG9936" s="10"/>
      <c r="AH9936" s="10"/>
      <c r="AI9936" s="10"/>
    </row>
    <row r="9937" spans="28:35" ht="15" hidden="1" customHeight="1">
      <c r="AB9937" s="9"/>
      <c r="AC9937" s="9"/>
      <c r="AD9937" s="9"/>
      <c r="AF9937" s="10"/>
      <c r="AG9937" s="10"/>
      <c r="AH9937" s="10"/>
      <c r="AI9937" s="10"/>
    </row>
    <row r="9938" spans="28:35" ht="15" hidden="1" customHeight="1">
      <c r="AB9938" s="9"/>
      <c r="AC9938" s="9"/>
      <c r="AD9938" s="9"/>
      <c r="AF9938" s="10"/>
      <c r="AG9938" s="10"/>
      <c r="AH9938" s="10"/>
      <c r="AI9938" s="10"/>
    </row>
    <row r="9939" spans="28:35" ht="15" hidden="1" customHeight="1">
      <c r="AB9939" s="9"/>
      <c r="AC9939" s="9"/>
      <c r="AD9939" s="9"/>
      <c r="AF9939" s="10"/>
      <c r="AG9939" s="10"/>
      <c r="AH9939" s="10"/>
      <c r="AI9939" s="10"/>
    </row>
    <row r="9940" spans="28:35" ht="15" hidden="1" customHeight="1">
      <c r="AB9940" s="9"/>
      <c r="AC9940" s="9"/>
      <c r="AD9940" s="9"/>
      <c r="AF9940" s="10"/>
      <c r="AG9940" s="10"/>
      <c r="AH9940" s="10"/>
      <c r="AI9940" s="10"/>
    </row>
    <row r="9941" spans="28:35" ht="15" hidden="1" customHeight="1">
      <c r="AB9941" s="9"/>
      <c r="AC9941" s="9"/>
      <c r="AD9941" s="9"/>
      <c r="AF9941" s="10"/>
      <c r="AG9941" s="10"/>
      <c r="AH9941" s="10"/>
      <c r="AI9941" s="10"/>
    </row>
    <row r="9942" spans="28:35" ht="15" hidden="1" customHeight="1">
      <c r="AB9942" s="9"/>
      <c r="AC9942" s="9"/>
      <c r="AD9942" s="9"/>
      <c r="AF9942" s="10"/>
      <c r="AG9942" s="10"/>
      <c r="AH9942" s="10"/>
      <c r="AI9942" s="10"/>
    </row>
    <row r="9943" spans="28:35" ht="15" hidden="1" customHeight="1">
      <c r="AB9943" s="9"/>
      <c r="AC9943" s="9"/>
      <c r="AD9943" s="9"/>
      <c r="AF9943" s="10"/>
      <c r="AG9943" s="10"/>
      <c r="AH9943" s="10"/>
      <c r="AI9943" s="10"/>
    </row>
    <row r="9944" spans="28:35" ht="15" hidden="1" customHeight="1">
      <c r="AB9944" s="9"/>
      <c r="AC9944" s="9"/>
      <c r="AD9944" s="9"/>
      <c r="AF9944" s="10"/>
      <c r="AG9944" s="10"/>
      <c r="AH9944" s="10"/>
      <c r="AI9944" s="10"/>
    </row>
    <row r="9945" spans="28:35" ht="15" hidden="1" customHeight="1">
      <c r="AB9945" s="9"/>
      <c r="AC9945" s="9"/>
      <c r="AD9945" s="9"/>
      <c r="AF9945" s="10"/>
      <c r="AG9945" s="10"/>
      <c r="AH9945" s="10"/>
      <c r="AI9945" s="10"/>
    </row>
    <row r="9946" spans="28:35" ht="15" hidden="1" customHeight="1">
      <c r="AB9946" s="9"/>
      <c r="AC9946" s="9"/>
      <c r="AD9946" s="9"/>
      <c r="AF9946" s="10"/>
      <c r="AG9946" s="10"/>
      <c r="AH9946" s="10"/>
      <c r="AI9946" s="10"/>
    </row>
    <row r="9947" spans="28:35" ht="15" hidden="1" customHeight="1">
      <c r="AB9947" s="9"/>
      <c r="AC9947" s="9"/>
      <c r="AD9947" s="9"/>
      <c r="AF9947" s="10"/>
      <c r="AG9947" s="10"/>
      <c r="AH9947" s="10"/>
      <c r="AI9947" s="10"/>
    </row>
    <row r="9948" spans="28:35" ht="15" hidden="1" customHeight="1">
      <c r="AB9948" s="9"/>
      <c r="AC9948" s="9"/>
      <c r="AD9948" s="9"/>
      <c r="AF9948" s="10"/>
      <c r="AG9948" s="10"/>
      <c r="AH9948" s="10"/>
      <c r="AI9948" s="10"/>
    </row>
    <row r="9949" spans="28:35" ht="15" hidden="1" customHeight="1">
      <c r="AB9949" s="9"/>
      <c r="AC9949" s="9"/>
      <c r="AD9949" s="9"/>
      <c r="AF9949" s="10"/>
      <c r="AG9949" s="10"/>
      <c r="AH9949" s="10"/>
      <c r="AI9949" s="10"/>
    </row>
    <row r="9950" spans="28:35" ht="15" hidden="1" customHeight="1">
      <c r="AB9950" s="9"/>
      <c r="AC9950" s="9"/>
      <c r="AD9950" s="9"/>
      <c r="AF9950" s="10"/>
      <c r="AG9950" s="10"/>
      <c r="AH9950" s="10"/>
      <c r="AI9950" s="10"/>
    </row>
    <row r="9951" spans="28:35" ht="15" hidden="1" customHeight="1">
      <c r="AB9951" s="9"/>
      <c r="AC9951" s="9"/>
      <c r="AD9951" s="9"/>
      <c r="AF9951" s="10"/>
      <c r="AG9951" s="10"/>
      <c r="AH9951" s="10"/>
      <c r="AI9951" s="10"/>
    </row>
    <row r="9952" spans="28:35" ht="15" hidden="1" customHeight="1">
      <c r="AB9952" s="9"/>
      <c r="AC9952" s="9"/>
      <c r="AD9952" s="9"/>
      <c r="AF9952" s="10"/>
      <c r="AG9952" s="10"/>
      <c r="AH9952" s="10"/>
      <c r="AI9952" s="10"/>
    </row>
    <row r="9953" spans="28:35" ht="15" hidden="1" customHeight="1">
      <c r="AB9953" s="9"/>
      <c r="AC9953" s="9"/>
      <c r="AD9953" s="9"/>
      <c r="AF9953" s="10"/>
      <c r="AG9953" s="10"/>
      <c r="AH9953" s="10"/>
      <c r="AI9953" s="10"/>
    </row>
    <row r="9954" spans="28:35" ht="15" hidden="1" customHeight="1">
      <c r="AB9954" s="9"/>
      <c r="AC9954" s="9"/>
      <c r="AD9954" s="9"/>
      <c r="AF9954" s="10"/>
      <c r="AG9954" s="10"/>
      <c r="AH9954" s="10"/>
      <c r="AI9954" s="10"/>
    </row>
    <row r="9955" spans="28:35" ht="15" hidden="1" customHeight="1">
      <c r="AB9955" s="9"/>
      <c r="AC9955" s="9"/>
      <c r="AD9955" s="9"/>
      <c r="AF9955" s="10"/>
      <c r="AG9955" s="10"/>
      <c r="AH9955" s="10"/>
      <c r="AI9955" s="10"/>
    </row>
    <row r="9956" spans="28:35" ht="15" hidden="1" customHeight="1">
      <c r="AB9956" s="9"/>
      <c r="AC9956" s="9"/>
      <c r="AD9956" s="9"/>
      <c r="AF9956" s="10"/>
      <c r="AG9956" s="10"/>
      <c r="AH9956" s="10"/>
      <c r="AI9956" s="10"/>
    </row>
    <row r="9957" spans="28:35" ht="15" hidden="1" customHeight="1">
      <c r="AB9957" s="9"/>
      <c r="AC9957" s="9"/>
      <c r="AD9957" s="9"/>
      <c r="AF9957" s="10"/>
      <c r="AG9957" s="10"/>
      <c r="AH9957" s="10"/>
      <c r="AI9957" s="10"/>
    </row>
    <row r="9958" spans="28:35" ht="15" hidden="1" customHeight="1">
      <c r="AB9958" s="9"/>
      <c r="AC9958" s="9"/>
      <c r="AD9958" s="9"/>
      <c r="AF9958" s="10"/>
      <c r="AG9958" s="10"/>
      <c r="AH9958" s="10"/>
      <c r="AI9958" s="10"/>
    </row>
    <row r="9959" spans="28:35" ht="15" hidden="1" customHeight="1">
      <c r="AB9959" s="9"/>
      <c r="AC9959" s="9"/>
      <c r="AD9959" s="9"/>
      <c r="AF9959" s="10"/>
      <c r="AG9959" s="10"/>
      <c r="AH9959" s="10"/>
      <c r="AI9959" s="10"/>
    </row>
    <row r="9960" spans="28:35" ht="15" hidden="1" customHeight="1">
      <c r="AB9960" s="9"/>
      <c r="AC9960" s="9"/>
      <c r="AD9960" s="9"/>
      <c r="AF9960" s="10"/>
      <c r="AG9960" s="10"/>
      <c r="AH9960" s="10"/>
      <c r="AI9960" s="10"/>
    </row>
    <row r="9961" spans="28:35" ht="15" hidden="1" customHeight="1">
      <c r="AB9961" s="9"/>
      <c r="AC9961" s="9"/>
      <c r="AD9961" s="9"/>
      <c r="AF9961" s="10"/>
      <c r="AG9961" s="10"/>
      <c r="AH9961" s="10"/>
      <c r="AI9961" s="10"/>
    </row>
    <row r="9962" spans="28:35" ht="15" hidden="1" customHeight="1">
      <c r="AB9962" s="9"/>
      <c r="AC9962" s="9"/>
      <c r="AD9962" s="9"/>
      <c r="AF9962" s="10"/>
      <c r="AG9962" s="10"/>
      <c r="AH9962" s="10"/>
      <c r="AI9962" s="10"/>
    </row>
    <row r="9963" spans="28:35" ht="15" hidden="1" customHeight="1">
      <c r="AB9963" s="9"/>
      <c r="AC9963" s="9"/>
      <c r="AD9963" s="9"/>
      <c r="AF9963" s="10"/>
      <c r="AG9963" s="10"/>
      <c r="AH9963" s="10"/>
      <c r="AI9963" s="10"/>
    </row>
    <row r="9964" spans="28:35" ht="15" hidden="1" customHeight="1">
      <c r="AB9964" s="9"/>
      <c r="AC9964" s="9"/>
      <c r="AD9964" s="9"/>
      <c r="AF9964" s="10"/>
      <c r="AG9964" s="10"/>
      <c r="AH9964" s="10"/>
      <c r="AI9964" s="10"/>
    </row>
    <row r="9965" spans="28:35" ht="15" hidden="1" customHeight="1">
      <c r="AB9965" s="9"/>
      <c r="AC9965" s="9"/>
      <c r="AD9965" s="9"/>
      <c r="AF9965" s="10"/>
      <c r="AG9965" s="10"/>
      <c r="AH9965" s="10"/>
      <c r="AI9965" s="10"/>
    </row>
    <row r="9966" spans="28:35" ht="15" hidden="1" customHeight="1">
      <c r="AB9966" s="9"/>
      <c r="AC9966" s="9"/>
      <c r="AD9966" s="9"/>
      <c r="AF9966" s="10"/>
      <c r="AG9966" s="10"/>
      <c r="AH9966" s="10"/>
      <c r="AI9966" s="10"/>
    </row>
    <row r="9967" spans="28:35" ht="15" hidden="1" customHeight="1">
      <c r="AB9967" s="9"/>
      <c r="AC9967" s="9"/>
      <c r="AD9967" s="9"/>
      <c r="AF9967" s="10"/>
      <c r="AG9967" s="10"/>
      <c r="AH9967" s="10"/>
      <c r="AI9967" s="10"/>
    </row>
    <row r="9968" spans="28:35" ht="15" hidden="1" customHeight="1">
      <c r="AB9968" s="9"/>
      <c r="AC9968" s="9"/>
      <c r="AD9968" s="9"/>
      <c r="AF9968" s="10"/>
      <c r="AG9968" s="10"/>
      <c r="AH9968" s="10"/>
      <c r="AI9968" s="10"/>
    </row>
    <row r="9969" spans="28:35" ht="15" hidden="1" customHeight="1">
      <c r="AB9969" s="9"/>
      <c r="AC9969" s="9"/>
      <c r="AD9969" s="9"/>
      <c r="AF9969" s="10"/>
      <c r="AG9969" s="10"/>
      <c r="AH9969" s="10"/>
      <c r="AI9969" s="10"/>
    </row>
    <row r="9970" spans="28:35" ht="15" hidden="1" customHeight="1">
      <c r="AB9970" s="9"/>
      <c r="AC9970" s="9"/>
      <c r="AD9970" s="9"/>
      <c r="AF9970" s="10"/>
      <c r="AG9970" s="10"/>
      <c r="AH9970" s="10"/>
      <c r="AI9970" s="10"/>
    </row>
    <row r="9971" spans="28:35" ht="15" hidden="1" customHeight="1">
      <c r="AB9971" s="9"/>
      <c r="AC9971" s="9"/>
      <c r="AD9971" s="9"/>
      <c r="AF9971" s="10"/>
      <c r="AG9971" s="10"/>
      <c r="AH9971" s="10"/>
      <c r="AI9971" s="10"/>
    </row>
    <row r="9972" spans="28:35" ht="15" hidden="1" customHeight="1">
      <c r="AB9972" s="9"/>
      <c r="AC9972" s="9"/>
      <c r="AD9972" s="9"/>
      <c r="AF9972" s="10"/>
      <c r="AG9972" s="10"/>
      <c r="AH9972" s="10"/>
      <c r="AI9972" s="10"/>
    </row>
    <row r="9973" spans="28:35" ht="15" hidden="1" customHeight="1">
      <c r="AB9973" s="9"/>
      <c r="AC9973" s="9"/>
      <c r="AD9973" s="9"/>
      <c r="AF9973" s="10"/>
      <c r="AG9973" s="10"/>
      <c r="AH9973" s="10"/>
      <c r="AI9973" s="10"/>
    </row>
    <row r="9974" spans="28:35" ht="15" hidden="1" customHeight="1">
      <c r="AB9974" s="9"/>
      <c r="AC9974" s="9"/>
      <c r="AD9974" s="9"/>
      <c r="AF9974" s="10"/>
      <c r="AG9974" s="10"/>
      <c r="AH9974" s="10"/>
      <c r="AI9974" s="10"/>
    </row>
    <row r="9975" spans="28:35" ht="15" hidden="1" customHeight="1">
      <c r="AB9975" s="9"/>
      <c r="AC9975" s="9"/>
      <c r="AD9975" s="9"/>
      <c r="AF9975" s="10"/>
      <c r="AG9975" s="10"/>
      <c r="AH9975" s="10"/>
      <c r="AI9975" s="10"/>
    </row>
    <row r="9976" spans="28:35" ht="15" hidden="1" customHeight="1">
      <c r="AB9976" s="9"/>
      <c r="AC9976" s="9"/>
      <c r="AD9976" s="9"/>
      <c r="AF9976" s="10"/>
      <c r="AG9976" s="10"/>
      <c r="AH9976" s="10"/>
      <c r="AI9976" s="10"/>
    </row>
    <row r="9977" spans="28:35" ht="15" hidden="1" customHeight="1">
      <c r="AB9977" s="9"/>
      <c r="AC9977" s="9"/>
      <c r="AD9977" s="9"/>
      <c r="AF9977" s="10"/>
      <c r="AG9977" s="10"/>
      <c r="AH9977" s="10"/>
      <c r="AI9977" s="10"/>
    </row>
    <row r="9978" spans="28:35" ht="15" hidden="1" customHeight="1">
      <c r="AB9978" s="9"/>
      <c r="AC9978" s="9"/>
      <c r="AD9978" s="9"/>
      <c r="AF9978" s="10"/>
      <c r="AG9978" s="10"/>
      <c r="AH9978" s="10"/>
      <c r="AI9978" s="10"/>
    </row>
    <row r="9979" spans="28:35" ht="15" hidden="1" customHeight="1">
      <c r="AB9979" s="9"/>
      <c r="AC9979" s="9"/>
      <c r="AD9979" s="9"/>
      <c r="AF9979" s="10"/>
      <c r="AG9979" s="10"/>
      <c r="AH9979" s="10"/>
      <c r="AI9979" s="10"/>
    </row>
    <row r="9980" spans="28:35" ht="15" hidden="1" customHeight="1">
      <c r="AB9980" s="9"/>
      <c r="AC9980" s="9"/>
      <c r="AD9980" s="9"/>
      <c r="AF9980" s="10"/>
      <c r="AG9980" s="10"/>
      <c r="AH9980" s="10"/>
      <c r="AI9980" s="10"/>
    </row>
    <row r="9981" spans="28:35" ht="15" hidden="1" customHeight="1">
      <c r="AB9981" s="9"/>
      <c r="AC9981" s="9"/>
      <c r="AD9981" s="9"/>
      <c r="AF9981" s="10"/>
      <c r="AG9981" s="10"/>
      <c r="AH9981" s="10"/>
      <c r="AI9981" s="10"/>
    </row>
    <row r="9982" spans="28:35" ht="15" hidden="1" customHeight="1">
      <c r="AB9982" s="9"/>
      <c r="AC9982" s="9"/>
      <c r="AD9982" s="9"/>
      <c r="AF9982" s="10"/>
      <c r="AG9982" s="10"/>
      <c r="AH9982" s="10"/>
      <c r="AI9982" s="10"/>
    </row>
    <row r="9983" spans="28:35" ht="15" hidden="1" customHeight="1">
      <c r="AB9983" s="9"/>
      <c r="AC9983" s="9"/>
      <c r="AD9983" s="9"/>
      <c r="AF9983" s="10"/>
      <c r="AG9983" s="10"/>
      <c r="AH9983" s="10"/>
      <c r="AI9983" s="10"/>
    </row>
    <row r="9984" spans="28:35" ht="15" hidden="1" customHeight="1">
      <c r="AB9984" s="9"/>
      <c r="AC9984" s="9"/>
      <c r="AD9984" s="9"/>
      <c r="AF9984" s="10"/>
      <c r="AG9984" s="10"/>
      <c r="AH9984" s="10"/>
      <c r="AI9984" s="10"/>
    </row>
    <row r="9985" spans="28:35" ht="15" hidden="1" customHeight="1">
      <c r="AB9985" s="9"/>
      <c r="AC9985" s="9"/>
      <c r="AD9985" s="9"/>
      <c r="AF9985" s="10"/>
      <c r="AG9985" s="10"/>
      <c r="AH9985" s="10"/>
      <c r="AI9985" s="10"/>
    </row>
    <row r="9986" spans="28:35" ht="15" hidden="1" customHeight="1">
      <c r="AB9986" s="9"/>
      <c r="AC9986" s="9"/>
      <c r="AD9986" s="9"/>
      <c r="AF9986" s="10"/>
      <c r="AG9986" s="10"/>
      <c r="AH9986" s="10"/>
      <c r="AI9986" s="10"/>
    </row>
    <row r="9987" spans="28:35" ht="15" hidden="1" customHeight="1">
      <c r="AB9987" s="9"/>
      <c r="AC9987" s="9"/>
      <c r="AD9987" s="9"/>
      <c r="AF9987" s="10"/>
      <c r="AG9987" s="10"/>
      <c r="AH9987" s="10"/>
      <c r="AI9987" s="10"/>
    </row>
    <row r="9988" spans="28:35" ht="15" hidden="1" customHeight="1">
      <c r="AB9988" s="9"/>
      <c r="AC9988" s="9"/>
      <c r="AD9988" s="9"/>
      <c r="AF9988" s="10"/>
      <c r="AG9988" s="10"/>
      <c r="AH9988" s="10"/>
      <c r="AI9988" s="10"/>
    </row>
    <row r="9989" spans="28:35" ht="15" hidden="1" customHeight="1">
      <c r="AB9989" s="9"/>
      <c r="AC9989" s="9"/>
      <c r="AD9989" s="9"/>
      <c r="AF9989" s="10"/>
      <c r="AG9989" s="10"/>
      <c r="AH9989" s="10"/>
      <c r="AI9989" s="10"/>
    </row>
    <row r="9990" spans="28:35" ht="15" hidden="1" customHeight="1">
      <c r="AB9990" s="9"/>
      <c r="AC9990" s="9"/>
      <c r="AD9990" s="9"/>
      <c r="AF9990" s="10"/>
      <c r="AG9990" s="10"/>
      <c r="AH9990" s="10"/>
      <c r="AI9990" s="10"/>
    </row>
    <row r="9991" spans="28:35" ht="15" hidden="1" customHeight="1">
      <c r="AB9991" s="9"/>
      <c r="AC9991" s="9"/>
      <c r="AD9991" s="9"/>
      <c r="AF9991" s="10"/>
      <c r="AG9991" s="10"/>
      <c r="AH9991" s="10"/>
      <c r="AI9991" s="10"/>
    </row>
    <row r="9992" spans="28:35" ht="15" hidden="1" customHeight="1">
      <c r="AB9992" s="9"/>
      <c r="AC9992" s="9"/>
      <c r="AD9992" s="9"/>
      <c r="AF9992" s="10"/>
      <c r="AG9992" s="10"/>
      <c r="AH9992" s="10"/>
      <c r="AI9992" s="10"/>
    </row>
    <row r="9993" spans="28:35" ht="15" hidden="1" customHeight="1">
      <c r="AB9993" s="9"/>
      <c r="AC9993" s="9"/>
      <c r="AD9993" s="9"/>
      <c r="AF9993" s="10"/>
      <c r="AG9993" s="10"/>
      <c r="AH9993" s="10"/>
      <c r="AI9993" s="10"/>
    </row>
    <row r="9994" spans="28:35" ht="15" hidden="1" customHeight="1">
      <c r="AB9994" s="9"/>
      <c r="AC9994" s="9"/>
      <c r="AD9994" s="9"/>
      <c r="AF9994" s="10"/>
      <c r="AG9994" s="10"/>
      <c r="AH9994" s="10"/>
      <c r="AI9994" s="10"/>
    </row>
    <row r="9995" spans="28:35" ht="15" hidden="1" customHeight="1">
      <c r="AB9995" s="9"/>
      <c r="AC9995" s="9"/>
      <c r="AD9995" s="9"/>
      <c r="AF9995" s="10"/>
      <c r="AG9995" s="10"/>
      <c r="AH9995" s="10"/>
      <c r="AI9995" s="10"/>
    </row>
    <row r="9996" spans="28:35" ht="15" hidden="1" customHeight="1">
      <c r="AB9996" s="9"/>
      <c r="AC9996" s="9"/>
      <c r="AD9996" s="9"/>
      <c r="AF9996" s="10"/>
      <c r="AG9996" s="10"/>
      <c r="AH9996" s="10"/>
      <c r="AI9996" s="10"/>
    </row>
    <row r="9997" spans="28:35" ht="15" hidden="1" customHeight="1">
      <c r="AB9997" s="9"/>
      <c r="AC9997" s="9"/>
      <c r="AD9997" s="9"/>
      <c r="AF9997" s="10"/>
      <c r="AG9997" s="10"/>
      <c r="AH9997" s="10"/>
      <c r="AI9997" s="10"/>
    </row>
    <row r="9998" spans="28:35" ht="15" hidden="1" customHeight="1">
      <c r="AB9998" s="9"/>
      <c r="AC9998" s="9"/>
      <c r="AD9998" s="9"/>
      <c r="AF9998" s="10"/>
      <c r="AG9998" s="10"/>
      <c r="AH9998" s="10"/>
      <c r="AI9998" s="10"/>
    </row>
    <row r="9999" spans="28:35" ht="15" hidden="1" customHeight="1">
      <c r="AB9999" s="9"/>
      <c r="AC9999" s="9"/>
      <c r="AD9999" s="9"/>
      <c r="AF9999" s="10"/>
      <c r="AG9999" s="10"/>
      <c r="AH9999" s="10"/>
      <c r="AI9999" s="10"/>
    </row>
    <row r="10000" spans="28:35" ht="15" hidden="1" customHeight="1">
      <c r="AB10000" s="9"/>
      <c r="AC10000" s="9"/>
      <c r="AD10000" s="9"/>
      <c r="AF10000" s="10"/>
      <c r="AG10000" s="10"/>
      <c r="AH10000" s="10"/>
      <c r="AI10000" s="10"/>
    </row>
    <row r="10001" spans="28:35" ht="15" hidden="1" customHeight="1">
      <c r="AB10001" s="9"/>
      <c r="AC10001" s="9"/>
      <c r="AD10001" s="9"/>
      <c r="AF10001" s="10"/>
      <c r="AG10001" s="10"/>
      <c r="AH10001" s="10"/>
      <c r="AI10001" s="10"/>
    </row>
    <row r="10002" spans="28:35" ht="15" hidden="1" customHeight="1">
      <c r="AB10002" s="9"/>
      <c r="AC10002" s="9"/>
      <c r="AD10002" s="9"/>
      <c r="AF10002" s="10"/>
      <c r="AG10002" s="10"/>
      <c r="AH10002" s="10"/>
      <c r="AI10002" s="10"/>
    </row>
    <row r="10003" spans="28:35" ht="15" hidden="1" customHeight="1">
      <c r="AB10003" s="9"/>
      <c r="AC10003" s="9"/>
      <c r="AD10003" s="9"/>
      <c r="AF10003" s="10"/>
      <c r="AG10003" s="10"/>
      <c r="AH10003" s="10"/>
      <c r="AI10003" s="10"/>
    </row>
    <row r="10004" spans="28:35" ht="15" hidden="1" customHeight="1">
      <c r="AB10004" s="9"/>
      <c r="AC10004" s="9"/>
      <c r="AD10004" s="9"/>
      <c r="AF10004" s="10"/>
      <c r="AG10004" s="10"/>
      <c r="AH10004" s="10"/>
      <c r="AI10004" s="10"/>
    </row>
    <row r="10005" spans="28:35" ht="15" hidden="1" customHeight="1">
      <c r="AB10005" s="9"/>
      <c r="AC10005" s="9"/>
      <c r="AD10005" s="9"/>
      <c r="AF10005" s="10"/>
      <c r="AG10005" s="10"/>
      <c r="AH10005" s="10"/>
      <c r="AI10005" s="10"/>
    </row>
    <row r="10006" spans="28:35" ht="15" hidden="1" customHeight="1">
      <c r="AB10006" s="9"/>
      <c r="AC10006" s="9"/>
      <c r="AD10006" s="9"/>
      <c r="AF10006" s="10"/>
      <c r="AG10006" s="10"/>
      <c r="AH10006" s="10"/>
      <c r="AI10006" s="10"/>
    </row>
    <row r="10007" spans="28:35" ht="15" hidden="1" customHeight="1">
      <c r="AB10007" s="9"/>
      <c r="AC10007" s="9"/>
      <c r="AD10007" s="9"/>
      <c r="AF10007" s="10"/>
      <c r="AG10007" s="10"/>
      <c r="AH10007" s="10"/>
      <c r="AI10007" s="10"/>
    </row>
    <row r="10008" spans="28:35" ht="15" hidden="1" customHeight="1">
      <c r="AB10008" s="9"/>
      <c r="AC10008" s="9"/>
      <c r="AD10008" s="9"/>
      <c r="AF10008" s="10"/>
      <c r="AG10008" s="10"/>
      <c r="AH10008" s="10"/>
      <c r="AI10008" s="10"/>
    </row>
    <row r="10009" spans="28:35" ht="15" hidden="1" customHeight="1">
      <c r="AB10009" s="9"/>
      <c r="AC10009" s="9"/>
      <c r="AD10009" s="9"/>
      <c r="AF10009" s="10"/>
      <c r="AG10009" s="10"/>
      <c r="AH10009" s="10"/>
      <c r="AI10009" s="10"/>
    </row>
    <row r="10010" spans="28:35" ht="15" hidden="1" customHeight="1">
      <c r="AB10010" s="9"/>
      <c r="AC10010" s="9"/>
      <c r="AD10010" s="9"/>
      <c r="AF10010" s="10"/>
      <c r="AG10010" s="10"/>
      <c r="AH10010" s="10"/>
      <c r="AI10010" s="10"/>
    </row>
    <row r="10011" spans="28:35" ht="15" hidden="1" customHeight="1">
      <c r="AB10011" s="9"/>
      <c r="AC10011" s="9"/>
      <c r="AD10011" s="9"/>
      <c r="AF10011" s="10"/>
      <c r="AG10011" s="10"/>
      <c r="AH10011" s="10"/>
      <c r="AI10011" s="10"/>
    </row>
    <row r="10012" spans="28:35" ht="15" hidden="1" customHeight="1">
      <c r="AB10012" s="9"/>
      <c r="AC10012" s="9"/>
      <c r="AD10012" s="9"/>
      <c r="AF10012" s="10"/>
      <c r="AG10012" s="10"/>
      <c r="AH10012" s="10"/>
      <c r="AI10012" s="10"/>
    </row>
    <row r="10013" spans="28:35" ht="15" hidden="1" customHeight="1">
      <c r="AB10013" s="9"/>
      <c r="AC10013" s="9"/>
      <c r="AD10013" s="9"/>
      <c r="AF10013" s="10"/>
      <c r="AG10013" s="10"/>
      <c r="AH10013" s="10"/>
      <c r="AI10013" s="10"/>
    </row>
    <row r="10014" spans="28:35" ht="15" hidden="1" customHeight="1">
      <c r="AB10014" s="9"/>
      <c r="AC10014" s="9"/>
      <c r="AD10014" s="9"/>
      <c r="AF10014" s="10"/>
      <c r="AG10014" s="10"/>
      <c r="AH10014" s="10"/>
      <c r="AI10014" s="10"/>
    </row>
    <row r="10015" spans="28:35" ht="15" hidden="1" customHeight="1">
      <c r="AB10015" s="9"/>
      <c r="AC10015" s="9"/>
      <c r="AD10015" s="9"/>
      <c r="AF10015" s="10"/>
      <c r="AG10015" s="10"/>
      <c r="AH10015" s="10"/>
      <c r="AI10015" s="10"/>
    </row>
    <row r="10016" spans="28:35" ht="15" hidden="1" customHeight="1">
      <c r="AB10016" s="9"/>
      <c r="AC10016" s="9"/>
      <c r="AD10016" s="9"/>
      <c r="AF10016" s="10"/>
      <c r="AG10016" s="10"/>
      <c r="AH10016" s="10"/>
      <c r="AI10016" s="10"/>
    </row>
    <row r="10017" spans="28:35" ht="15" hidden="1" customHeight="1">
      <c r="AB10017" s="9"/>
      <c r="AC10017" s="9"/>
      <c r="AD10017" s="9"/>
      <c r="AF10017" s="10"/>
      <c r="AG10017" s="10"/>
      <c r="AH10017" s="10"/>
      <c r="AI10017" s="10"/>
    </row>
    <row r="10018" spans="28:35" ht="15" hidden="1" customHeight="1">
      <c r="AB10018" s="9"/>
      <c r="AC10018" s="9"/>
      <c r="AD10018" s="9"/>
      <c r="AF10018" s="10"/>
      <c r="AG10018" s="10"/>
      <c r="AH10018" s="10"/>
      <c r="AI10018" s="10"/>
    </row>
    <row r="10019" spans="28:35" ht="15" hidden="1" customHeight="1">
      <c r="AB10019" s="9"/>
      <c r="AC10019" s="9"/>
      <c r="AD10019" s="9"/>
      <c r="AF10019" s="10"/>
      <c r="AG10019" s="10"/>
      <c r="AH10019" s="10"/>
      <c r="AI10019" s="10"/>
    </row>
    <row r="10020" spans="28:35" ht="15" hidden="1" customHeight="1">
      <c r="AB10020" s="9"/>
      <c r="AC10020" s="9"/>
      <c r="AD10020" s="9"/>
      <c r="AF10020" s="10"/>
      <c r="AG10020" s="10"/>
      <c r="AH10020" s="10"/>
      <c r="AI10020" s="10"/>
    </row>
    <row r="10021" spans="28:35" ht="15" hidden="1" customHeight="1">
      <c r="AB10021" s="9"/>
      <c r="AC10021" s="9"/>
      <c r="AD10021" s="9"/>
      <c r="AF10021" s="10"/>
      <c r="AG10021" s="10"/>
      <c r="AH10021" s="10"/>
      <c r="AI10021" s="10"/>
    </row>
    <row r="10022" spans="28:35" ht="15" hidden="1" customHeight="1">
      <c r="AB10022" s="9"/>
      <c r="AC10022" s="9"/>
      <c r="AD10022" s="9"/>
      <c r="AF10022" s="10"/>
      <c r="AG10022" s="10"/>
      <c r="AH10022" s="10"/>
      <c r="AI10022" s="10"/>
    </row>
    <row r="10023" spans="28:35" ht="15" hidden="1" customHeight="1">
      <c r="AB10023" s="9"/>
      <c r="AC10023" s="9"/>
      <c r="AD10023" s="9"/>
      <c r="AF10023" s="10"/>
      <c r="AG10023" s="10"/>
      <c r="AH10023" s="10"/>
      <c r="AI10023" s="10"/>
    </row>
    <row r="10024" spans="28:35" ht="15" hidden="1" customHeight="1">
      <c r="AB10024" s="9"/>
      <c r="AC10024" s="9"/>
      <c r="AD10024" s="9"/>
      <c r="AF10024" s="10"/>
      <c r="AG10024" s="10"/>
      <c r="AH10024" s="10"/>
      <c r="AI10024" s="10"/>
    </row>
    <row r="10025" spans="28:35" ht="15" hidden="1" customHeight="1">
      <c r="AB10025" s="9"/>
      <c r="AC10025" s="9"/>
      <c r="AD10025" s="9"/>
      <c r="AF10025" s="10"/>
      <c r="AG10025" s="10"/>
      <c r="AH10025" s="10"/>
      <c r="AI10025" s="10"/>
    </row>
    <row r="10026" spans="28:35" ht="15" hidden="1" customHeight="1">
      <c r="AB10026" s="9"/>
      <c r="AC10026" s="9"/>
      <c r="AD10026" s="9"/>
      <c r="AF10026" s="10"/>
      <c r="AG10026" s="10"/>
      <c r="AH10026" s="10"/>
      <c r="AI10026" s="10"/>
    </row>
    <row r="10027" spans="28:35" ht="15" hidden="1" customHeight="1">
      <c r="AB10027" s="9"/>
      <c r="AC10027" s="9"/>
      <c r="AD10027" s="9"/>
      <c r="AF10027" s="10"/>
      <c r="AG10027" s="10"/>
      <c r="AH10027" s="10"/>
      <c r="AI10027" s="10"/>
    </row>
    <row r="10028" spans="28:35" ht="15" hidden="1" customHeight="1">
      <c r="AB10028" s="9"/>
      <c r="AC10028" s="9"/>
      <c r="AD10028" s="9"/>
      <c r="AF10028" s="10"/>
      <c r="AG10028" s="10"/>
      <c r="AH10028" s="10"/>
      <c r="AI10028" s="10"/>
    </row>
    <row r="10029" spans="28:35" ht="15" hidden="1" customHeight="1">
      <c r="AB10029" s="9"/>
      <c r="AC10029" s="9"/>
      <c r="AD10029" s="9"/>
      <c r="AF10029" s="10"/>
      <c r="AG10029" s="10"/>
      <c r="AH10029" s="10"/>
      <c r="AI10029" s="10"/>
    </row>
    <row r="10030" spans="28:35" ht="15" hidden="1" customHeight="1">
      <c r="AB10030" s="9"/>
      <c r="AC10030" s="9"/>
      <c r="AD10030" s="9"/>
      <c r="AF10030" s="10"/>
      <c r="AG10030" s="10"/>
      <c r="AH10030" s="10"/>
      <c r="AI10030" s="10"/>
    </row>
    <row r="10031" spans="28:35" ht="15" hidden="1" customHeight="1">
      <c r="AB10031" s="9"/>
      <c r="AC10031" s="9"/>
      <c r="AD10031" s="9"/>
      <c r="AF10031" s="10"/>
      <c r="AG10031" s="10"/>
      <c r="AH10031" s="10"/>
      <c r="AI10031" s="10"/>
    </row>
    <row r="10032" spans="28:35" ht="15" hidden="1" customHeight="1">
      <c r="AB10032" s="9"/>
      <c r="AC10032" s="9"/>
      <c r="AD10032" s="9"/>
      <c r="AF10032" s="10"/>
      <c r="AG10032" s="10"/>
      <c r="AH10032" s="10"/>
      <c r="AI10032" s="10"/>
    </row>
    <row r="10033" spans="28:35" ht="15" hidden="1" customHeight="1">
      <c r="AB10033" s="9"/>
      <c r="AC10033" s="9"/>
      <c r="AD10033" s="9"/>
      <c r="AF10033" s="10"/>
      <c r="AG10033" s="10"/>
      <c r="AH10033" s="10"/>
      <c r="AI10033" s="10"/>
    </row>
    <row r="10034" spans="28:35" ht="15" hidden="1" customHeight="1">
      <c r="AB10034" s="9"/>
      <c r="AC10034" s="9"/>
      <c r="AD10034" s="9"/>
      <c r="AF10034" s="10"/>
      <c r="AG10034" s="10"/>
      <c r="AH10034" s="10"/>
      <c r="AI10034" s="10"/>
    </row>
    <row r="10035" spans="28:35" ht="15" hidden="1" customHeight="1">
      <c r="AB10035" s="9"/>
      <c r="AC10035" s="9"/>
      <c r="AD10035" s="9"/>
      <c r="AF10035" s="10"/>
      <c r="AG10035" s="10"/>
      <c r="AH10035" s="10"/>
      <c r="AI10035" s="10"/>
    </row>
    <row r="10036" spans="28:35" ht="15" hidden="1" customHeight="1">
      <c r="AB10036" s="9"/>
      <c r="AC10036" s="9"/>
      <c r="AD10036" s="9"/>
      <c r="AF10036" s="10"/>
      <c r="AG10036" s="10"/>
      <c r="AH10036" s="10"/>
      <c r="AI10036" s="10"/>
    </row>
    <row r="10037" spans="28:35" ht="15" hidden="1" customHeight="1">
      <c r="AB10037" s="9"/>
      <c r="AC10037" s="9"/>
      <c r="AD10037" s="9"/>
      <c r="AF10037" s="10"/>
      <c r="AG10037" s="10"/>
      <c r="AH10037" s="10"/>
      <c r="AI10037" s="10"/>
    </row>
    <row r="10038" spans="28:35" ht="15" hidden="1" customHeight="1">
      <c r="AB10038" s="9"/>
      <c r="AC10038" s="9"/>
      <c r="AD10038" s="9"/>
      <c r="AF10038" s="10"/>
      <c r="AG10038" s="10"/>
      <c r="AH10038" s="10"/>
      <c r="AI10038" s="10"/>
    </row>
    <row r="10039" spans="28:35" ht="15" hidden="1" customHeight="1">
      <c r="AB10039" s="9"/>
      <c r="AC10039" s="9"/>
      <c r="AD10039" s="9"/>
      <c r="AF10039" s="10"/>
      <c r="AG10039" s="10"/>
      <c r="AH10039" s="10"/>
      <c r="AI10039" s="10"/>
    </row>
    <row r="10040" spans="28:35" ht="15" hidden="1" customHeight="1">
      <c r="AB10040" s="9"/>
      <c r="AC10040" s="9"/>
      <c r="AD10040" s="9"/>
      <c r="AF10040" s="10"/>
      <c r="AG10040" s="10"/>
      <c r="AH10040" s="10"/>
      <c r="AI10040" s="10"/>
    </row>
    <row r="10041" spans="28:35" ht="15" hidden="1" customHeight="1">
      <c r="AB10041" s="9"/>
      <c r="AC10041" s="9"/>
      <c r="AD10041" s="9"/>
      <c r="AF10041" s="10"/>
      <c r="AG10041" s="10"/>
      <c r="AH10041" s="10"/>
      <c r="AI10041" s="10"/>
    </row>
    <row r="10042" spans="28:35" ht="15" hidden="1" customHeight="1">
      <c r="AB10042" s="9"/>
      <c r="AC10042" s="9"/>
      <c r="AD10042" s="9"/>
      <c r="AF10042" s="10"/>
      <c r="AG10042" s="10"/>
      <c r="AH10042" s="10"/>
      <c r="AI10042" s="10"/>
    </row>
    <row r="10043" spans="28:35" ht="15" hidden="1" customHeight="1">
      <c r="AB10043" s="9"/>
      <c r="AC10043" s="9"/>
      <c r="AD10043" s="9"/>
      <c r="AF10043" s="10"/>
      <c r="AG10043" s="10"/>
      <c r="AH10043" s="10"/>
      <c r="AI10043" s="10"/>
    </row>
    <row r="10044" spans="28:35" ht="15" hidden="1" customHeight="1">
      <c r="AB10044" s="9"/>
      <c r="AC10044" s="9"/>
      <c r="AD10044" s="9"/>
      <c r="AF10044" s="10"/>
      <c r="AG10044" s="10"/>
      <c r="AH10044" s="10"/>
      <c r="AI10044" s="10"/>
    </row>
    <row r="10045" spans="28:35" ht="15" hidden="1" customHeight="1">
      <c r="AB10045" s="9"/>
      <c r="AC10045" s="9"/>
      <c r="AD10045" s="9"/>
      <c r="AF10045" s="10"/>
      <c r="AG10045" s="10"/>
      <c r="AH10045" s="10"/>
      <c r="AI10045" s="10"/>
    </row>
    <row r="10046" spans="28:35" ht="15" hidden="1" customHeight="1">
      <c r="AB10046" s="9"/>
      <c r="AC10046" s="9"/>
      <c r="AD10046" s="9"/>
      <c r="AF10046" s="10"/>
      <c r="AG10046" s="10"/>
      <c r="AH10046" s="10"/>
      <c r="AI10046" s="10"/>
    </row>
    <row r="10047" spans="28:35" ht="15" hidden="1" customHeight="1">
      <c r="AB10047" s="9"/>
      <c r="AC10047" s="9"/>
      <c r="AD10047" s="9"/>
      <c r="AF10047" s="10"/>
      <c r="AG10047" s="10"/>
      <c r="AH10047" s="10"/>
      <c r="AI10047" s="10"/>
    </row>
    <row r="10048" spans="28:35" ht="15" hidden="1" customHeight="1">
      <c r="AB10048" s="9"/>
      <c r="AC10048" s="9"/>
      <c r="AD10048" s="9"/>
      <c r="AF10048" s="10"/>
      <c r="AG10048" s="10"/>
      <c r="AH10048" s="10"/>
      <c r="AI10048" s="10"/>
    </row>
    <row r="10049" spans="28:35" ht="15" hidden="1" customHeight="1">
      <c r="AB10049" s="9"/>
      <c r="AC10049" s="9"/>
      <c r="AD10049" s="9"/>
      <c r="AF10049" s="10"/>
      <c r="AG10049" s="10"/>
      <c r="AH10049" s="10"/>
      <c r="AI10049" s="10"/>
    </row>
    <row r="10050" spans="28:35" ht="15" hidden="1" customHeight="1">
      <c r="AB10050" s="9"/>
      <c r="AC10050" s="9"/>
      <c r="AD10050" s="9"/>
      <c r="AF10050" s="10"/>
      <c r="AG10050" s="10"/>
      <c r="AH10050" s="10"/>
      <c r="AI10050" s="10"/>
    </row>
    <row r="10051" spans="28:35" ht="15" hidden="1" customHeight="1">
      <c r="AB10051" s="9"/>
      <c r="AC10051" s="9"/>
      <c r="AD10051" s="9"/>
      <c r="AF10051" s="10"/>
      <c r="AG10051" s="10"/>
      <c r="AH10051" s="10"/>
      <c r="AI10051" s="10"/>
    </row>
    <row r="10052" spans="28:35" ht="15" hidden="1" customHeight="1">
      <c r="AB10052" s="9"/>
      <c r="AC10052" s="9"/>
      <c r="AD10052" s="9"/>
      <c r="AF10052" s="10"/>
      <c r="AG10052" s="10"/>
      <c r="AH10052" s="10"/>
      <c r="AI10052" s="10"/>
    </row>
    <row r="10053" spans="28:35" ht="15" hidden="1" customHeight="1">
      <c r="AB10053" s="9"/>
      <c r="AC10053" s="9"/>
      <c r="AD10053" s="9"/>
      <c r="AF10053" s="10"/>
      <c r="AG10053" s="10"/>
      <c r="AH10053" s="10"/>
      <c r="AI10053" s="10"/>
    </row>
    <row r="10054" spans="28:35" ht="15" hidden="1" customHeight="1">
      <c r="AB10054" s="9"/>
      <c r="AC10054" s="9"/>
      <c r="AD10054" s="9"/>
      <c r="AF10054" s="10"/>
      <c r="AG10054" s="10"/>
      <c r="AH10054" s="10"/>
      <c r="AI10054" s="10"/>
    </row>
    <row r="10055" spans="28:35" ht="15" hidden="1" customHeight="1">
      <c r="AB10055" s="9"/>
      <c r="AC10055" s="9"/>
      <c r="AD10055" s="9"/>
      <c r="AF10055" s="10"/>
      <c r="AG10055" s="10"/>
      <c r="AH10055" s="10"/>
      <c r="AI10055" s="10"/>
    </row>
    <row r="10056" spans="28:35" ht="15" hidden="1" customHeight="1">
      <c r="AB10056" s="9"/>
      <c r="AC10056" s="9"/>
      <c r="AD10056" s="9"/>
      <c r="AF10056" s="10"/>
      <c r="AG10056" s="10"/>
      <c r="AH10056" s="10"/>
      <c r="AI10056" s="10"/>
    </row>
    <row r="10057" spans="28:35" ht="15" hidden="1" customHeight="1">
      <c r="AB10057" s="9"/>
      <c r="AC10057" s="9"/>
      <c r="AD10057" s="9"/>
      <c r="AF10057" s="10"/>
      <c r="AG10057" s="10"/>
      <c r="AH10057" s="10"/>
      <c r="AI10057" s="10"/>
    </row>
    <row r="10058" spans="28:35" ht="15" hidden="1" customHeight="1">
      <c r="AB10058" s="9"/>
      <c r="AC10058" s="9"/>
      <c r="AD10058" s="9"/>
      <c r="AF10058" s="10"/>
      <c r="AG10058" s="10"/>
      <c r="AH10058" s="10"/>
      <c r="AI10058" s="10"/>
    </row>
    <row r="10059" spans="28:35" ht="15" hidden="1" customHeight="1">
      <c r="AB10059" s="9"/>
      <c r="AC10059" s="9"/>
      <c r="AD10059" s="9"/>
      <c r="AF10059" s="10"/>
      <c r="AG10059" s="10"/>
      <c r="AH10059" s="10"/>
      <c r="AI10059" s="10"/>
    </row>
    <row r="10060" spans="28:35" ht="15" hidden="1" customHeight="1">
      <c r="AB10060" s="9"/>
      <c r="AC10060" s="9"/>
      <c r="AD10060" s="9"/>
      <c r="AF10060" s="10"/>
      <c r="AG10060" s="10"/>
      <c r="AH10060" s="10"/>
      <c r="AI10060" s="10"/>
    </row>
    <row r="10061" spans="28:35" ht="15" hidden="1" customHeight="1">
      <c r="AB10061" s="9"/>
      <c r="AC10061" s="9"/>
      <c r="AD10061" s="9"/>
      <c r="AF10061" s="10"/>
      <c r="AG10061" s="10"/>
      <c r="AH10061" s="10"/>
      <c r="AI10061" s="10"/>
    </row>
    <row r="10062" spans="28:35" ht="15" hidden="1" customHeight="1">
      <c r="AB10062" s="9"/>
      <c r="AC10062" s="9"/>
      <c r="AD10062" s="9"/>
      <c r="AF10062" s="10"/>
      <c r="AG10062" s="10"/>
      <c r="AH10062" s="10"/>
      <c r="AI10062" s="10"/>
    </row>
    <row r="10063" spans="28:35" ht="15" hidden="1" customHeight="1">
      <c r="AB10063" s="9"/>
      <c r="AC10063" s="9"/>
      <c r="AD10063" s="9"/>
      <c r="AF10063" s="10"/>
      <c r="AG10063" s="10"/>
      <c r="AH10063" s="10"/>
      <c r="AI10063" s="10"/>
    </row>
    <row r="10064" spans="28:35" ht="15" hidden="1" customHeight="1">
      <c r="AB10064" s="9"/>
      <c r="AC10064" s="9"/>
      <c r="AD10064" s="9"/>
      <c r="AF10064" s="10"/>
      <c r="AG10064" s="10"/>
      <c r="AH10064" s="10"/>
      <c r="AI10064" s="10"/>
    </row>
    <row r="10065" spans="28:35" ht="15" hidden="1" customHeight="1">
      <c r="AB10065" s="9"/>
      <c r="AC10065" s="9"/>
      <c r="AD10065" s="9"/>
      <c r="AF10065" s="10"/>
      <c r="AG10065" s="10"/>
      <c r="AH10065" s="10"/>
      <c r="AI10065" s="10"/>
    </row>
    <row r="10066" spans="28:35" ht="15" hidden="1" customHeight="1">
      <c r="AB10066" s="9"/>
      <c r="AC10066" s="9"/>
      <c r="AD10066" s="9"/>
      <c r="AF10066" s="10"/>
      <c r="AG10066" s="10"/>
      <c r="AH10066" s="10"/>
      <c r="AI10066" s="10"/>
    </row>
    <row r="10067" spans="28:35" ht="15" hidden="1" customHeight="1">
      <c r="AB10067" s="9"/>
      <c r="AC10067" s="9"/>
      <c r="AD10067" s="9"/>
      <c r="AF10067" s="10"/>
      <c r="AG10067" s="10"/>
      <c r="AH10067" s="10"/>
      <c r="AI10067" s="10"/>
    </row>
    <row r="10068" spans="28:35" ht="15" hidden="1" customHeight="1">
      <c r="AB10068" s="9"/>
      <c r="AC10068" s="9"/>
      <c r="AD10068" s="9"/>
      <c r="AF10068" s="10"/>
      <c r="AG10068" s="10"/>
      <c r="AH10068" s="10"/>
      <c r="AI10068" s="10"/>
    </row>
    <row r="10069" spans="28:35" ht="15" hidden="1" customHeight="1">
      <c r="AB10069" s="9"/>
      <c r="AC10069" s="9"/>
      <c r="AD10069" s="9"/>
      <c r="AF10069" s="10"/>
      <c r="AG10069" s="10"/>
      <c r="AH10069" s="10"/>
      <c r="AI10069" s="10"/>
    </row>
    <row r="10070" spans="28:35" ht="15" hidden="1" customHeight="1">
      <c r="AB10070" s="9"/>
      <c r="AC10070" s="9"/>
      <c r="AD10070" s="9"/>
      <c r="AF10070" s="10"/>
      <c r="AG10070" s="10"/>
      <c r="AH10070" s="10"/>
      <c r="AI10070" s="10"/>
    </row>
    <row r="10071" spans="28:35" ht="15" hidden="1" customHeight="1">
      <c r="AB10071" s="9"/>
      <c r="AC10071" s="9"/>
      <c r="AD10071" s="9"/>
      <c r="AF10071" s="10"/>
      <c r="AG10071" s="10"/>
      <c r="AH10071" s="10"/>
      <c r="AI10071" s="10"/>
    </row>
    <row r="10072" spans="28:35" ht="15" hidden="1" customHeight="1">
      <c r="AB10072" s="9"/>
      <c r="AC10072" s="9"/>
      <c r="AD10072" s="9"/>
      <c r="AF10072" s="10"/>
      <c r="AG10072" s="10"/>
      <c r="AH10072" s="10"/>
      <c r="AI10072" s="10"/>
    </row>
    <row r="10073" spans="28:35" ht="15" hidden="1" customHeight="1">
      <c r="AB10073" s="9"/>
      <c r="AC10073" s="9"/>
      <c r="AD10073" s="9"/>
      <c r="AF10073" s="10"/>
      <c r="AG10073" s="10"/>
      <c r="AH10073" s="10"/>
      <c r="AI10073" s="10"/>
    </row>
    <row r="10074" spans="28:35" ht="15" hidden="1" customHeight="1">
      <c r="AB10074" s="9"/>
      <c r="AC10074" s="9"/>
      <c r="AD10074" s="9"/>
      <c r="AF10074" s="10"/>
      <c r="AG10074" s="10"/>
      <c r="AH10074" s="10"/>
      <c r="AI10074" s="10"/>
    </row>
    <row r="10075" spans="28:35" ht="15" hidden="1" customHeight="1">
      <c r="AB10075" s="9"/>
      <c r="AC10075" s="9"/>
      <c r="AD10075" s="9"/>
      <c r="AF10075" s="10"/>
      <c r="AG10075" s="10"/>
      <c r="AH10075" s="10"/>
      <c r="AI10075" s="10"/>
    </row>
    <row r="10076" spans="28:35" ht="15" hidden="1" customHeight="1">
      <c r="AB10076" s="9"/>
      <c r="AC10076" s="9"/>
      <c r="AD10076" s="9"/>
      <c r="AF10076" s="10"/>
      <c r="AG10076" s="10"/>
      <c r="AH10076" s="10"/>
      <c r="AI10076" s="10"/>
    </row>
    <row r="10077" spans="28:35" ht="15" hidden="1" customHeight="1">
      <c r="AB10077" s="9"/>
      <c r="AC10077" s="9"/>
      <c r="AD10077" s="9"/>
      <c r="AF10077" s="10"/>
      <c r="AG10077" s="10"/>
      <c r="AH10077" s="10"/>
      <c r="AI10077" s="10"/>
    </row>
    <row r="10078" spans="28:35" ht="15" hidden="1" customHeight="1">
      <c r="AB10078" s="9"/>
      <c r="AC10078" s="9"/>
      <c r="AD10078" s="9"/>
      <c r="AF10078" s="10"/>
      <c r="AG10078" s="10"/>
      <c r="AH10078" s="10"/>
      <c r="AI10078" s="10"/>
    </row>
    <row r="10079" spans="28:35" ht="15" hidden="1" customHeight="1">
      <c r="AB10079" s="9"/>
      <c r="AC10079" s="9"/>
      <c r="AD10079" s="9"/>
      <c r="AF10079" s="10"/>
      <c r="AG10079" s="10"/>
      <c r="AH10079" s="10"/>
      <c r="AI10079" s="10"/>
    </row>
    <row r="10080" spans="28:35" ht="15" hidden="1" customHeight="1">
      <c r="AB10080" s="9"/>
      <c r="AC10080" s="9"/>
      <c r="AD10080" s="9"/>
      <c r="AF10080" s="10"/>
      <c r="AG10080" s="10"/>
      <c r="AH10080" s="10"/>
      <c r="AI10080" s="10"/>
    </row>
    <row r="10081" spans="28:35" ht="15" hidden="1" customHeight="1">
      <c r="AB10081" s="9"/>
      <c r="AC10081" s="9"/>
      <c r="AD10081" s="9"/>
      <c r="AF10081" s="10"/>
      <c r="AG10081" s="10"/>
      <c r="AH10081" s="10"/>
      <c r="AI10081" s="10"/>
    </row>
    <row r="10082" spans="28:35" ht="15" hidden="1" customHeight="1">
      <c r="AB10082" s="9"/>
      <c r="AC10082" s="9"/>
      <c r="AD10082" s="9"/>
      <c r="AF10082" s="10"/>
      <c r="AG10082" s="10"/>
      <c r="AH10082" s="10"/>
      <c r="AI10082" s="10"/>
    </row>
    <row r="10083" spans="28:35" ht="15" hidden="1" customHeight="1">
      <c r="AB10083" s="9"/>
      <c r="AC10083" s="9"/>
      <c r="AD10083" s="9"/>
      <c r="AF10083" s="10"/>
      <c r="AG10083" s="10"/>
      <c r="AH10083" s="10"/>
      <c r="AI10083" s="10"/>
    </row>
    <row r="10084" spans="28:35" ht="15" hidden="1" customHeight="1">
      <c r="AB10084" s="9"/>
      <c r="AC10084" s="9"/>
      <c r="AD10084" s="9"/>
      <c r="AF10084" s="10"/>
      <c r="AG10084" s="10"/>
      <c r="AH10084" s="10"/>
      <c r="AI10084" s="10"/>
    </row>
    <row r="10085" spans="28:35" ht="15" hidden="1" customHeight="1">
      <c r="AB10085" s="9"/>
      <c r="AC10085" s="9"/>
      <c r="AD10085" s="9"/>
      <c r="AF10085" s="10"/>
      <c r="AG10085" s="10"/>
      <c r="AH10085" s="10"/>
      <c r="AI10085" s="10"/>
    </row>
    <row r="10086" spans="28:35" ht="15" hidden="1" customHeight="1">
      <c r="AB10086" s="9"/>
      <c r="AC10086" s="9"/>
      <c r="AD10086" s="9"/>
      <c r="AF10086" s="10"/>
      <c r="AG10086" s="10"/>
      <c r="AH10086" s="10"/>
      <c r="AI10086" s="10"/>
    </row>
    <row r="10087" spans="28:35" ht="15" hidden="1" customHeight="1">
      <c r="AB10087" s="9"/>
      <c r="AC10087" s="9"/>
      <c r="AD10087" s="9"/>
      <c r="AF10087" s="10"/>
      <c r="AG10087" s="10"/>
      <c r="AH10087" s="10"/>
      <c r="AI10087" s="10"/>
    </row>
    <row r="10088" spans="28:35" ht="15" hidden="1" customHeight="1">
      <c r="AB10088" s="9"/>
      <c r="AC10088" s="9"/>
      <c r="AD10088" s="9"/>
      <c r="AF10088" s="10"/>
      <c r="AG10088" s="10"/>
      <c r="AH10088" s="10"/>
      <c r="AI10088" s="10"/>
    </row>
    <row r="10089" spans="28:35" ht="15" hidden="1" customHeight="1">
      <c r="AB10089" s="9"/>
      <c r="AC10089" s="9"/>
      <c r="AD10089" s="9"/>
      <c r="AF10089" s="10"/>
      <c r="AG10089" s="10"/>
      <c r="AH10089" s="10"/>
      <c r="AI10089" s="10"/>
    </row>
    <row r="10090" spans="28:35" ht="15" hidden="1" customHeight="1">
      <c r="AB10090" s="9"/>
      <c r="AC10090" s="9"/>
      <c r="AD10090" s="9"/>
      <c r="AF10090" s="10"/>
      <c r="AG10090" s="10"/>
      <c r="AH10090" s="10"/>
      <c r="AI10090" s="10"/>
    </row>
    <row r="10091" spans="28:35" ht="15" hidden="1" customHeight="1">
      <c r="AB10091" s="9"/>
      <c r="AC10091" s="9"/>
      <c r="AD10091" s="9"/>
      <c r="AF10091" s="10"/>
      <c r="AG10091" s="10"/>
      <c r="AH10091" s="10"/>
      <c r="AI10091" s="10"/>
    </row>
    <row r="10092" spans="28:35" ht="15" hidden="1" customHeight="1">
      <c r="AB10092" s="9"/>
      <c r="AC10092" s="9"/>
      <c r="AD10092" s="9"/>
      <c r="AF10092" s="10"/>
      <c r="AG10092" s="10"/>
      <c r="AH10092" s="10"/>
      <c r="AI10092" s="10"/>
    </row>
    <row r="10093" spans="28:35" ht="15" hidden="1" customHeight="1">
      <c r="AB10093" s="9"/>
      <c r="AC10093" s="9"/>
      <c r="AD10093" s="9"/>
      <c r="AF10093" s="10"/>
      <c r="AG10093" s="10"/>
      <c r="AH10093" s="10"/>
      <c r="AI10093" s="10"/>
    </row>
    <row r="10094" spans="28:35" ht="15" hidden="1" customHeight="1">
      <c r="AB10094" s="9"/>
      <c r="AC10094" s="9"/>
      <c r="AD10094" s="9"/>
      <c r="AF10094" s="10"/>
      <c r="AG10094" s="10"/>
      <c r="AH10094" s="10"/>
      <c r="AI10094" s="10"/>
    </row>
    <row r="10095" spans="28:35" ht="15" hidden="1" customHeight="1">
      <c r="AB10095" s="9"/>
      <c r="AC10095" s="9"/>
      <c r="AD10095" s="9"/>
      <c r="AF10095" s="10"/>
      <c r="AG10095" s="10"/>
      <c r="AH10095" s="10"/>
      <c r="AI10095" s="10"/>
    </row>
    <row r="10096" spans="28:35" ht="15" hidden="1" customHeight="1">
      <c r="AB10096" s="9"/>
      <c r="AC10096" s="9"/>
      <c r="AD10096" s="9"/>
      <c r="AF10096" s="10"/>
      <c r="AG10096" s="10"/>
      <c r="AH10096" s="10"/>
      <c r="AI10096" s="10"/>
    </row>
    <row r="10097" spans="28:35" ht="15" hidden="1" customHeight="1">
      <c r="AB10097" s="9"/>
      <c r="AC10097" s="9"/>
      <c r="AD10097" s="9"/>
      <c r="AF10097" s="10"/>
      <c r="AG10097" s="10"/>
      <c r="AH10097" s="10"/>
      <c r="AI10097" s="10"/>
    </row>
    <row r="10098" spans="28:35" ht="15" hidden="1" customHeight="1">
      <c r="AB10098" s="9"/>
      <c r="AC10098" s="9"/>
      <c r="AD10098" s="9"/>
      <c r="AF10098" s="10"/>
      <c r="AG10098" s="10"/>
      <c r="AH10098" s="10"/>
      <c r="AI10098" s="10"/>
    </row>
    <row r="10099" spans="28:35" ht="15" hidden="1" customHeight="1">
      <c r="AB10099" s="9"/>
      <c r="AC10099" s="9"/>
      <c r="AD10099" s="9"/>
      <c r="AF10099" s="10"/>
      <c r="AG10099" s="10"/>
      <c r="AH10099" s="10"/>
      <c r="AI10099" s="10"/>
    </row>
    <row r="10100" spans="28:35" ht="15" hidden="1" customHeight="1">
      <c r="AB10100" s="9"/>
      <c r="AC10100" s="9"/>
      <c r="AD10100" s="9"/>
      <c r="AF10100" s="10"/>
      <c r="AG10100" s="10"/>
      <c r="AH10100" s="10"/>
      <c r="AI10100" s="10"/>
    </row>
    <row r="10101" spans="28:35" ht="15" hidden="1" customHeight="1">
      <c r="AB10101" s="9"/>
      <c r="AC10101" s="9"/>
      <c r="AD10101" s="9"/>
      <c r="AF10101" s="10"/>
      <c r="AG10101" s="10"/>
      <c r="AH10101" s="10"/>
      <c r="AI10101" s="10"/>
    </row>
    <row r="10102" spans="28:35" ht="15" hidden="1" customHeight="1">
      <c r="AB10102" s="9"/>
      <c r="AC10102" s="9"/>
      <c r="AD10102" s="9"/>
      <c r="AF10102" s="10"/>
      <c r="AG10102" s="10"/>
      <c r="AH10102" s="10"/>
      <c r="AI10102" s="10"/>
    </row>
    <row r="10103" spans="28:35" ht="15" hidden="1" customHeight="1">
      <c r="AB10103" s="9"/>
      <c r="AC10103" s="9"/>
      <c r="AD10103" s="9"/>
      <c r="AF10103" s="10"/>
      <c r="AG10103" s="10"/>
      <c r="AH10103" s="10"/>
      <c r="AI10103" s="10"/>
    </row>
    <row r="10104" spans="28:35" ht="15" hidden="1" customHeight="1">
      <c r="AB10104" s="9"/>
      <c r="AC10104" s="9"/>
      <c r="AD10104" s="9"/>
      <c r="AF10104" s="10"/>
      <c r="AG10104" s="10"/>
      <c r="AH10104" s="10"/>
      <c r="AI10104" s="10"/>
    </row>
    <row r="10105" spans="28:35" ht="15" hidden="1" customHeight="1">
      <c r="AB10105" s="9"/>
      <c r="AC10105" s="9"/>
      <c r="AD10105" s="9"/>
      <c r="AF10105" s="10"/>
      <c r="AG10105" s="10"/>
      <c r="AH10105" s="10"/>
      <c r="AI10105" s="10"/>
    </row>
    <row r="10106" spans="28:35" ht="15" hidden="1" customHeight="1">
      <c r="AB10106" s="9"/>
      <c r="AC10106" s="9"/>
      <c r="AD10106" s="9"/>
      <c r="AF10106" s="10"/>
      <c r="AG10106" s="10"/>
      <c r="AH10106" s="10"/>
      <c r="AI10106" s="10"/>
    </row>
    <row r="10107" spans="28:35" ht="15" hidden="1" customHeight="1">
      <c r="AB10107" s="9"/>
      <c r="AC10107" s="9"/>
      <c r="AD10107" s="9"/>
      <c r="AF10107" s="10"/>
      <c r="AG10107" s="10"/>
      <c r="AH10107" s="10"/>
      <c r="AI10107" s="10"/>
    </row>
    <row r="10108" spans="28:35" ht="15" hidden="1" customHeight="1">
      <c r="AB10108" s="9"/>
      <c r="AC10108" s="9"/>
      <c r="AD10108" s="9"/>
      <c r="AF10108" s="10"/>
      <c r="AG10108" s="10"/>
      <c r="AH10108" s="10"/>
      <c r="AI10108" s="10"/>
    </row>
    <row r="10109" spans="28:35" ht="15" hidden="1" customHeight="1">
      <c r="AB10109" s="9"/>
      <c r="AC10109" s="9"/>
      <c r="AD10109" s="9"/>
      <c r="AF10109" s="10"/>
      <c r="AG10109" s="10"/>
      <c r="AH10109" s="10"/>
      <c r="AI10109" s="10"/>
    </row>
    <row r="10110" spans="28:35" ht="15" hidden="1" customHeight="1">
      <c r="AB10110" s="9"/>
      <c r="AC10110" s="9"/>
      <c r="AD10110" s="9"/>
      <c r="AF10110" s="10"/>
      <c r="AG10110" s="10"/>
      <c r="AH10110" s="10"/>
      <c r="AI10110" s="10"/>
    </row>
    <row r="10111" spans="28:35" ht="15" hidden="1" customHeight="1">
      <c r="AB10111" s="9"/>
      <c r="AC10111" s="9"/>
      <c r="AD10111" s="9"/>
      <c r="AF10111" s="10"/>
      <c r="AG10111" s="10"/>
      <c r="AH10111" s="10"/>
      <c r="AI10111" s="10"/>
    </row>
    <row r="10112" spans="28:35" ht="15" hidden="1" customHeight="1">
      <c r="AB10112" s="9"/>
      <c r="AC10112" s="9"/>
      <c r="AD10112" s="9"/>
      <c r="AF10112" s="10"/>
      <c r="AG10112" s="10"/>
      <c r="AH10112" s="10"/>
      <c r="AI10112" s="10"/>
    </row>
    <row r="10113" spans="28:35" ht="15" hidden="1" customHeight="1">
      <c r="AB10113" s="9"/>
      <c r="AC10113" s="9"/>
      <c r="AD10113" s="9"/>
      <c r="AF10113" s="10"/>
      <c r="AG10113" s="10"/>
      <c r="AH10113" s="10"/>
      <c r="AI10113" s="10"/>
    </row>
    <row r="10114" spans="28:35" ht="15" hidden="1" customHeight="1">
      <c r="AB10114" s="9"/>
      <c r="AC10114" s="9"/>
      <c r="AD10114" s="9"/>
      <c r="AF10114" s="10"/>
      <c r="AG10114" s="10"/>
      <c r="AH10114" s="10"/>
      <c r="AI10114" s="10"/>
    </row>
    <row r="10115" spans="28:35" ht="15" hidden="1" customHeight="1">
      <c r="AB10115" s="9"/>
      <c r="AC10115" s="9"/>
      <c r="AD10115" s="9"/>
      <c r="AF10115" s="10"/>
      <c r="AG10115" s="10"/>
      <c r="AH10115" s="10"/>
      <c r="AI10115" s="10"/>
    </row>
    <row r="10116" spans="28:35" ht="15" hidden="1" customHeight="1">
      <c r="AB10116" s="9"/>
      <c r="AC10116" s="9"/>
      <c r="AD10116" s="9"/>
      <c r="AF10116" s="10"/>
      <c r="AG10116" s="10"/>
      <c r="AH10116" s="10"/>
      <c r="AI10116" s="10"/>
    </row>
    <row r="10117" spans="28:35" ht="15" hidden="1" customHeight="1">
      <c r="AB10117" s="9"/>
      <c r="AC10117" s="9"/>
      <c r="AD10117" s="9"/>
      <c r="AF10117" s="10"/>
      <c r="AG10117" s="10"/>
      <c r="AH10117" s="10"/>
      <c r="AI10117" s="10"/>
    </row>
    <row r="10118" spans="28:35" ht="15" hidden="1" customHeight="1">
      <c r="AB10118" s="9"/>
      <c r="AC10118" s="9"/>
      <c r="AD10118" s="9"/>
      <c r="AF10118" s="10"/>
      <c r="AG10118" s="10"/>
      <c r="AH10118" s="10"/>
      <c r="AI10118" s="10"/>
    </row>
    <row r="10119" spans="28:35" ht="15" hidden="1" customHeight="1">
      <c r="AB10119" s="9"/>
      <c r="AC10119" s="9"/>
      <c r="AD10119" s="9"/>
      <c r="AF10119" s="10"/>
      <c r="AG10119" s="10"/>
      <c r="AH10119" s="10"/>
      <c r="AI10119" s="10"/>
    </row>
    <row r="10120" spans="28:35" ht="15" hidden="1" customHeight="1">
      <c r="AB10120" s="9"/>
      <c r="AC10120" s="9"/>
      <c r="AD10120" s="9"/>
      <c r="AF10120" s="10"/>
      <c r="AG10120" s="10"/>
      <c r="AH10120" s="10"/>
      <c r="AI10120" s="10"/>
    </row>
    <row r="10121" spans="28:35" ht="15" hidden="1" customHeight="1">
      <c r="AB10121" s="9"/>
      <c r="AC10121" s="9"/>
      <c r="AD10121" s="9"/>
      <c r="AF10121" s="10"/>
      <c r="AG10121" s="10"/>
      <c r="AH10121" s="10"/>
      <c r="AI10121" s="10"/>
    </row>
    <row r="10122" spans="28:35" ht="15" hidden="1" customHeight="1">
      <c r="AB10122" s="9"/>
      <c r="AC10122" s="9"/>
      <c r="AD10122" s="9"/>
      <c r="AF10122" s="10"/>
      <c r="AG10122" s="10"/>
      <c r="AH10122" s="10"/>
      <c r="AI10122" s="10"/>
    </row>
    <row r="10123" spans="28:35" ht="15" hidden="1" customHeight="1">
      <c r="AB10123" s="9"/>
      <c r="AC10123" s="9"/>
      <c r="AD10123" s="9"/>
      <c r="AF10123" s="10"/>
      <c r="AG10123" s="10"/>
      <c r="AH10123" s="10"/>
      <c r="AI10123" s="10"/>
    </row>
    <row r="10124" spans="28:35" ht="15" hidden="1" customHeight="1">
      <c r="AB10124" s="9"/>
      <c r="AC10124" s="9"/>
      <c r="AD10124" s="9"/>
      <c r="AF10124" s="10"/>
      <c r="AG10124" s="10"/>
      <c r="AH10124" s="10"/>
      <c r="AI10124" s="10"/>
    </row>
    <row r="10125" spans="28:35" ht="15" hidden="1" customHeight="1">
      <c r="AB10125" s="9"/>
      <c r="AC10125" s="9"/>
      <c r="AD10125" s="9"/>
      <c r="AF10125" s="10"/>
      <c r="AG10125" s="10"/>
      <c r="AH10125" s="10"/>
      <c r="AI10125" s="10"/>
    </row>
    <row r="10126" spans="28:35" ht="15" hidden="1" customHeight="1">
      <c r="AB10126" s="9"/>
      <c r="AC10126" s="9"/>
      <c r="AD10126" s="9"/>
      <c r="AF10126" s="10"/>
      <c r="AG10126" s="10"/>
      <c r="AH10126" s="10"/>
      <c r="AI10126" s="10"/>
    </row>
    <row r="10127" spans="28:35" ht="15" hidden="1" customHeight="1">
      <c r="AB10127" s="9"/>
      <c r="AC10127" s="9"/>
      <c r="AD10127" s="9"/>
      <c r="AF10127" s="10"/>
      <c r="AG10127" s="10"/>
      <c r="AH10127" s="10"/>
      <c r="AI10127" s="10"/>
    </row>
    <row r="10128" spans="28:35" ht="15" hidden="1" customHeight="1">
      <c r="AB10128" s="9"/>
      <c r="AC10128" s="9"/>
      <c r="AD10128" s="9"/>
      <c r="AF10128" s="10"/>
      <c r="AG10128" s="10"/>
      <c r="AH10128" s="10"/>
      <c r="AI10128" s="10"/>
    </row>
    <row r="10129" spans="28:35" ht="15" hidden="1" customHeight="1">
      <c r="AB10129" s="9"/>
      <c r="AC10129" s="9"/>
      <c r="AD10129" s="9"/>
      <c r="AF10129" s="10"/>
      <c r="AG10129" s="10"/>
      <c r="AH10129" s="10"/>
      <c r="AI10129" s="10"/>
    </row>
    <row r="10130" spans="28:35" ht="15" hidden="1" customHeight="1">
      <c r="AB10130" s="9"/>
      <c r="AC10130" s="9"/>
      <c r="AD10130" s="9"/>
      <c r="AF10130" s="10"/>
      <c r="AG10130" s="10"/>
      <c r="AH10130" s="10"/>
      <c r="AI10130" s="10"/>
    </row>
    <row r="10131" spans="28:35" ht="15" hidden="1" customHeight="1">
      <c r="AB10131" s="9"/>
      <c r="AC10131" s="9"/>
      <c r="AD10131" s="9"/>
      <c r="AF10131" s="10"/>
      <c r="AG10131" s="10"/>
      <c r="AH10131" s="10"/>
      <c r="AI10131" s="10"/>
    </row>
    <row r="10132" spans="28:35" ht="15" hidden="1" customHeight="1">
      <c r="AB10132" s="9"/>
      <c r="AC10132" s="9"/>
      <c r="AD10132" s="9"/>
      <c r="AF10132" s="10"/>
      <c r="AG10132" s="10"/>
      <c r="AH10132" s="10"/>
      <c r="AI10132" s="10"/>
    </row>
    <row r="10133" spans="28:35" ht="15" hidden="1" customHeight="1">
      <c r="AB10133" s="9"/>
      <c r="AC10133" s="9"/>
      <c r="AD10133" s="9"/>
      <c r="AF10133" s="10"/>
      <c r="AG10133" s="10"/>
      <c r="AH10133" s="10"/>
      <c r="AI10133" s="10"/>
    </row>
    <row r="10134" spans="28:35" ht="15" hidden="1" customHeight="1">
      <c r="AB10134" s="9"/>
      <c r="AC10134" s="9"/>
      <c r="AD10134" s="9"/>
      <c r="AF10134" s="10"/>
      <c r="AG10134" s="10"/>
      <c r="AH10134" s="10"/>
      <c r="AI10134" s="10"/>
    </row>
    <row r="10135" spans="28:35" ht="15" hidden="1" customHeight="1">
      <c r="AB10135" s="9"/>
      <c r="AC10135" s="9"/>
      <c r="AD10135" s="9"/>
      <c r="AF10135" s="10"/>
      <c r="AG10135" s="10"/>
      <c r="AH10135" s="10"/>
      <c r="AI10135" s="10"/>
    </row>
    <row r="10136" spans="28:35" ht="15" hidden="1" customHeight="1">
      <c r="AB10136" s="9"/>
      <c r="AC10136" s="9"/>
      <c r="AD10136" s="9"/>
      <c r="AF10136" s="10"/>
      <c r="AG10136" s="10"/>
      <c r="AH10136" s="10"/>
      <c r="AI10136" s="10"/>
    </row>
    <row r="10137" spans="28:35" ht="15" hidden="1" customHeight="1">
      <c r="AB10137" s="9"/>
      <c r="AC10137" s="9"/>
      <c r="AD10137" s="9"/>
      <c r="AF10137" s="10"/>
      <c r="AG10137" s="10"/>
      <c r="AH10137" s="10"/>
      <c r="AI10137" s="10"/>
    </row>
    <row r="10138" spans="28:35" ht="15" hidden="1" customHeight="1">
      <c r="AB10138" s="9"/>
      <c r="AC10138" s="9"/>
      <c r="AD10138" s="9"/>
      <c r="AF10138" s="10"/>
      <c r="AG10138" s="10"/>
      <c r="AH10138" s="10"/>
      <c r="AI10138" s="10"/>
    </row>
    <row r="10139" spans="28:35" ht="15" hidden="1" customHeight="1">
      <c r="AB10139" s="9"/>
      <c r="AC10139" s="9"/>
      <c r="AD10139" s="9"/>
      <c r="AF10139" s="10"/>
      <c r="AG10139" s="10"/>
      <c r="AH10139" s="10"/>
      <c r="AI10139" s="10"/>
    </row>
    <row r="10140" spans="28:35" ht="15" hidden="1" customHeight="1">
      <c r="AB10140" s="9"/>
      <c r="AC10140" s="9"/>
      <c r="AD10140" s="9"/>
      <c r="AF10140" s="10"/>
      <c r="AG10140" s="10"/>
      <c r="AH10140" s="10"/>
      <c r="AI10140" s="10"/>
    </row>
    <row r="10141" spans="28:35" ht="15" hidden="1" customHeight="1">
      <c r="AB10141" s="9"/>
      <c r="AC10141" s="9"/>
      <c r="AD10141" s="9"/>
      <c r="AF10141" s="10"/>
      <c r="AG10141" s="10"/>
      <c r="AH10141" s="10"/>
      <c r="AI10141" s="10"/>
    </row>
    <row r="10142" spans="28:35" ht="15" hidden="1" customHeight="1">
      <c r="AB10142" s="9"/>
      <c r="AC10142" s="9"/>
      <c r="AD10142" s="9"/>
      <c r="AF10142" s="10"/>
      <c r="AG10142" s="10"/>
      <c r="AH10142" s="10"/>
      <c r="AI10142" s="10"/>
    </row>
    <row r="10143" spans="28:35" ht="15" hidden="1" customHeight="1">
      <c r="AB10143" s="9"/>
      <c r="AC10143" s="9"/>
      <c r="AD10143" s="9"/>
      <c r="AF10143" s="10"/>
      <c r="AG10143" s="10"/>
      <c r="AH10143" s="10"/>
      <c r="AI10143" s="10"/>
    </row>
    <row r="10144" spans="28:35" ht="15" hidden="1" customHeight="1">
      <c r="AB10144" s="9"/>
      <c r="AC10144" s="9"/>
      <c r="AD10144" s="9"/>
      <c r="AF10144" s="10"/>
      <c r="AG10144" s="10"/>
      <c r="AH10144" s="10"/>
      <c r="AI10144" s="10"/>
    </row>
    <row r="10145" spans="28:35" ht="15" hidden="1" customHeight="1">
      <c r="AB10145" s="9"/>
      <c r="AC10145" s="9"/>
      <c r="AD10145" s="9"/>
      <c r="AF10145" s="10"/>
      <c r="AG10145" s="10"/>
      <c r="AH10145" s="10"/>
      <c r="AI10145" s="10"/>
    </row>
    <row r="10146" spans="28:35" ht="15" hidden="1" customHeight="1">
      <c r="AB10146" s="9"/>
      <c r="AC10146" s="9"/>
      <c r="AD10146" s="9"/>
      <c r="AF10146" s="10"/>
      <c r="AG10146" s="10"/>
      <c r="AH10146" s="10"/>
      <c r="AI10146" s="10"/>
    </row>
    <row r="10147" spans="28:35" ht="15" hidden="1" customHeight="1">
      <c r="AB10147" s="9"/>
      <c r="AC10147" s="9"/>
      <c r="AD10147" s="9"/>
      <c r="AF10147" s="10"/>
      <c r="AG10147" s="10"/>
      <c r="AH10147" s="10"/>
      <c r="AI10147" s="10"/>
    </row>
    <row r="10148" spans="28:35" ht="15" hidden="1" customHeight="1">
      <c r="AB10148" s="9"/>
      <c r="AC10148" s="9"/>
      <c r="AD10148" s="9"/>
      <c r="AF10148" s="10"/>
      <c r="AG10148" s="10"/>
      <c r="AH10148" s="10"/>
      <c r="AI10148" s="10"/>
    </row>
    <row r="10149" spans="28:35" ht="15" hidden="1" customHeight="1">
      <c r="AB10149" s="9"/>
      <c r="AC10149" s="9"/>
      <c r="AD10149" s="9"/>
      <c r="AF10149" s="10"/>
      <c r="AG10149" s="10"/>
      <c r="AH10149" s="10"/>
      <c r="AI10149" s="10"/>
    </row>
    <row r="10150" spans="28:35" ht="15" hidden="1" customHeight="1">
      <c r="AB10150" s="9"/>
      <c r="AC10150" s="9"/>
      <c r="AD10150" s="9"/>
      <c r="AF10150" s="10"/>
      <c r="AG10150" s="10"/>
      <c r="AH10150" s="10"/>
      <c r="AI10150" s="10"/>
    </row>
    <row r="10151" spans="28:35" ht="15" hidden="1" customHeight="1">
      <c r="AB10151" s="9"/>
      <c r="AC10151" s="9"/>
      <c r="AD10151" s="9"/>
      <c r="AF10151" s="10"/>
      <c r="AG10151" s="10"/>
      <c r="AH10151" s="10"/>
      <c r="AI10151" s="10"/>
    </row>
    <row r="10152" spans="28:35" ht="15" hidden="1" customHeight="1">
      <c r="AB10152" s="9"/>
      <c r="AC10152" s="9"/>
      <c r="AD10152" s="9"/>
      <c r="AF10152" s="10"/>
      <c r="AG10152" s="10"/>
      <c r="AH10152" s="10"/>
      <c r="AI10152" s="10"/>
    </row>
    <row r="10153" spans="28:35" ht="15" hidden="1" customHeight="1">
      <c r="AB10153" s="9"/>
      <c r="AC10153" s="9"/>
      <c r="AD10153" s="9"/>
      <c r="AF10153" s="10"/>
      <c r="AG10153" s="10"/>
      <c r="AH10153" s="10"/>
      <c r="AI10153" s="10"/>
    </row>
    <row r="10154" spans="28:35" ht="15" hidden="1" customHeight="1">
      <c r="AB10154" s="9"/>
      <c r="AC10154" s="9"/>
      <c r="AD10154" s="9"/>
      <c r="AF10154" s="10"/>
      <c r="AG10154" s="10"/>
      <c r="AH10154" s="10"/>
      <c r="AI10154" s="10"/>
    </row>
    <row r="10155" spans="28:35" ht="15" hidden="1" customHeight="1">
      <c r="AB10155" s="9"/>
      <c r="AC10155" s="9"/>
      <c r="AD10155" s="9"/>
      <c r="AF10155" s="10"/>
      <c r="AG10155" s="10"/>
      <c r="AH10155" s="10"/>
      <c r="AI10155" s="10"/>
    </row>
    <row r="10156" spans="28:35" ht="15" hidden="1" customHeight="1">
      <c r="AB10156" s="9"/>
      <c r="AC10156" s="9"/>
      <c r="AD10156" s="9"/>
      <c r="AF10156" s="10"/>
      <c r="AG10156" s="10"/>
      <c r="AH10156" s="10"/>
      <c r="AI10156" s="10"/>
    </row>
    <row r="10157" spans="28:35" ht="15" hidden="1" customHeight="1">
      <c r="AB10157" s="9"/>
      <c r="AC10157" s="9"/>
      <c r="AD10157" s="9"/>
      <c r="AF10157" s="10"/>
      <c r="AG10157" s="10"/>
      <c r="AH10157" s="10"/>
      <c r="AI10157" s="10"/>
    </row>
    <row r="10158" spans="28:35" ht="15" hidden="1" customHeight="1">
      <c r="AB10158" s="9"/>
      <c r="AC10158" s="9"/>
      <c r="AD10158" s="9"/>
      <c r="AF10158" s="10"/>
      <c r="AG10158" s="10"/>
      <c r="AH10158" s="10"/>
      <c r="AI10158" s="10"/>
    </row>
    <row r="10159" spans="28:35" ht="15" hidden="1" customHeight="1">
      <c r="AB10159" s="9"/>
      <c r="AC10159" s="9"/>
      <c r="AD10159" s="9"/>
      <c r="AF10159" s="10"/>
      <c r="AG10159" s="10"/>
      <c r="AH10159" s="10"/>
      <c r="AI10159" s="10"/>
    </row>
    <row r="10160" spans="28:35" ht="15" hidden="1" customHeight="1">
      <c r="AB10160" s="9"/>
      <c r="AC10160" s="9"/>
      <c r="AD10160" s="9"/>
      <c r="AF10160" s="10"/>
      <c r="AG10160" s="10"/>
      <c r="AH10160" s="10"/>
      <c r="AI10160" s="10"/>
    </row>
    <row r="10161" spans="28:35" ht="15" hidden="1" customHeight="1">
      <c r="AB10161" s="9"/>
      <c r="AC10161" s="9"/>
      <c r="AD10161" s="9"/>
      <c r="AF10161" s="10"/>
      <c r="AG10161" s="10"/>
      <c r="AH10161" s="10"/>
      <c r="AI10161" s="10"/>
    </row>
    <row r="10162" spans="28:35" ht="15" hidden="1" customHeight="1">
      <c r="AB10162" s="9"/>
      <c r="AC10162" s="9"/>
      <c r="AD10162" s="9"/>
      <c r="AF10162" s="10"/>
      <c r="AG10162" s="10"/>
      <c r="AH10162" s="10"/>
      <c r="AI10162" s="10"/>
    </row>
    <row r="10163" spans="28:35" ht="15" hidden="1" customHeight="1">
      <c r="AB10163" s="9"/>
      <c r="AC10163" s="9"/>
      <c r="AD10163" s="9"/>
      <c r="AF10163" s="10"/>
      <c r="AG10163" s="10"/>
      <c r="AH10163" s="10"/>
      <c r="AI10163" s="10"/>
    </row>
    <row r="10164" spans="28:35" ht="15" hidden="1" customHeight="1">
      <c r="AB10164" s="9"/>
      <c r="AC10164" s="9"/>
      <c r="AD10164" s="9"/>
      <c r="AF10164" s="10"/>
      <c r="AG10164" s="10"/>
      <c r="AH10164" s="10"/>
      <c r="AI10164" s="10"/>
    </row>
    <row r="10165" spans="28:35" ht="15" hidden="1" customHeight="1">
      <c r="AB10165" s="9"/>
      <c r="AC10165" s="9"/>
      <c r="AD10165" s="9"/>
      <c r="AF10165" s="10"/>
      <c r="AG10165" s="10"/>
      <c r="AH10165" s="10"/>
      <c r="AI10165" s="10"/>
    </row>
    <row r="10166" spans="28:35" ht="15" hidden="1" customHeight="1">
      <c r="AB10166" s="9"/>
      <c r="AC10166" s="9"/>
      <c r="AD10166" s="9"/>
      <c r="AF10166" s="10"/>
      <c r="AG10166" s="10"/>
      <c r="AH10166" s="10"/>
      <c r="AI10166" s="10"/>
    </row>
    <row r="10167" spans="28:35" ht="15" hidden="1" customHeight="1">
      <c r="AB10167" s="9"/>
      <c r="AC10167" s="9"/>
      <c r="AD10167" s="9"/>
      <c r="AF10167" s="10"/>
      <c r="AG10167" s="10"/>
      <c r="AH10167" s="10"/>
      <c r="AI10167" s="10"/>
    </row>
    <row r="10168" spans="28:35" ht="15" hidden="1" customHeight="1">
      <c r="AB10168" s="9"/>
      <c r="AC10168" s="9"/>
      <c r="AD10168" s="9"/>
      <c r="AF10168" s="10"/>
      <c r="AG10168" s="10"/>
      <c r="AH10168" s="10"/>
      <c r="AI10168" s="10"/>
    </row>
    <row r="10169" spans="28:35" ht="15" hidden="1" customHeight="1">
      <c r="AB10169" s="9"/>
      <c r="AC10169" s="9"/>
      <c r="AD10169" s="9"/>
      <c r="AF10169" s="10"/>
      <c r="AG10169" s="10"/>
      <c r="AH10169" s="10"/>
      <c r="AI10169" s="10"/>
    </row>
    <row r="10170" spans="28:35" ht="15" hidden="1" customHeight="1">
      <c r="AB10170" s="9"/>
      <c r="AC10170" s="9"/>
      <c r="AD10170" s="9"/>
      <c r="AF10170" s="10"/>
      <c r="AG10170" s="10"/>
      <c r="AH10170" s="10"/>
      <c r="AI10170" s="10"/>
    </row>
    <row r="10171" spans="28:35" ht="15" hidden="1" customHeight="1">
      <c r="AB10171" s="9"/>
      <c r="AC10171" s="9"/>
      <c r="AD10171" s="9"/>
      <c r="AF10171" s="10"/>
      <c r="AG10171" s="10"/>
      <c r="AH10171" s="10"/>
      <c r="AI10171" s="10"/>
    </row>
    <row r="10172" spans="28:35" ht="15" hidden="1" customHeight="1">
      <c r="AB10172" s="9"/>
      <c r="AC10172" s="9"/>
      <c r="AD10172" s="9"/>
      <c r="AF10172" s="10"/>
      <c r="AG10172" s="10"/>
      <c r="AH10172" s="10"/>
      <c r="AI10172" s="10"/>
    </row>
    <row r="10173" spans="28:35" ht="15" hidden="1" customHeight="1">
      <c r="AB10173" s="9"/>
      <c r="AC10173" s="9"/>
      <c r="AD10173" s="9"/>
      <c r="AF10173" s="10"/>
      <c r="AG10173" s="10"/>
      <c r="AH10173" s="10"/>
      <c r="AI10173" s="10"/>
    </row>
    <row r="10174" spans="28:35" ht="15" hidden="1" customHeight="1">
      <c r="AB10174" s="9"/>
      <c r="AC10174" s="9"/>
      <c r="AD10174" s="9"/>
      <c r="AF10174" s="10"/>
      <c r="AG10174" s="10"/>
      <c r="AH10174" s="10"/>
      <c r="AI10174" s="10"/>
    </row>
    <row r="10175" spans="28:35" ht="15" hidden="1" customHeight="1">
      <c r="AB10175" s="9"/>
      <c r="AC10175" s="9"/>
      <c r="AD10175" s="9"/>
      <c r="AF10175" s="10"/>
      <c r="AG10175" s="10"/>
      <c r="AH10175" s="10"/>
      <c r="AI10175" s="10"/>
    </row>
    <row r="10176" spans="28:35" ht="15" hidden="1" customHeight="1">
      <c r="AB10176" s="9"/>
      <c r="AC10176" s="9"/>
      <c r="AD10176" s="9"/>
      <c r="AF10176" s="10"/>
      <c r="AG10176" s="10"/>
      <c r="AH10176" s="10"/>
      <c r="AI10176" s="10"/>
    </row>
    <row r="10177" spans="28:35" ht="15" hidden="1" customHeight="1">
      <c r="AB10177" s="9"/>
      <c r="AC10177" s="9"/>
      <c r="AD10177" s="9"/>
      <c r="AF10177" s="10"/>
      <c r="AG10177" s="10"/>
      <c r="AH10177" s="10"/>
      <c r="AI10177" s="10"/>
    </row>
    <row r="10178" spans="28:35" ht="15" hidden="1" customHeight="1">
      <c r="AB10178" s="9"/>
      <c r="AC10178" s="9"/>
      <c r="AD10178" s="9"/>
      <c r="AF10178" s="10"/>
      <c r="AG10178" s="10"/>
      <c r="AH10178" s="10"/>
      <c r="AI10178" s="10"/>
    </row>
    <row r="10179" spans="28:35" ht="15" hidden="1" customHeight="1">
      <c r="AB10179" s="9"/>
      <c r="AC10179" s="9"/>
      <c r="AD10179" s="9"/>
      <c r="AF10179" s="10"/>
      <c r="AG10179" s="10"/>
      <c r="AH10179" s="10"/>
      <c r="AI10179" s="10"/>
    </row>
    <row r="10180" spans="28:35" ht="15" hidden="1" customHeight="1">
      <c r="AB10180" s="9"/>
      <c r="AC10180" s="9"/>
      <c r="AD10180" s="9"/>
      <c r="AF10180" s="10"/>
      <c r="AG10180" s="10"/>
      <c r="AH10180" s="10"/>
      <c r="AI10180" s="10"/>
    </row>
    <row r="10181" spans="28:35" ht="15" hidden="1" customHeight="1">
      <c r="AB10181" s="9"/>
      <c r="AC10181" s="9"/>
      <c r="AD10181" s="9"/>
      <c r="AF10181" s="10"/>
      <c r="AG10181" s="10"/>
      <c r="AH10181" s="10"/>
      <c r="AI10181" s="10"/>
    </row>
    <row r="10182" spans="28:35" ht="15" hidden="1" customHeight="1">
      <c r="AB10182" s="9"/>
      <c r="AC10182" s="9"/>
      <c r="AD10182" s="9"/>
      <c r="AF10182" s="10"/>
      <c r="AG10182" s="10"/>
      <c r="AH10182" s="10"/>
      <c r="AI10182" s="10"/>
    </row>
    <row r="10183" spans="28:35" ht="15" hidden="1" customHeight="1">
      <c r="AB10183" s="9"/>
      <c r="AC10183" s="9"/>
      <c r="AD10183" s="9"/>
      <c r="AF10183" s="10"/>
      <c r="AG10183" s="10"/>
      <c r="AH10183" s="10"/>
      <c r="AI10183" s="10"/>
    </row>
    <row r="10184" spans="28:35" ht="15" hidden="1" customHeight="1">
      <c r="AB10184" s="9"/>
      <c r="AC10184" s="9"/>
      <c r="AD10184" s="9"/>
      <c r="AF10184" s="10"/>
      <c r="AG10184" s="10"/>
      <c r="AH10184" s="10"/>
      <c r="AI10184" s="10"/>
    </row>
    <row r="10185" spans="28:35" ht="15" hidden="1" customHeight="1">
      <c r="AB10185" s="9"/>
      <c r="AC10185" s="9"/>
      <c r="AD10185" s="9"/>
      <c r="AF10185" s="10"/>
      <c r="AG10185" s="10"/>
      <c r="AH10185" s="10"/>
      <c r="AI10185" s="10"/>
    </row>
    <row r="10186" spans="28:35" ht="15" hidden="1" customHeight="1">
      <c r="AB10186" s="9"/>
      <c r="AC10186" s="9"/>
      <c r="AD10186" s="9"/>
      <c r="AF10186" s="10"/>
      <c r="AG10186" s="10"/>
      <c r="AH10186" s="10"/>
      <c r="AI10186" s="10"/>
    </row>
    <row r="10187" spans="28:35" ht="15" hidden="1" customHeight="1">
      <c r="AB10187" s="9"/>
      <c r="AC10187" s="9"/>
      <c r="AD10187" s="9"/>
      <c r="AF10187" s="10"/>
      <c r="AG10187" s="10"/>
      <c r="AH10187" s="10"/>
      <c r="AI10187" s="10"/>
    </row>
    <row r="10188" spans="28:35" ht="15" hidden="1" customHeight="1">
      <c r="AB10188" s="9"/>
      <c r="AC10188" s="9"/>
      <c r="AD10188" s="9"/>
      <c r="AF10188" s="10"/>
      <c r="AG10188" s="10"/>
      <c r="AH10188" s="10"/>
      <c r="AI10188" s="10"/>
    </row>
    <row r="10189" spans="28:35" ht="15" hidden="1" customHeight="1">
      <c r="AB10189" s="9"/>
      <c r="AC10189" s="9"/>
      <c r="AD10189" s="9"/>
      <c r="AF10189" s="10"/>
      <c r="AG10189" s="10"/>
      <c r="AH10189" s="10"/>
      <c r="AI10189" s="10"/>
    </row>
    <row r="10190" spans="28:35" ht="15" hidden="1" customHeight="1">
      <c r="AB10190" s="9"/>
      <c r="AC10190" s="9"/>
      <c r="AD10190" s="9"/>
      <c r="AF10190" s="10"/>
      <c r="AG10190" s="10"/>
      <c r="AH10190" s="10"/>
      <c r="AI10190" s="10"/>
    </row>
    <row r="10191" spans="28:35" ht="15" hidden="1" customHeight="1">
      <c r="AB10191" s="9"/>
      <c r="AC10191" s="9"/>
      <c r="AD10191" s="9"/>
      <c r="AF10191" s="10"/>
      <c r="AG10191" s="10"/>
      <c r="AH10191" s="10"/>
      <c r="AI10191" s="10"/>
    </row>
    <row r="10192" spans="28:35" ht="15" hidden="1" customHeight="1">
      <c r="AB10192" s="9"/>
      <c r="AC10192" s="9"/>
      <c r="AD10192" s="9"/>
      <c r="AF10192" s="10"/>
      <c r="AG10192" s="10"/>
      <c r="AH10192" s="10"/>
      <c r="AI10192" s="10"/>
    </row>
    <row r="10193" spans="28:35" ht="15" hidden="1" customHeight="1">
      <c r="AB10193" s="9"/>
      <c r="AC10193" s="9"/>
      <c r="AD10193" s="9"/>
      <c r="AF10193" s="10"/>
      <c r="AG10193" s="10"/>
      <c r="AH10193" s="10"/>
      <c r="AI10193" s="10"/>
    </row>
    <row r="10194" spans="28:35" ht="15" hidden="1" customHeight="1">
      <c r="AB10194" s="9"/>
      <c r="AC10194" s="9"/>
      <c r="AD10194" s="9"/>
      <c r="AF10194" s="10"/>
      <c r="AG10194" s="10"/>
      <c r="AH10194" s="10"/>
      <c r="AI10194" s="10"/>
    </row>
    <row r="10195" spans="28:35" ht="15" hidden="1" customHeight="1">
      <c r="AB10195" s="9"/>
      <c r="AC10195" s="9"/>
      <c r="AD10195" s="9"/>
      <c r="AF10195" s="10"/>
      <c r="AG10195" s="10"/>
      <c r="AH10195" s="10"/>
      <c r="AI10195" s="10"/>
    </row>
    <row r="10196" spans="28:35" ht="15" hidden="1" customHeight="1">
      <c r="AB10196" s="9"/>
      <c r="AC10196" s="9"/>
      <c r="AD10196" s="9"/>
      <c r="AF10196" s="10"/>
      <c r="AG10196" s="10"/>
      <c r="AH10196" s="10"/>
      <c r="AI10196" s="10"/>
    </row>
    <row r="10197" spans="28:35" ht="15" hidden="1" customHeight="1">
      <c r="AB10197" s="9"/>
      <c r="AC10197" s="9"/>
      <c r="AD10197" s="9"/>
      <c r="AF10197" s="10"/>
      <c r="AG10197" s="10"/>
      <c r="AH10197" s="10"/>
      <c r="AI10197" s="10"/>
    </row>
    <row r="10198" spans="28:35" ht="15" hidden="1" customHeight="1">
      <c r="AB10198" s="9"/>
      <c r="AC10198" s="9"/>
      <c r="AD10198" s="9"/>
      <c r="AF10198" s="10"/>
      <c r="AG10198" s="10"/>
      <c r="AH10198" s="10"/>
      <c r="AI10198" s="10"/>
    </row>
    <row r="10199" spans="28:35" ht="15" hidden="1" customHeight="1">
      <c r="AB10199" s="9"/>
      <c r="AC10199" s="9"/>
      <c r="AD10199" s="9"/>
      <c r="AF10199" s="10"/>
      <c r="AG10199" s="10"/>
      <c r="AH10199" s="10"/>
      <c r="AI10199" s="10"/>
    </row>
    <row r="10200" spans="28:35" ht="15" hidden="1" customHeight="1">
      <c r="AB10200" s="9"/>
      <c r="AC10200" s="9"/>
      <c r="AD10200" s="9"/>
      <c r="AF10200" s="10"/>
      <c r="AG10200" s="10"/>
      <c r="AH10200" s="10"/>
      <c r="AI10200" s="10"/>
    </row>
    <row r="10201" spans="28:35" ht="15" hidden="1" customHeight="1">
      <c r="AB10201" s="9"/>
      <c r="AC10201" s="9"/>
      <c r="AD10201" s="9"/>
      <c r="AF10201" s="10"/>
      <c r="AG10201" s="10"/>
      <c r="AH10201" s="10"/>
      <c r="AI10201" s="10"/>
    </row>
    <row r="10202" spans="28:35" ht="15" hidden="1" customHeight="1">
      <c r="AB10202" s="9"/>
      <c r="AC10202" s="9"/>
      <c r="AD10202" s="9"/>
      <c r="AF10202" s="10"/>
      <c r="AG10202" s="10"/>
      <c r="AH10202" s="10"/>
      <c r="AI10202" s="10"/>
    </row>
    <row r="10203" spans="28:35" ht="15" hidden="1" customHeight="1">
      <c r="AB10203" s="9"/>
      <c r="AC10203" s="9"/>
      <c r="AD10203" s="9"/>
      <c r="AF10203" s="10"/>
      <c r="AG10203" s="10"/>
      <c r="AH10203" s="10"/>
      <c r="AI10203" s="10"/>
    </row>
    <row r="10204" spans="28:35" ht="15" hidden="1" customHeight="1">
      <c r="AB10204" s="9"/>
      <c r="AC10204" s="9"/>
      <c r="AD10204" s="9"/>
      <c r="AF10204" s="10"/>
      <c r="AG10204" s="10"/>
      <c r="AH10204" s="10"/>
      <c r="AI10204" s="10"/>
    </row>
    <row r="10205" spans="28:35" ht="15" hidden="1" customHeight="1">
      <c r="AB10205" s="9"/>
      <c r="AC10205" s="9"/>
      <c r="AD10205" s="9"/>
      <c r="AF10205" s="10"/>
      <c r="AG10205" s="10"/>
      <c r="AH10205" s="10"/>
      <c r="AI10205" s="10"/>
    </row>
    <row r="10206" spans="28:35" ht="15" hidden="1" customHeight="1">
      <c r="AB10206" s="9"/>
      <c r="AC10206" s="9"/>
      <c r="AD10206" s="9"/>
      <c r="AF10206" s="10"/>
      <c r="AG10206" s="10"/>
      <c r="AH10206" s="10"/>
      <c r="AI10206" s="10"/>
    </row>
    <row r="10207" spans="28:35" ht="15" hidden="1" customHeight="1">
      <c r="AB10207" s="9"/>
      <c r="AC10207" s="9"/>
      <c r="AD10207" s="9"/>
      <c r="AF10207" s="10"/>
      <c r="AG10207" s="10"/>
      <c r="AH10207" s="10"/>
      <c r="AI10207" s="10"/>
    </row>
    <row r="10208" spans="28:35" ht="15" hidden="1" customHeight="1">
      <c r="AB10208" s="9"/>
      <c r="AC10208" s="9"/>
      <c r="AD10208" s="9"/>
      <c r="AF10208" s="10"/>
      <c r="AG10208" s="10"/>
      <c r="AH10208" s="10"/>
      <c r="AI10208" s="10"/>
    </row>
    <row r="10209" spans="28:35" ht="15" hidden="1" customHeight="1">
      <c r="AB10209" s="9"/>
      <c r="AC10209" s="9"/>
      <c r="AD10209" s="9"/>
      <c r="AF10209" s="10"/>
      <c r="AG10209" s="10"/>
      <c r="AH10209" s="10"/>
      <c r="AI10209" s="10"/>
    </row>
    <row r="10210" spans="28:35" ht="15" hidden="1" customHeight="1">
      <c r="AB10210" s="9"/>
      <c r="AC10210" s="9"/>
      <c r="AD10210" s="9"/>
      <c r="AF10210" s="10"/>
      <c r="AG10210" s="10"/>
      <c r="AH10210" s="10"/>
      <c r="AI10210" s="10"/>
    </row>
    <row r="10211" spans="28:35" ht="15" hidden="1" customHeight="1">
      <c r="AB10211" s="9"/>
      <c r="AC10211" s="9"/>
      <c r="AD10211" s="9"/>
      <c r="AF10211" s="10"/>
      <c r="AG10211" s="10"/>
      <c r="AH10211" s="10"/>
      <c r="AI10211" s="10"/>
    </row>
    <row r="10212" spans="28:35" ht="15" hidden="1" customHeight="1">
      <c r="AB10212" s="9"/>
      <c r="AC10212" s="9"/>
      <c r="AD10212" s="9"/>
      <c r="AF10212" s="10"/>
      <c r="AG10212" s="10"/>
      <c r="AH10212" s="10"/>
      <c r="AI10212" s="10"/>
    </row>
    <row r="10213" spans="28:35" ht="15" hidden="1" customHeight="1">
      <c r="AB10213" s="9"/>
      <c r="AC10213" s="9"/>
      <c r="AD10213" s="9"/>
      <c r="AF10213" s="10"/>
      <c r="AG10213" s="10"/>
      <c r="AH10213" s="10"/>
      <c r="AI10213" s="10"/>
    </row>
    <row r="10214" spans="28:35" ht="15" hidden="1" customHeight="1">
      <c r="AB10214" s="9"/>
      <c r="AC10214" s="9"/>
      <c r="AD10214" s="9"/>
      <c r="AF10214" s="10"/>
      <c r="AG10214" s="10"/>
      <c r="AH10214" s="10"/>
      <c r="AI10214" s="10"/>
    </row>
    <row r="10215" spans="28:35" ht="15" hidden="1" customHeight="1">
      <c r="AB10215" s="9"/>
      <c r="AC10215" s="9"/>
      <c r="AD10215" s="9"/>
      <c r="AF10215" s="10"/>
      <c r="AG10215" s="10"/>
      <c r="AH10215" s="10"/>
      <c r="AI10215" s="10"/>
    </row>
    <row r="10216" spans="28:35" ht="15" hidden="1" customHeight="1">
      <c r="AB10216" s="9"/>
      <c r="AC10216" s="9"/>
      <c r="AD10216" s="9"/>
      <c r="AF10216" s="10"/>
      <c r="AG10216" s="10"/>
      <c r="AH10216" s="10"/>
      <c r="AI10216" s="10"/>
    </row>
    <row r="10217" spans="28:35" ht="15" hidden="1" customHeight="1">
      <c r="AB10217" s="9"/>
      <c r="AC10217" s="9"/>
      <c r="AD10217" s="9"/>
      <c r="AF10217" s="10"/>
      <c r="AG10217" s="10"/>
      <c r="AH10217" s="10"/>
      <c r="AI10217" s="10"/>
    </row>
    <row r="10218" spans="28:35" ht="15" hidden="1" customHeight="1">
      <c r="AB10218" s="9"/>
      <c r="AC10218" s="9"/>
      <c r="AD10218" s="9"/>
      <c r="AF10218" s="10"/>
      <c r="AG10218" s="10"/>
      <c r="AH10218" s="10"/>
      <c r="AI10218" s="10"/>
    </row>
    <row r="10219" spans="28:35" ht="15" hidden="1" customHeight="1">
      <c r="AB10219" s="9"/>
      <c r="AC10219" s="9"/>
      <c r="AD10219" s="9"/>
      <c r="AF10219" s="10"/>
      <c r="AG10219" s="10"/>
      <c r="AH10219" s="10"/>
      <c r="AI10219" s="10"/>
    </row>
    <row r="10220" spans="28:35" ht="15" hidden="1" customHeight="1">
      <c r="AB10220" s="9"/>
      <c r="AC10220" s="9"/>
      <c r="AD10220" s="9"/>
      <c r="AF10220" s="10"/>
      <c r="AG10220" s="10"/>
      <c r="AH10220" s="10"/>
      <c r="AI10220" s="10"/>
    </row>
    <row r="10221" spans="28:35" ht="15" hidden="1" customHeight="1">
      <c r="AB10221" s="9"/>
      <c r="AC10221" s="9"/>
      <c r="AD10221" s="9"/>
      <c r="AF10221" s="10"/>
      <c r="AG10221" s="10"/>
      <c r="AH10221" s="10"/>
      <c r="AI10221" s="10"/>
    </row>
    <row r="10222" spans="28:35" ht="15" hidden="1" customHeight="1">
      <c r="AB10222" s="9"/>
      <c r="AC10222" s="9"/>
      <c r="AD10222" s="9"/>
      <c r="AF10222" s="10"/>
      <c r="AG10222" s="10"/>
      <c r="AH10222" s="10"/>
      <c r="AI10222" s="10"/>
    </row>
    <row r="10223" spans="28:35" ht="15" hidden="1" customHeight="1">
      <c r="AB10223" s="9"/>
      <c r="AC10223" s="9"/>
      <c r="AD10223" s="9"/>
      <c r="AF10223" s="10"/>
      <c r="AG10223" s="10"/>
      <c r="AH10223" s="10"/>
      <c r="AI10223" s="10"/>
    </row>
    <row r="10224" spans="28:35" ht="15" hidden="1" customHeight="1">
      <c r="AB10224" s="9"/>
      <c r="AC10224" s="9"/>
      <c r="AD10224" s="9"/>
      <c r="AF10224" s="10"/>
      <c r="AG10224" s="10"/>
      <c r="AH10224" s="10"/>
      <c r="AI10224" s="10"/>
    </row>
    <row r="10225" spans="28:35" ht="15" hidden="1" customHeight="1">
      <c r="AB10225" s="9"/>
      <c r="AC10225" s="9"/>
      <c r="AD10225" s="9"/>
      <c r="AF10225" s="10"/>
      <c r="AG10225" s="10"/>
      <c r="AH10225" s="10"/>
      <c r="AI10225" s="10"/>
    </row>
    <row r="10226" spans="28:35" ht="15" hidden="1" customHeight="1">
      <c r="AB10226" s="9"/>
      <c r="AC10226" s="9"/>
      <c r="AD10226" s="9"/>
      <c r="AF10226" s="10"/>
      <c r="AG10226" s="10"/>
      <c r="AH10226" s="10"/>
      <c r="AI10226" s="10"/>
    </row>
    <row r="10227" spans="28:35" ht="15" hidden="1" customHeight="1">
      <c r="AB10227" s="9"/>
      <c r="AC10227" s="9"/>
      <c r="AD10227" s="9"/>
      <c r="AF10227" s="10"/>
      <c r="AG10227" s="10"/>
      <c r="AH10227" s="10"/>
      <c r="AI10227" s="10"/>
    </row>
    <row r="10228" spans="28:35" ht="15" hidden="1" customHeight="1">
      <c r="AB10228" s="9"/>
      <c r="AC10228" s="9"/>
      <c r="AD10228" s="9"/>
      <c r="AF10228" s="10"/>
      <c r="AG10228" s="10"/>
      <c r="AH10228" s="10"/>
      <c r="AI10228" s="10"/>
    </row>
    <row r="10229" spans="28:35" ht="15" hidden="1" customHeight="1">
      <c r="AB10229" s="9"/>
      <c r="AC10229" s="9"/>
      <c r="AD10229" s="9"/>
      <c r="AF10229" s="10"/>
      <c r="AG10229" s="10"/>
      <c r="AH10229" s="10"/>
      <c r="AI10229" s="10"/>
    </row>
    <row r="10230" spans="28:35" ht="15" hidden="1" customHeight="1">
      <c r="AB10230" s="9"/>
      <c r="AC10230" s="9"/>
      <c r="AD10230" s="9"/>
      <c r="AF10230" s="10"/>
      <c r="AG10230" s="10"/>
      <c r="AH10230" s="10"/>
      <c r="AI10230" s="10"/>
    </row>
    <row r="10231" spans="28:35" ht="15" hidden="1" customHeight="1">
      <c r="AB10231" s="9"/>
      <c r="AC10231" s="9"/>
      <c r="AD10231" s="9"/>
      <c r="AF10231" s="10"/>
      <c r="AG10231" s="10"/>
      <c r="AH10231" s="10"/>
      <c r="AI10231" s="10"/>
    </row>
    <row r="10232" spans="28:35" ht="15" hidden="1" customHeight="1">
      <c r="AB10232" s="9"/>
      <c r="AC10232" s="9"/>
      <c r="AD10232" s="9"/>
      <c r="AF10232" s="10"/>
      <c r="AG10232" s="10"/>
      <c r="AH10232" s="10"/>
      <c r="AI10232" s="10"/>
    </row>
    <row r="10233" spans="28:35" ht="15" hidden="1" customHeight="1">
      <c r="AB10233" s="9"/>
      <c r="AC10233" s="9"/>
      <c r="AD10233" s="9"/>
      <c r="AF10233" s="10"/>
      <c r="AG10233" s="10"/>
      <c r="AH10233" s="10"/>
      <c r="AI10233" s="10"/>
    </row>
    <row r="10234" spans="28:35" ht="15" hidden="1" customHeight="1">
      <c r="AB10234" s="9"/>
      <c r="AC10234" s="9"/>
      <c r="AD10234" s="9"/>
      <c r="AF10234" s="10"/>
      <c r="AG10234" s="10"/>
      <c r="AH10234" s="10"/>
      <c r="AI10234" s="10"/>
    </row>
    <row r="10235" spans="28:35" ht="15" hidden="1" customHeight="1">
      <c r="AB10235" s="9"/>
      <c r="AC10235" s="9"/>
      <c r="AD10235" s="9"/>
      <c r="AF10235" s="10"/>
      <c r="AG10235" s="10"/>
      <c r="AH10235" s="10"/>
      <c r="AI10235" s="10"/>
    </row>
    <row r="10236" spans="28:35" ht="15" hidden="1" customHeight="1">
      <c r="AB10236" s="9"/>
      <c r="AC10236" s="9"/>
      <c r="AD10236" s="9"/>
      <c r="AF10236" s="10"/>
      <c r="AG10236" s="10"/>
      <c r="AH10236" s="10"/>
      <c r="AI10236" s="10"/>
    </row>
    <row r="10237" spans="28:35" ht="15" hidden="1" customHeight="1">
      <c r="AB10237" s="9"/>
      <c r="AC10237" s="9"/>
      <c r="AD10237" s="9"/>
      <c r="AF10237" s="10"/>
      <c r="AG10237" s="10"/>
      <c r="AH10237" s="10"/>
      <c r="AI10237" s="10"/>
    </row>
    <row r="10238" spans="28:35" ht="15" hidden="1" customHeight="1">
      <c r="AB10238" s="9"/>
      <c r="AC10238" s="9"/>
      <c r="AD10238" s="9"/>
      <c r="AF10238" s="10"/>
      <c r="AG10238" s="10"/>
      <c r="AH10238" s="10"/>
      <c r="AI10238" s="10"/>
    </row>
    <row r="10239" spans="28:35" ht="15" hidden="1" customHeight="1">
      <c r="AB10239" s="9"/>
      <c r="AC10239" s="9"/>
      <c r="AD10239" s="9"/>
      <c r="AF10239" s="10"/>
      <c r="AG10239" s="10"/>
      <c r="AH10239" s="10"/>
      <c r="AI10239" s="10"/>
    </row>
    <row r="10240" spans="28:35" ht="15" hidden="1" customHeight="1">
      <c r="AB10240" s="9"/>
      <c r="AC10240" s="9"/>
      <c r="AD10240" s="9"/>
      <c r="AF10240" s="10"/>
      <c r="AG10240" s="10"/>
      <c r="AH10240" s="10"/>
      <c r="AI10240" s="10"/>
    </row>
    <row r="10241" spans="28:35" ht="15" hidden="1" customHeight="1">
      <c r="AB10241" s="9"/>
      <c r="AC10241" s="9"/>
      <c r="AD10241" s="9"/>
      <c r="AF10241" s="10"/>
      <c r="AG10241" s="10"/>
      <c r="AH10241" s="10"/>
      <c r="AI10241" s="10"/>
    </row>
    <row r="10242" spans="28:35" ht="15" hidden="1" customHeight="1">
      <c r="AB10242" s="9"/>
      <c r="AC10242" s="9"/>
      <c r="AD10242" s="9"/>
      <c r="AF10242" s="10"/>
      <c r="AG10242" s="10"/>
      <c r="AH10242" s="10"/>
      <c r="AI10242" s="10"/>
    </row>
    <row r="10243" spans="28:35" ht="15" hidden="1" customHeight="1">
      <c r="AB10243" s="9"/>
      <c r="AC10243" s="9"/>
      <c r="AD10243" s="9"/>
      <c r="AF10243" s="10"/>
      <c r="AG10243" s="10"/>
      <c r="AH10243" s="10"/>
      <c r="AI10243" s="10"/>
    </row>
    <row r="10244" spans="28:35" ht="15" hidden="1" customHeight="1">
      <c r="AB10244" s="9"/>
      <c r="AC10244" s="9"/>
      <c r="AD10244" s="9"/>
      <c r="AF10244" s="10"/>
      <c r="AG10244" s="10"/>
      <c r="AH10244" s="10"/>
      <c r="AI10244" s="10"/>
    </row>
    <row r="10245" spans="28:35" ht="15" hidden="1" customHeight="1">
      <c r="AB10245" s="9"/>
      <c r="AC10245" s="9"/>
      <c r="AD10245" s="9"/>
      <c r="AF10245" s="10"/>
      <c r="AG10245" s="10"/>
      <c r="AH10245" s="10"/>
      <c r="AI10245" s="10"/>
    </row>
    <row r="10246" spans="28:35" ht="15" hidden="1" customHeight="1">
      <c r="AB10246" s="9"/>
      <c r="AC10246" s="9"/>
      <c r="AD10246" s="9"/>
      <c r="AF10246" s="10"/>
      <c r="AG10246" s="10"/>
      <c r="AH10246" s="10"/>
      <c r="AI10246" s="10"/>
    </row>
    <row r="10247" spans="28:35" ht="15" hidden="1" customHeight="1">
      <c r="AB10247" s="9"/>
      <c r="AC10247" s="9"/>
      <c r="AD10247" s="9"/>
      <c r="AF10247" s="10"/>
      <c r="AG10247" s="10"/>
      <c r="AH10247" s="10"/>
      <c r="AI10247" s="10"/>
    </row>
    <row r="10248" spans="28:35" ht="15" hidden="1" customHeight="1">
      <c r="AB10248" s="9"/>
      <c r="AC10248" s="9"/>
      <c r="AD10248" s="9"/>
      <c r="AF10248" s="10"/>
      <c r="AG10248" s="10"/>
      <c r="AH10248" s="10"/>
      <c r="AI10248" s="10"/>
    </row>
    <row r="10249" spans="28:35" ht="15" hidden="1" customHeight="1">
      <c r="AB10249" s="9"/>
      <c r="AC10249" s="9"/>
      <c r="AD10249" s="9"/>
      <c r="AF10249" s="10"/>
      <c r="AG10249" s="10"/>
      <c r="AH10249" s="10"/>
      <c r="AI10249" s="10"/>
    </row>
    <row r="10250" spans="28:35" ht="15" hidden="1" customHeight="1">
      <c r="AB10250" s="9"/>
      <c r="AC10250" s="9"/>
      <c r="AD10250" s="9"/>
      <c r="AF10250" s="10"/>
      <c r="AG10250" s="10"/>
      <c r="AH10250" s="10"/>
      <c r="AI10250" s="10"/>
    </row>
    <row r="10251" spans="28:35" ht="15" hidden="1" customHeight="1">
      <c r="AB10251" s="9"/>
      <c r="AC10251" s="9"/>
      <c r="AD10251" s="9"/>
      <c r="AF10251" s="10"/>
      <c r="AG10251" s="10"/>
      <c r="AH10251" s="10"/>
      <c r="AI10251" s="10"/>
    </row>
    <row r="10252" spans="28:35" ht="15" hidden="1" customHeight="1">
      <c r="AB10252" s="9"/>
      <c r="AC10252" s="9"/>
      <c r="AD10252" s="9"/>
      <c r="AF10252" s="10"/>
      <c r="AG10252" s="10"/>
      <c r="AH10252" s="10"/>
      <c r="AI10252" s="10"/>
    </row>
    <row r="10253" spans="28:35" ht="15" hidden="1" customHeight="1">
      <c r="AB10253" s="9"/>
      <c r="AC10253" s="9"/>
      <c r="AD10253" s="9"/>
      <c r="AF10253" s="10"/>
      <c r="AG10253" s="10"/>
      <c r="AH10253" s="10"/>
      <c r="AI10253" s="10"/>
    </row>
    <row r="10254" spans="28:35" ht="15" hidden="1" customHeight="1">
      <c r="AB10254" s="9"/>
      <c r="AC10254" s="9"/>
      <c r="AD10254" s="9"/>
      <c r="AF10254" s="10"/>
      <c r="AG10254" s="10"/>
      <c r="AH10254" s="10"/>
      <c r="AI10254" s="10"/>
    </row>
    <row r="10255" spans="28:35" ht="15" hidden="1" customHeight="1">
      <c r="AB10255" s="9"/>
      <c r="AC10255" s="9"/>
      <c r="AD10255" s="9"/>
      <c r="AF10255" s="10"/>
      <c r="AG10255" s="10"/>
      <c r="AH10255" s="10"/>
      <c r="AI10255" s="10"/>
    </row>
    <row r="10256" spans="28:35" ht="15" hidden="1" customHeight="1">
      <c r="AB10256" s="9"/>
      <c r="AC10256" s="9"/>
      <c r="AD10256" s="9"/>
      <c r="AF10256" s="10"/>
      <c r="AG10256" s="10"/>
      <c r="AH10256" s="10"/>
      <c r="AI10256" s="10"/>
    </row>
    <row r="10257" spans="28:35" ht="15" hidden="1" customHeight="1">
      <c r="AB10257" s="9"/>
      <c r="AC10257" s="9"/>
      <c r="AD10257" s="9"/>
      <c r="AF10257" s="10"/>
      <c r="AG10257" s="10"/>
      <c r="AH10257" s="10"/>
      <c r="AI10257" s="10"/>
    </row>
    <row r="10258" spans="28:35" ht="15" hidden="1" customHeight="1">
      <c r="AB10258" s="9"/>
      <c r="AC10258" s="9"/>
      <c r="AD10258" s="9"/>
      <c r="AF10258" s="10"/>
      <c r="AG10258" s="10"/>
      <c r="AH10258" s="10"/>
      <c r="AI10258" s="10"/>
    </row>
    <row r="10259" spans="28:35" ht="15" hidden="1" customHeight="1">
      <c r="AB10259" s="9"/>
      <c r="AC10259" s="9"/>
      <c r="AD10259" s="9"/>
      <c r="AF10259" s="10"/>
      <c r="AG10259" s="10"/>
      <c r="AH10259" s="10"/>
      <c r="AI10259" s="10"/>
    </row>
    <row r="10260" spans="28:35" ht="15" hidden="1" customHeight="1">
      <c r="AB10260" s="9"/>
      <c r="AC10260" s="9"/>
      <c r="AD10260" s="9"/>
      <c r="AF10260" s="10"/>
      <c r="AG10260" s="10"/>
      <c r="AH10260" s="10"/>
      <c r="AI10260" s="10"/>
    </row>
    <row r="10261" spans="28:35" ht="15" hidden="1" customHeight="1">
      <c r="AB10261" s="9"/>
      <c r="AC10261" s="9"/>
      <c r="AD10261" s="9"/>
      <c r="AF10261" s="10"/>
      <c r="AG10261" s="10"/>
      <c r="AH10261" s="10"/>
      <c r="AI10261" s="10"/>
    </row>
    <row r="10262" spans="28:35" ht="15" hidden="1" customHeight="1">
      <c r="AB10262" s="9"/>
      <c r="AC10262" s="9"/>
      <c r="AD10262" s="9"/>
      <c r="AF10262" s="10"/>
      <c r="AG10262" s="10"/>
      <c r="AH10262" s="10"/>
      <c r="AI10262" s="10"/>
    </row>
    <row r="10263" spans="28:35" ht="15" hidden="1" customHeight="1">
      <c r="AB10263" s="9"/>
      <c r="AC10263" s="9"/>
      <c r="AD10263" s="9"/>
      <c r="AF10263" s="10"/>
      <c r="AG10263" s="10"/>
      <c r="AH10263" s="10"/>
      <c r="AI10263" s="10"/>
    </row>
    <row r="10264" spans="28:35" ht="15" hidden="1" customHeight="1">
      <c r="AB10264" s="9"/>
      <c r="AC10264" s="9"/>
      <c r="AD10264" s="9"/>
      <c r="AF10264" s="10"/>
      <c r="AG10264" s="10"/>
      <c r="AH10264" s="10"/>
      <c r="AI10264" s="10"/>
    </row>
    <row r="10265" spans="28:35" ht="15" hidden="1" customHeight="1">
      <c r="AB10265" s="9"/>
      <c r="AC10265" s="9"/>
      <c r="AD10265" s="9"/>
      <c r="AF10265" s="10"/>
      <c r="AG10265" s="10"/>
      <c r="AH10265" s="10"/>
      <c r="AI10265" s="10"/>
    </row>
    <row r="10266" spans="28:35" ht="15" hidden="1" customHeight="1">
      <c r="AB10266" s="9"/>
      <c r="AC10266" s="9"/>
      <c r="AD10266" s="9"/>
      <c r="AF10266" s="10"/>
      <c r="AG10266" s="10"/>
      <c r="AH10266" s="10"/>
      <c r="AI10266" s="10"/>
    </row>
    <row r="10267" spans="28:35" ht="15" hidden="1" customHeight="1">
      <c r="AB10267" s="9"/>
      <c r="AC10267" s="9"/>
      <c r="AD10267" s="9"/>
      <c r="AF10267" s="10"/>
      <c r="AG10267" s="10"/>
      <c r="AH10267" s="10"/>
      <c r="AI10267" s="10"/>
    </row>
    <row r="10268" spans="28:35" ht="15" hidden="1" customHeight="1">
      <c r="AB10268" s="9"/>
      <c r="AC10268" s="9"/>
      <c r="AD10268" s="9"/>
      <c r="AF10268" s="10"/>
      <c r="AG10268" s="10"/>
      <c r="AH10268" s="10"/>
      <c r="AI10268" s="10"/>
    </row>
    <row r="10269" spans="28:35" ht="15" hidden="1" customHeight="1">
      <c r="AB10269" s="9"/>
      <c r="AC10269" s="9"/>
      <c r="AD10269" s="9"/>
      <c r="AF10269" s="10"/>
      <c r="AG10269" s="10"/>
      <c r="AH10269" s="10"/>
      <c r="AI10269" s="10"/>
    </row>
    <row r="10270" spans="28:35" ht="15" hidden="1" customHeight="1">
      <c r="AB10270" s="9"/>
      <c r="AC10270" s="9"/>
      <c r="AD10270" s="9"/>
      <c r="AF10270" s="10"/>
      <c r="AG10270" s="10"/>
      <c r="AH10270" s="10"/>
      <c r="AI10270" s="10"/>
    </row>
    <row r="10271" spans="28:35" ht="15" hidden="1" customHeight="1">
      <c r="AB10271" s="9"/>
      <c r="AC10271" s="9"/>
      <c r="AD10271" s="9"/>
      <c r="AF10271" s="10"/>
      <c r="AG10271" s="10"/>
      <c r="AH10271" s="10"/>
      <c r="AI10271" s="10"/>
    </row>
    <row r="10272" spans="28:35" ht="15" hidden="1" customHeight="1">
      <c r="AB10272" s="9"/>
      <c r="AC10272" s="9"/>
      <c r="AD10272" s="9"/>
      <c r="AF10272" s="10"/>
      <c r="AG10272" s="10"/>
      <c r="AH10272" s="10"/>
      <c r="AI10272" s="10"/>
    </row>
    <row r="10273" spans="28:35" ht="15" hidden="1" customHeight="1">
      <c r="AB10273" s="9"/>
      <c r="AC10273" s="9"/>
      <c r="AD10273" s="9"/>
      <c r="AF10273" s="10"/>
      <c r="AG10273" s="10"/>
      <c r="AH10273" s="10"/>
      <c r="AI10273" s="10"/>
    </row>
    <row r="10274" spans="28:35" ht="15" hidden="1" customHeight="1">
      <c r="AB10274" s="9"/>
      <c r="AC10274" s="9"/>
      <c r="AD10274" s="9"/>
      <c r="AF10274" s="10"/>
      <c r="AG10274" s="10"/>
      <c r="AH10274" s="10"/>
      <c r="AI10274" s="10"/>
    </row>
    <row r="10275" spans="28:35" ht="15" hidden="1" customHeight="1">
      <c r="AB10275" s="9"/>
      <c r="AC10275" s="9"/>
      <c r="AD10275" s="9"/>
      <c r="AF10275" s="10"/>
      <c r="AG10275" s="10"/>
      <c r="AH10275" s="10"/>
      <c r="AI10275" s="10"/>
    </row>
    <row r="10276" spans="28:35" ht="15" hidden="1" customHeight="1">
      <c r="AB10276" s="9"/>
      <c r="AC10276" s="9"/>
      <c r="AD10276" s="9"/>
      <c r="AF10276" s="10"/>
      <c r="AG10276" s="10"/>
      <c r="AH10276" s="10"/>
      <c r="AI10276" s="10"/>
    </row>
    <row r="10277" spans="28:35" ht="15" hidden="1" customHeight="1">
      <c r="AB10277" s="9"/>
      <c r="AC10277" s="9"/>
      <c r="AD10277" s="9"/>
      <c r="AF10277" s="10"/>
      <c r="AG10277" s="10"/>
      <c r="AH10277" s="10"/>
      <c r="AI10277" s="10"/>
    </row>
    <row r="10278" spans="28:35" ht="15" hidden="1" customHeight="1">
      <c r="AB10278" s="9"/>
      <c r="AC10278" s="9"/>
      <c r="AD10278" s="9"/>
      <c r="AF10278" s="10"/>
      <c r="AG10278" s="10"/>
      <c r="AH10278" s="10"/>
      <c r="AI10278" s="10"/>
    </row>
    <row r="10279" spans="28:35" ht="15" hidden="1" customHeight="1">
      <c r="AB10279" s="9"/>
      <c r="AC10279" s="9"/>
      <c r="AD10279" s="9"/>
      <c r="AF10279" s="10"/>
      <c r="AG10279" s="10"/>
      <c r="AH10279" s="10"/>
      <c r="AI10279" s="10"/>
    </row>
    <row r="10280" spans="28:35" ht="15" hidden="1" customHeight="1">
      <c r="AB10280" s="9"/>
      <c r="AC10280" s="9"/>
      <c r="AD10280" s="9"/>
      <c r="AF10280" s="10"/>
      <c r="AG10280" s="10"/>
      <c r="AH10280" s="10"/>
      <c r="AI10280" s="10"/>
    </row>
    <row r="10281" spans="28:35" ht="15" hidden="1" customHeight="1">
      <c r="AB10281" s="9"/>
      <c r="AC10281" s="9"/>
      <c r="AD10281" s="9"/>
      <c r="AF10281" s="10"/>
      <c r="AG10281" s="10"/>
      <c r="AH10281" s="10"/>
      <c r="AI10281" s="10"/>
    </row>
    <row r="10282" spans="28:35" ht="15" hidden="1" customHeight="1">
      <c r="AB10282" s="9"/>
      <c r="AC10282" s="9"/>
      <c r="AD10282" s="9"/>
      <c r="AF10282" s="10"/>
      <c r="AG10282" s="10"/>
      <c r="AH10282" s="10"/>
      <c r="AI10282" s="10"/>
    </row>
    <row r="10283" spans="28:35" ht="15" hidden="1" customHeight="1">
      <c r="AB10283" s="9"/>
      <c r="AC10283" s="9"/>
      <c r="AD10283" s="9"/>
      <c r="AF10283" s="10"/>
      <c r="AG10283" s="10"/>
      <c r="AH10283" s="10"/>
      <c r="AI10283" s="10"/>
    </row>
    <row r="10284" spans="28:35" ht="15" hidden="1" customHeight="1">
      <c r="AB10284" s="9"/>
      <c r="AC10284" s="9"/>
      <c r="AD10284" s="9"/>
      <c r="AF10284" s="10"/>
      <c r="AG10284" s="10"/>
      <c r="AH10284" s="10"/>
      <c r="AI10284" s="10"/>
    </row>
    <row r="10285" spans="28:35" ht="15" hidden="1" customHeight="1">
      <c r="AB10285" s="9"/>
      <c r="AC10285" s="9"/>
      <c r="AD10285" s="9"/>
      <c r="AF10285" s="10"/>
      <c r="AG10285" s="10"/>
      <c r="AH10285" s="10"/>
      <c r="AI10285" s="10"/>
    </row>
    <row r="10286" spans="28:35" ht="15" hidden="1" customHeight="1">
      <c r="AB10286" s="9"/>
      <c r="AC10286" s="9"/>
      <c r="AD10286" s="9"/>
      <c r="AF10286" s="10"/>
      <c r="AG10286" s="10"/>
      <c r="AH10286" s="10"/>
      <c r="AI10286" s="10"/>
    </row>
    <row r="10287" spans="28:35" ht="15" hidden="1" customHeight="1">
      <c r="AB10287" s="9"/>
      <c r="AC10287" s="9"/>
      <c r="AD10287" s="9"/>
      <c r="AF10287" s="10"/>
      <c r="AG10287" s="10"/>
      <c r="AH10287" s="10"/>
      <c r="AI10287" s="10"/>
    </row>
    <row r="10288" spans="28:35" ht="15" hidden="1" customHeight="1">
      <c r="AB10288" s="9"/>
      <c r="AC10288" s="9"/>
      <c r="AD10288" s="9"/>
      <c r="AF10288" s="10"/>
      <c r="AG10288" s="10"/>
      <c r="AH10288" s="10"/>
      <c r="AI10288" s="10"/>
    </row>
    <row r="10289" spans="28:35" ht="15" hidden="1" customHeight="1">
      <c r="AB10289" s="9"/>
      <c r="AC10289" s="9"/>
      <c r="AD10289" s="9"/>
      <c r="AF10289" s="10"/>
      <c r="AG10289" s="10"/>
      <c r="AH10289" s="10"/>
      <c r="AI10289" s="10"/>
    </row>
    <row r="10290" spans="28:35" ht="15" hidden="1" customHeight="1">
      <c r="AB10290" s="9"/>
      <c r="AC10290" s="9"/>
      <c r="AD10290" s="9"/>
      <c r="AF10290" s="10"/>
      <c r="AG10290" s="10"/>
      <c r="AH10290" s="10"/>
      <c r="AI10290" s="10"/>
    </row>
    <row r="10291" spans="28:35" ht="15" hidden="1" customHeight="1">
      <c r="AB10291" s="9"/>
      <c r="AC10291" s="9"/>
      <c r="AD10291" s="9"/>
      <c r="AF10291" s="10"/>
      <c r="AG10291" s="10"/>
      <c r="AH10291" s="10"/>
      <c r="AI10291" s="10"/>
    </row>
    <row r="10292" spans="28:35" ht="15" hidden="1" customHeight="1">
      <c r="AB10292" s="9"/>
      <c r="AC10292" s="9"/>
      <c r="AD10292" s="9"/>
      <c r="AF10292" s="10"/>
      <c r="AG10292" s="10"/>
      <c r="AH10292" s="10"/>
      <c r="AI10292" s="10"/>
    </row>
    <row r="10293" spans="28:35" ht="15" hidden="1" customHeight="1">
      <c r="AB10293" s="9"/>
      <c r="AC10293" s="9"/>
      <c r="AD10293" s="9"/>
      <c r="AF10293" s="10"/>
      <c r="AG10293" s="10"/>
      <c r="AH10293" s="10"/>
      <c r="AI10293" s="10"/>
    </row>
    <row r="10294" spans="28:35" ht="15" hidden="1" customHeight="1">
      <c r="AB10294" s="9"/>
      <c r="AC10294" s="9"/>
      <c r="AD10294" s="9"/>
      <c r="AF10294" s="10"/>
      <c r="AG10294" s="10"/>
      <c r="AH10294" s="10"/>
      <c r="AI10294" s="10"/>
    </row>
    <row r="10295" spans="28:35" ht="15" hidden="1" customHeight="1">
      <c r="AB10295" s="9"/>
      <c r="AC10295" s="9"/>
      <c r="AD10295" s="9"/>
      <c r="AF10295" s="10"/>
      <c r="AG10295" s="10"/>
      <c r="AH10295" s="10"/>
      <c r="AI10295" s="10"/>
    </row>
    <row r="10296" spans="28:35" ht="15" hidden="1" customHeight="1">
      <c r="AB10296" s="9"/>
      <c r="AC10296" s="9"/>
      <c r="AD10296" s="9"/>
      <c r="AF10296" s="10"/>
      <c r="AG10296" s="10"/>
      <c r="AH10296" s="10"/>
      <c r="AI10296" s="10"/>
    </row>
    <row r="10297" spans="28:35" ht="15" hidden="1" customHeight="1">
      <c r="AB10297" s="9"/>
      <c r="AC10297" s="9"/>
      <c r="AD10297" s="9"/>
      <c r="AF10297" s="10"/>
      <c r="AG10297" s="10"/>
      <c r="AH10297" s="10"/>
      <c r="AI10297" s="10"/>
    </row>
    <row r="10298" spans="28:35" ht="15" hidden="1" customHeight="1">
      <c r="AB10298" s="9"/>
      <c r="AC10298" s="9"/>
      <c r="AD10298" s="9"/>
      <c r="AF10298" s="10"/>
      <c r="AG10298" s="10"/>
      <c r="AH10298" s="10"/>
      <c r="AI10298" s="10"/>
    </row>
    <row r="10299" spans="28:35" ht="15" hidden="1" customHeight="1">
      <c r="AB10299" s="9"/>
      <c r="AC10299" s="9"/>
      <c r="AD10299" s="9"/>
      <c r="AF10299" s="10"/>
      <c r="AG10299" s="10"/>
      <c r="AH10299" s="10"/>
      <c r="AI10299" s="10"/>
    </row>
    <row r="10300" spans="28:35" ht="15" hidden="1" customHeight="1">
      <c r="AB10300" s="9"/>
      <c r="AC10300" s="9"/>
      <c r="AD10300" s="9"/>
      <c r="AF10300" s="10"/>
      <c r="AG10300" s="10"/>
      <c r="AH10300" s="10"/>
      <c r="AI10300" s="10"/>
    </row>
    <row r="10301" spans="28:35" ht="15" hidden="1" customHeight="1">
      <c r="AB10301" s="9"/>
      <c r="AC10301" s="9"/>
      <c r="AD10301" s="9"/>
      <c r="AF10301" s="10"/>
      <c r="AG10301" s="10"/>
      <c r="AH10301" s="10"/>
      <c r="AI10301" s="10"/>
    </row>
    <row r="10302" spans="28:35" ht="15" hidden="1" customHeight="1">
      <c r="AB10302" s="9"/>
      <c r="AC10302" s="9"/>
      <c r="AD10302" s="9"/>
      <c r="AF10302" s="10"/>
      <c r="AG10302" s="10"/>
      <c r="AH10302" s="10"/>
      <c r="AI10302" s="10"/>
    </row>
    <row r="10303" spans="28:35" ht="15" hidden="1" customHeight="1">
      <c r="AB10303" s="9"/>
      <c r="AC10303" s="9"/>
      <c r="AD10303" s="9"/>
      <c r="AF10303" s="10"/>
      <c r="AG10303" s="10"/>
      <c r="AH10303" s="10"/>
      <c r="AI10303" s="10"/>
    </row>
    <row r="10304" spans="28:35" ht="15" hidden="1" customHeight="1">
      <c r="AB10304" s="9"/>
      <c r="AC10304" s="9"/>
      <c r="AD10304" s="9"/>
      <c r="AF10304" s="10"/>
      <c r="AG10304" s="10"/>
      <c r="AH10304" s="10"/>
      <c r="AI10304" s="10"/>
    </row>
    <row r="10305" spans="28:35" ht="15" hidden="1" customHeight="1">
      <c r="AB10305" s="9"/>
      <c r="AC10305" s="9"/>
      <c r="AD10305" s="9"/>
      <c r="AF10305" s="10"/>
      <c r="AG10305" s="10"/>
      <c r="AH10305" s="10"/>
      <c r="AI10305" s="10"/>
    </row>
    <row r="10306" spans="28:35" ht="15" hidden="1" customHeight="1">
      <c r="AB10306" s="9"/>
      <c r="AC10306" s="9"/>
      <c r="AD10306" s="9"/>
      <c r="AF10306" s="10"/>
      <c r="AG10306" s="10"/>
      <c r="AH10306" s="10"/>
      <c r="AI10306" s="10"/>
    </row>
    <row r="10307" spans="28:35" ht="15" hidden="1" customHeight="1">
      <c r="AB10307" s="9"/>
      <c r="AC10307" s="9"/>
      <c r="AD10307" s="9"/>
      <c r="AF10307" s="10"/>
      <c r="AG10307" s="10"/>
      <c r="AH10307" s="10"/>
      <c r="AI10307" s="10"/>
    </row>
    <row r="10308" spans="28:35" ht="15" hidden="1" customHeight="1">
      <c r="AB10308" s="9"/>
      <c r="AC10308" s="9"/>
      <c r="AD10308" s="9"/>
      <c r="AF10308" s="10"/>
      <c r="AG10308" s="10"/>
      <c r="AH10308" s="10"/>
      <c r="AI10308" s="10"/>
    </row>
    <row r="10309" spans="28:35" ht="15" hidden="1" customHeight="1">
      <c r="AB10309" s="9"/>
      <c r="AC10309" s="9"/>
      <c r="AD10309" s="9"/>
      <c r="AF10309" s="10"/>
      <c r="AG10309" s="10"/>
      <c r="AH10309" s="10"/>
      <c r="AI10309" s="10"/>
    </row>
    <row r="10310" spans="28:35" ht="15" hidden="1" customHeight="1">
      <c r="AB10310" s="9"/>
      <c r="AC10310" s="9"/>
      <c r="AD10310" s="9"/>
      <c r="AF10310" s="10"/>
      <c r="AG10310" s="10"/>
      <c r="AH10310" s="10"/>
      <c r="AI10310" s="10"/>
    </row>
    <row r="10311" spans="28:35" ht="15" hidden="1" customHeight="1">
      <c r="AB10311" s="9"/>
      <c r="AC10311" s="9"/>
      <c r="AD10311" s="9"/>
      <c r="AF10311" s="10"/>
      <c r="AG10311" s="10"/>
      <c r="AH10311" s="10"/>
      <c r="AI10311" s="10"/>
    </row>
    <row r="10312" spans="28:35" ht="15" hidden="1" customHeight="1">
      <c r="AB10312" s="9"/>
      <c r="AC10312" s="9"/>
      <c r="AD10312" s="9"/>
      <c r="AF10312" s="10"/>
      <c r="AG10312" s="10"/>
      <c r="AH10312" s="10"/>
      <c r="AI10312" s="10"/>
    </row>
    <row r="10313" spans="28:35" ht="15" hidden="1" customHeight="1">
      <c r="AB10313" s="9"/>
      <c r="AC10313" s="9"/>
      <c r="AD10313" s="9"/>
      <c r="AF10313" s="10"/>
      <c r="AG10313" s="10"/>
      <c r="AH10313" s="10"/>
      <c r="AI10313" s="10"/>
    </row>
    <row r="10314" spans="28:35" ht="15" hidden="1" customHeight="1">
      <c r="AB10314" s="9"/>
      <c r="AC10314" s="9"/>
      <c r="AD10314" s="9"/>
      <c r="AF10314" s="10"/>
      <c r="AG10314" s="10"/>
      <c r="AH10314" s="10"/>
      <c r="AI10314" s="10"/>
    </row>
    <row r="10315" spans="28:35" ht="15" hidden="1" customHeight="1">
      <c r="AB10315" s="9"/>
      <c r="AC10315" s="9"/>
      <c r="AD10315" s="9"/>
      <c r="AF10315" s="10"/>
      <c r="AG10315" s="10"/>
      <c r="AH10315" s="10"/>
      <c r="AI10315" s="10"/>
    </row>
    <row r="10316" spans="28:35" ht="15" hidden="1" customHeight="1">
      <c r="AB10316" s="9"/>
      <c r="AC10316" s="9"/>
      <c r="AD10316" s="9"/>
      <c r="AF10316" s="10"/>
      <c r="AG10316" s="10"/>
      <c r="AH10316" s="10"/>
      <c r="AI10316" s="10"/>
    </row>
    <row r="10317" spans="28:35" ht="15" hidden="1" customHeight="1">
      <c r="AB10317" s="9"/>
      <c r="AC10317" s="9"/>
      <c r="AD10317" s="9"/>
      <c r="AF10317" s="10"/>
      <c r="AG10317" s="10"/>
      <c r="AH10317" s="10"/>
      <c r="AI10317" s="10"/>
    </row>
    <row r="10318" spans="28:35" ht="15" hidden="1" customHeight="1">
      <c r="AB10318" s="9"/>
      <c r="AC10318" s="9"/>
      <c r="AD10318" s="9"/>
      <c r="AF10318" s="10"/>
      <c r="AG10318" s="10"/>
      <c r="AH10318" s="10"/>
      <c r="AI10318" s="10"/>
    </row>
    <row r="10319" spans="28:35" ht="15" hidden="1" customHeight="1">
      <c r="AB10319" s="9"/>
      <c r="AC10319" s="9"/>
      <c r="AD10319" s="9"/>
      <c r="AF10319" s="10"/>
      <c r="AG10319" s="10"/>
      <c r="AH10319" s="10"/>
      <c r="AI10319" s="10"/>
    </row>
    <row r="10320" spans="28:35" ht="15" hidden="1" customHeight="1">
      <c r="AB10320" s="9"/>
      <c r="AC10320" s="9"/>
      <c r="AD10320" s="9"/>
      <c r="AF10320" s="10"/>
      <c r="AG10320" s="10"/>
      <c r="AH10320" s="10"/>
      <c r="AI10320" s="10"/>
    </row>
    <row r="10321" spans="28:35" ht="15" hidden="1" customHeight="1">
      <c r="AB10321" s="9"/>
      <c r="AC10321" s="9"/>
      <c r="AD10321" s="9"/>
      <c r="AF10321" s="10"/>
      <c r="AG10321" s="10"/>
      <c r="AH10321" s="10"/>
      <c r="AI10321" s="10"/>
    </row>
    <row r="10322" spans="28:35" ht="15" hidden="1" customHeight="1">
      <c r="AB10322" s="9"/>
      <c r="AC10322" s="9"/>
      <c r="AD10322" s="9"/>
      <c r="AF10322" s="10"/>
      <c r="AG10322" s="10"/>
      <c r="AH10322" s="10"/>
      <c r="AI10322" s="10"/>
    </row>
    <row r="10323" spans="28:35" ht="15" hidden="1" customHeight="1">
      <c r="AB10323" s="9"/>
      <c r="AC10323" s="9"/>
      <c r="AD10323" s="9"/>
      <c r="AF10323" s="10"/>
      <c r="AG10323" s="10"/>
      <c r="AH10323" s="10"/>
      <c r="AI10323" s="10"/>
    </row>
    <row r="10324" spans="28:35" ht="15" hidden="1" customHeight="1">
      <c r="AB10324" s="9"/>
      <c r="AC10324" s="9"/>
      <c r="AD10324" s="9"/>
      <c r="AF10324" s="10"/>
      <c r="AG10324" s="10"/>
      <c r="AH10324" s="10"/>
      <c r="AI10324" s="10"/>
    </row>
    <row r="10325" spans="28:35" ht="15" hidden="1" customHeight="1">
      <c r="AB10325" s="9"/>
      <c r="AC10325" s="9"/>
      <c r="AD10325" s="9"/>
      <c r="AF10325" s="10"/>
      <c r="AG10325" s="10"/>
      <c r="AH10325" s="10"/>
      <c r="AI10325" s="10"/>
    </row>
    <row r="10326" spans="28:35" ht="15" hidden="1" customHeight="1">
      <c r="AB10326" s="9"/>
      <c r="AC10326" s="9"/>
      <c r="AD10326" s="9"/>
      <c r="AF10326" s="10"/>
      <c r="AG10326" s="10"/>
      <c r="AH10326" s="10"/>
      <c r="AI10326" s="10"/>
    </row>
    <row r="10327" spans="28:35" ht="15" hidden="1" customHeight="1">
      <c r="AB10327" s="9"/>
      <c r="AC10327" s="9"/>
      <c r="AD10327" s="9"/>
      <c r="AF10327" s="10"/>
      <c r="AG10327" s="10"/>
      <c r="AH10327" s="10"/>
      <c r="AI10327" s="10"/>
    </row>
    <row r="10328" spans="28:35" ht="15" hidden="1" customHeight="1">
      <c r="AB10328" s="9"/>
      <c r="AC10328" s="9"/>
      <c r="AD10328" s="9"/>
      <c r="AF10328" s="10"/>
      <c r="AG10328" s="10"/>
      <c r="AH10328" s="10"/>
      <c r="AI10328" s="10"/>
    </row>
    <row r="10329" spans="28:35" ht="15" hidden="1" customHeight="1">
      <c r="AB10329" s="9"/>
      <c r="AC10329" s="9"/>
      <c r="AD10329" s="9"/>
      <c r="AF10329" s="10"/>
      <c r="AG10329" s="10"/>
      <c r="AH10329" s="10"/>
      <c r="AI10329" s="10"/>
    </row>
    <row r="10330" spans="28:35" ht="15" hidden="1" customHeight="1">
      <c r="AB10330" s="9"/>
      <c r="AC10330" s="9"/>
      <c r="AD10330" s="9"/>
      <c r="AF10330" s="10"/>
      <c r="AG10330" s="10"/>
      <c r="AH10330" s="10"/>
      <c r="AI10330" s="10"/>
    </row>
    <row r="10331" spans="28:35" ht="15" hidden="1" customHeight="1">
      <c r="AB10331" s="9"/>
      <c r="AC10331" s="9"/>
      <c r="AD10331" s="9"/>
      <c r="AF10331" s="10"/>
      <c r="AG10331" s="10"/>
      <c r="AH10331" s="10"/>
      <c r="AI10331" s="10"/>
    </row>
    <row r="10332" spans="28:35" ht="15" hidden="1" customHeight="1">
      <c r="AB10332" s="9"/>
      <c r="AC10332" s="9"/>
      <c r="AD10332" s="9"/>
      <c r="AF10332" s="10"/>
      <c r="AG10332" s="10"/>
      <c r="AH10332" s="10"/>
      <c r="AI10332" s="10"/>
    </row>
    <row r="10333" spans="28:35" ht="15" hidden="1" customHeight="1">
      <c r="AB10333" s="9"/>
      <c r="AC10333" s="9"/>
      <c r="AD10333" s="9"/>
      <c r="AF10333" s="10"/>
      <c r="AG10333" s="10"/>
      <c r="AH10333" s="10"/>
      <c r="AI10333" s="10"/>
    </row>
    <row r="10334" spans="28:35" ht="15" hidden="1" customHeight="1">
      <c r="AB10334" s="9"/>
      <c r="AC10334" s="9"/>
      <c r="AD10334" s="9"/>
      <c r="AF10334" s="10"/>
      <c r="AG10334" s="10"/>
      <c r="AH10334" s="10"/>
      <c r="AI10334" s="10"/>
    </row>
    <row r="10335" spans="28:35" ht="15" hidden="1" customHeight="1">
      <c r="AB10335" s="9"/>
      <c r="AC10335" s="9"/>
      <c r="AD10335" s="9"/>
      <c r="AF10335" s="10"/>
      <c r="AG10335" s="10"/>
      <c r="AH10335" s="10"/>
      <c r="AI10335" s="10"/>
    </row>
    <row r="10336" spans="28:35" ht="15" hidden="1" customHeight="1">
      <c r="AB10336" s="9"/>
      <c r="AC10336" s="9"/>
      <c r="AD10336" s="9"/>
      <c r="AF10336" s="10"/>
      <c r="AG10336" s="10"/>
      <c r="AH10336" s="10"/>
      <c r="AI10336" s="10"/>
    </row>
    <row r="10337" spans="28:35" ht="15" hidden="1" customHeight="1">
      <c r="AB10337" s="9"/>
      <c r="AC10337" s="9"/>
      <c r="AD10337" s="9"/>
      <c r="AF10337" s="10"/>
      <c r="AG10337" s="10"/>
      <c r="AH10337" s="10"/>
      <c r="AI10337" s="10"/>
    </row>
    <row r="10338" spans="28:35" ht="15" hidden="1" customHeight="1">
      <c r="AB10338" s="9"/>
      <c r="AC10338" s="9"/>
      <c r="AD10338" s="9"/>
      <c r="AF10338" s="10"/>
      <c r="AG10338" s="10"/>
      <c r="AH10338" s="10"/>
      <c r="AI10338" s="10"/>
    </row>
    <row r="10339" spans="28:35" ht="15" hidden="1" customHeight="1">
      <c r="AB10339" s="9"/>
      <c r="AC10339" s="9"/>
      <c r="AD10339" s="9"/>
      <c r="AF10339" s="10"/>
      <c r="AG10339" s="10"/>
      <c r="AH10339" s="10"/>
      <c r="AI10339" s="10"/>
    </row>
    <row r="10340" spans="28:35" ht="15" hidden="1" customHeight="1">
      <c r="AB10340" s="9"/>
      <c r="AC10340" s="9"/>
      <c r="AD10340" s="9"/>
      <c r="AF10340" s="10"/>
      <c r="AG10340" s="10"/>
      <c r="AH10340" s="10"/>
      <c r="AI10340" s="10"/>
    </row>
    <row r="10341" spans="28:35" ht="15" hidden="1" customHeight="1">
      <c r="AB10341" s="9"/>
      <c r="AC10341" s="9"/>
      <c r="AD10341" s="9"/>
      <c r="AF10341" s="10"/>
      <c r="AG10341" s="10"/>
      <c r="AH10341" s="10"/>
      <c r="AI10341" s="10"/>
    </row>
    <row r="10342" spans="28:35" ht="15" hidden="1" customHeight="1">
      <c r="AB10342" s="9"/>
      <c r="AC10342" s="9"/>
      <c r="AD10342" s="9"/>
      <c r="AF10342" s="10"/>
      <c r="AG10342" s="10"/>
      <c r="AH10342" s="10"/>
      <c r="AI10342" s="10"/>
    </row>
    <row r="10343" spans="28:35" ht="15" hidden="1" customHeight="1">
      <c r="AB10343" s="9"/>
      <c r="AC10343" s="9"/>
      <c r="AD10343" s="9"/>
      <c r="AF10343" s="10"/>
      <c r="AG10343" s="10"/>
      <c r="AH10343" s="10"/>
      <c r="AI10343" s="10"/>
    </row>
    <row r="10344" spans="28:35" ht="15" hidden="1" customHeight="1">
      <c r="AB10344" s="9"/>
      <c r="AC10344" s="9"/>
      <c r="AD10344" s="9"/>
      <c r="AF10344" s="10"/>
      <c r="AG10344" s="10"/>
      <c r="AH10344" s="10"/>
      <c r="AI10344" s="10"/>
    </row>
    <row r="10345" spans="28:35" ht="15" hidden="1" customHeight="1">
      <c r="AB10345" s="9"/>
      <c r="AC10345" s="9"/>
      <c r="AD10345" s="9"/>
      <c r="AF10345" s="10"/>
      <c r="AG10345" s="10"/>
      <c r="AH10345" s="10"/>
      <c r="AI10345" s="10"/>
    </row>
    <row r="10346" spans="28:35" ht="15" hidden="1" customHeight="1">
      <c r="AB10346" s="9"/>
      <c r="AC10346" s="9"/>
      <c r="AD10346" s="9"/>
      <c r="AF10346" s="10"/>
      <c r="AG10346" s="10"/>
      <c r="AH10346" s="10"/>
      <c r="AI10346" s="10"/>
    </row>
    <row r="10347" spans="28:35" ht="15" hidden="1" customHeight="1">
      <c r="AB10347" s="9"/>
      <c r="AC10347" s="9"/>
      <c r="AD10347" s="9"/>
      <c r="AF10347" s="10"/>
      <c r="AG10347" s="10"/>
      <c r="AH10347" s="10"/>
      <c r="AI10347" s="10"/>
    </row>
    <row r="10348" spans="28:35" ht="15" hidden="1" customHeight="1">
      <c r="AB10348" s="9"/>
      <c r="AC10348" s="9"/>
      <c r="AD10348" s="9"/>
      <c r="AF10348" s="10"/>
      <c r="AG10348" s="10"/>
      <c r="AH10348" s="10"/>
      <c r="AI10348" s="10"/>
    </row>
    <row r="10349" spans="28:35" ht="15" hidden="1" customHeight="1">
      <c r="AB10349" s="9"/>
      <c r="AC10349" s="9"/>
      <c r="AD10349" s="9"/>
      <c r="AF10349" s="10"/>
      <c r="AG10349" s="10"/>
      <c r="AH10349" s="10"/>
      <c r="AI10349" s="10"/>
    </row>
    <row r="10350" spans="28:35" ht="15" hidden="1" customHeight="1">
      <c r="AB10350" s="9"/>
      <c r="AC10350" s="9"/>
      <c r="AD10350" s="9"/>
      <c r="AF10350" s="10"/>
      <c r="AG10350" s="10"/>
      <c r="AH10350" s="10"/>
      <c r="AI10350" s="10"/>
    </row>
    <row r="10351" spans="28:35" ht="15" hidden="1" customHeight="1">
      <c r="AB10351" s="9"/>
      <c r="AC10351" s="9"/>
      <c r="AD10351" s="9"/>
      <c r="AF10351" s="10"/>
      <c r="AG10351" s="10"/>
      <c r="AH10351" s="10"/>
      <c r="AI10351" s="10"/>
    </row>
    <row r="10352" spans="28:35" ht="15" hidden="1" customHeight="1">
      <c r="AB10352" s="9"/>
      <c r="AC10352" s="9"/>
      <c r="AD10352" s="9"/>
      <c r="AF10352" s="10"/>
      <c r="AG10352" s="10"/>
      <c r="AH10352" s="10"/>
      <c r="AI10352" s="10"/>
    </row>
    <row r="10353" spans="28:35" ht="15" hidden="1" customHeight="1">
      <c r="AB10353" s="9"/>
      <c r="AC10353" s="9"/>
      <c r="AD10353" s="9"/>
      <c r="AF10353" s="10"/>
      <c r="AG10353" s="10"/>
      <c r="AH10353" s="10"/>
      <c r="AI10353" s="10"/>
    </row>
    <row r="10354" spans="28:35" ht="15" hidden="1" customHeight="1">
      <c r="AB10354" s="9"/>
      <c r="AC10354" s="9"/>
      <c r="AD10354" s="9"/>
      <c r="AF10354" s="10"/>
      <c r="AG10354" s="10"/>
      <c r="AH10354" s="10"/>
      <c r="AI10354" s="10"/>
    </row>
    <row r="10355" spans="28:35" ht="15" hidden="1" customHeight="1">
      <c r="AB10355" s="9"/>
      <c r="AC10355" s="9"/>
      <c r="AD10355" s="9"/>
      <c r="AF10355" s="10"/>
      <c r="AG10355" s="10"/>
      <c r="AH10355" s="10"/>
      <c r="AI10355" s="10"/>
    </row>
    <row r="10356" spans="28:35" ht="15" hidden="1" customHeight="1">
      <c r="AB10356" s="9"/>
      <c r="AC10356" s="9"/>
      <c r="AD10356" s="9"/>
      <c r="AF10356" s="10"/>
      <c r="AG10356" s="10"/>
      <c r="AH10356" s="10"/>
      <c r="AI10356" s="10"/>
    </row>
    <row r="10357" spans="28:35" ht="15" hidden="1" customHeight="1">
      <c r="AB10357" s="9"/>
      <c r="AC10357" s="9"/>
      <c r="AD10357" s="9"/>
      <c r="AF10357" s="10"/>
      <c r="AG10357" s="10"/>
      <c r="AH10357" s="10"/>
      <c r="AI10357" s="10"/>
    </row>
    <row r="10358" spans="28:35" ht="15" hidden="1" customHeight="1">
      <c r="AB10358" s="9"/>
      <c r="AC10358" s="9"/>
      <c r="AD10358" s="9"/>
      <c r="AF10358" s="10"/>
      <c r="AG10358" s="10"/>
      <c r="AH10358" s="10"/>
      <c r="AI10358" s="10"/>
    </row>
    <row r="10359" spans="28:35" ht="15" hidden="1" customHeight="1">
      <c r="AB10359" s="9"/>
      <c r="AC10359" s="9"/>
      <c r="AD10359" s="9"/>
      <c r="AF10359" s="10"/>
      <c r="AG10359" s="10"/>
      <c r="AH10359" s="10"/>
      <c r="AI10359" s="10"/>
    </row>
    <row r="10360" spans="28:35" ht="15" hidden="1" customHeight="1">
      <c r="AB10360" s="9"/>
      <c r="AC10360" s="9"/>
      <c r="AD10360" s="9"/>
      <c r="AF10360" s="10"/>
      <c r="AG10360" s="10"/>
      <c r="AH10360" s="10"/>
      <c r="AI10360" s="10"/>
    </row>
    <row r="10361" spans="28:35" ht="15" hidden="1" customHeight="1">
      <c r="AB10361" s="9"/>
      <c r="AC10361" s="9"/>
      <c r="AD10361" s="9"/>
      <c r="AF10361" s="10"/>
      <c r="AG10361" s="10"/>
      <c r="AH10361" s="10"/>
      <c r="AI10361" s="10"/>
    </row>
    <row r="10362" spans="28:35" ht="15" hidden="1" customHeight="1">
      <c r="AB10362" s="9"/>
      <c r="AC10362" s="9"/>
      <c r="AD10362" s="9"/>
      <c r="AF10362" s="10"/>
      <c r="AG10362" s="10"/>
      <c r="AH10362" s="10"/>
      <c r="AI10362" s="10"/>
    </row>
    <row r="10363" spans="28:35" ht="15" hidden="1" customHeight="1">
      <c r="AB10363" s="9"/>
      <c r="AC10363" s="9"/>
      <c r="AD10363" s="9"/>
      <c r="AF10363" s="10"/>
      <c r="AG10363" s="10"/>
      <c r="AH10363" s="10"/>
      <c r="AI10363" s="10"/>
    </row>
    <row r="10364" spans="28:35" ht="15" hidden="1" customHeight="1">
      <c r="AB10364" s="9"/>
      <c r="AC10364" s="9"/>
      <c r="AD10364" s="9"/>
      <c r="AF10364" s="10"/>
      <c r="AG10364" s="10"/>
      <c r="AH10364" s="10"/>
      <c r="AI10364" s="10"/>
    </row>
    <row r="10365" spans="28:35" ht="15" hidden="1" customHeight="1">
      <c r="AB10365" s="9"/>
      <c r="AC10365" s="9"/>
      <c r="AD10365" s="9"/>
      <c r="AF10365" s="10"/>
      <c r="AG10365" s="10"/>
      <c r="AH10365" s="10"/>
      <c r="AI10365" s="10"/>
    </row>
    <row r="10366" spans="28:35" ht="15" hidden="1" customHeight="1">
      <c r="AB10366" s="9"/>
      <c r="AC10366" s="9"/>
      <c r="AD10366" s="9"/>
      <c r="AF10366" s="10"/>
      <c r="AG10366" s="10"/>
      <c r="AH10366" s="10"/>
      <c r="AI10366" s="10"/>
    </row>
    <row r="10367" spans="28:35" ht="15" hidden="1" customHeight="1">
      <c r="AB10367" s="9"/>
      <c r="AC10367" s="9"/>
      <c r="AD10367" s="9"/>
      <c r="AF10367" s="10"/>
      <c r="AG10367" s="10"/>
      <c r="AH10367" s="10"/>
      <c r="AI10367" s="10"/>
    </row>
    <row r="10368" spans="28:35" ht="15" hidden="1" customHeight="1">
      <c r="AB10368" s="9"/>
      <c r="AC10368" s="9"/>
      <c r="AD10368" s="9"/>
      <c r="AF10368" s="10"/>
      <c r="AG10368" s="10"/>
      <c r="AH10368" s="10"/>
      <c r="AI10368" s="10"/>
    </row>
    <row r="10369" spans="28:35" ht="15" hidden="1" customHeight="1">
      <c r="AB10369" s="9"/>
      <c r="AC10369" s="9"/>
      <c r="AD10369" s="9"/>
      <c r="AF10369" s="10"/>
      <c r="AG10369" s="10"/>
      <c r="AH10369" s="10"/>
      <c r="AI10369" s="10"/>
    </row>
    <row r="10370" spans="28:35" ht="15" hidden="1" customHeight="1">
      <c r="AB10370" s="9"/>
      <c r="AC10370" s="9"/>
      <c r="AD10370" s="9"/>
      <c r="AF10370" s="10"/>
      <c r="AG10370" s="10"/>
      <c r="AH10370" s="10"/>
      <c r="AI10370" s="10"/>
    </row>
    <row r="10371" spans="28:35" ht="15" hidden="1" customHeight="1">
      <c r="AB10371" s="9"/>
      <c r="AC10371" s="9"/>
      <c r="AD10371" s="9"/>
      <c r="AF10371" s="10"/>
      <c r="AG10371" s="10"/>
      <c r="AH10371" s="10"/>
      <c r="AI10371" s="10"/>
    </row>
    <row r="10372" spans="28:35" ht="15" hidden="1" customHeight="1">
      <c r="AB10372" s="9"/>
      <c r="AC10372" s="9"/>
      <c r="AD10372" s="9"/>
      <c r="AF10372" s="10"/>
      <c r="AG10372" s="10"/>
      <c r="AH10372" s="10"/>
      <c r="AI10372" s="10"/>
    </row>
    <row r="10373" spans="28:35" ht="15" hidden="1" customHeight="1">
      <c r="AB10373" s="9"/>
      <c r="AC10373" s="9"/>
      <c r="AD10373" s="9"/>
      <c r="AF10373" s="10"/>
      <c r="AG10373" s="10"/>
      <c r="AH10373" s="10"/>
      <c r="AI10373" s="10"/>
    </row>
    <row r="10374" spans="28:35" ht="15" hidden="1" customHeight="1">
      <c r="AB10374" s="9"/>
      <c r="AC10374" s="9"/>
      <c r="AD10374" s="9"/>
      <c r="AF10374" s="10"/>
      <c r="AG10374" s="10"/>
      <c r="AH10374" s="10"/>
      <c r="AI10374" s="10"/>
    </row>
    <row r="10375" spans="28:35" ht="15" hidden="1" customHeight="1">
      <c r="AB10375" s="9"/>
      <c r="AC10375" s="9"/>
      <c r="AD10375" s="9"/>
      <c r="AF10375" s="10"/>
      <c r="AG10375" s="10"/>
      <c r="AH10375" s="10"/>
      <c r="AI10375" s="10"/>
    </row>
    <row r="10376" spans="28:35" ht="15" hidden="1" customHeight="1">
      <c r="AB10376" s="9"/>
      <c r="AC10376" s="9"/>
      <c r="AD10376" s="9"/>
      <c r="AF10376" s="10"/>
      <c r="AG10376" s="10"/>
      <c r="AH10376" s="10"/>
      <c r="AI10376" s="10"/>
    </row>
    <row r="10377" spans="28:35" ht="15" hidden="1" customHeight="1">
      <c r="AB10377" s="9"/>
      <c r="AC10377" s="9"/>
      <c r="AD10377" s="9"/>
      <c r="AF10377" s="10"/>
      <c r="AG10377" s="10"/>
      <c r="AH10377" s="10"/>
      <c r="AI10377" s="10"/>
    </row>
    <row r="10378" spans="28:35" ht="15" hidden="1" customHeight="1">
      <c r="AB10378" s="9"/>
      <c r="AC10378" s="9"/>
      <c r="AD10378" s="9"/>
      <c r="AF10378" s="10"/>
      <c r="AG10378" s="10"/>
      <c r="AH10378" s="10"/>
      <c r="AI10378" s="10"/>
    </row>
    <row r="10379" spans="28:35" ht="15" hidden="1" customHeight="1">
      <c r="AB10379" s="9"/>
      <c r="AC10379" s="9"/>
      <c r="AD10379" s="9"/>
      <c r="AF10379" s="10"/>
      <c r="AG10379" s="10"/>
      <c r="AH10379" s="10"/>
      <c r="AI10379" s="10"/>
    </row>
    <row r="10380" spans="28:35" ht="15" hidden="1" customHeight="1">
      <c r="AB10380" s="9"/>
      <c r="AC10380" s="9"/>
      <c r="AD10380" s="9"/>
      <c r="AF10380" s="10"/>
      <c r="AG10380" s="10"/>
      <c r="AH10380" s="10"/>
      <c r="AI10380" s="10"/>
    </row>
    <row r="10381" spans="28:35" ht="15" hidden="1" customHeight="1">
      <c r="AB10381" s="9"/>
      <c r="AC10381" s="9"/>
      <c r="AD10381" s="9"/>
      <c r="AF10381" s="10"/>
      <c r="AG10381" s="10"/>
      <c r="AH10381" s="10"/>
      <c r="AI10381" s="10"/>
    </row>
    <row r="10382" spans="28:35" ht="15" hidden="1" customHeight="1">
      <c r="AB10382" s="9"/>
      <c r="AC10382" s="9"/>
      <c r="AD10382" s="9"/>
      <c r="AF10382" s="10"/>
      <c r="AG10382" s="10"/>
      <c r="AH10382" s="10"/>
      <c r="AI10382" s="10"/>
    </row>
    <row r="10383" spans="28:35" ht="15" hidden="1" customHeight="1">
      <c r="AB10383" s="9"/>
      <c r="AC10383" s="9"/>
      <c r="AD10383" s="9"/>
      <c r="AF10383" s="10"/>
      <c r="AG10383" s="10"/>
      <c r="AH10383" s="10"/>
      <c r="AI10383" s="10"/>
    </row>
    <row r="10384" spans="28:35" ht="15" hidden="1" customHeight="1">
      <c r="AB10384" s="9"/>
      <c r="AC10384" s="9"/>
      <c r="AD10384" s="9"/>
      <c r="AF10384" s="10"/>
      <c r="AG10384" s="10"/>
      <c r="AH10384" s="10"/>
      <c r="AI10384" s="10"/>
    </row>
    <row r="10385" spans="28:35" ht="15" hidden="1" customHeight="1">
      <c r="AB10385" s="9"/>
      <c r="AC10385" s="9"/>
      <c r="AD10385" s="9"/>
      <c r="AF10385" s="10"/>
      <c r="AG10385" s="10"/>
      <c r="AH10385" s="10"/>
      <c r="AI10385" s="10"/>
    </row>
    <row r="10386" spans="28:35" ht="15" hidden="1" customHeight="1">
      <c r="AB10386" s="9"/>
      <c r="AC10386" s="9"/>
      <c r="AD10386" s="9"/>
      <c r="AF10386" s="10"/>
      <c r="AG10386" s="10"/>
      <c r="AH10386" s="10"/>
      <c r="AI10386" s="10"/>
    </row>
    <row r="10387" spans="28:35" ht="15" hidden="1" customHeight="1">
      <c r="AB10387" s="9"/>
      <c r="AC10387" s="9"/>
      <c r="AD10387" s="9"/>
      <c r="AF10387" s="10"/>
      <c r="AG10387" s="10"/>
      <c r="AH10387" s="10"/>
      <c r="AI10387" s="10"/>
    </row>
    <row r="10388" spans="28:35" ht="15" hidden="1" customHeight="1">
      <c r="AB10388" s="9"/>
      <c r="AC10388" s="9"/>
      <c r="AD10388" s="9"/>
      <c r="AF10388" s="10"/>
      <c r="AG10388" s="10"/>
      <c r="AH10388" s="10"/>
      <c r="AI10388" s="10"/>
    </row>
    <row r="10389" spans="28:35" ht="15" hidden="1" customHeight="1">
      <c r="AB10389" s="9"/>
      <c r="AC10389" s="9"/>
      <c r="AD10389" s="9"/>
      <c r="AF10389" s="10"/>
      <c r="AG10389" s="10"/>
      <c r="AH10389" s="10"/>
      <c r="AI10389" s="10"/>
    </row>
    <row r="10390" spans="28:35" ht="15" hidden="1" customHeight="1">
      <c r="AB10390" s="9"/>
      <c r="AC10390" s="9"/>
      <c r="AD10390" s="9"/>
      <c r="AF10390" s="10"/>
      <c r="AG10390" s="10"/>
      <c r="AH10390" s="10"/>
      <c r="AI10390" s="10"/>
    </row>
    <row r="10391" spans="28:35" ht="15" hidden="1" customHeight="1">
      <c r="AB10391" s="9"/>
      <c r="AC10391" s="9"/>
      <c r="AD10391" s="9"/>
      <c r="AF10391" s="10"/>
      <c r="AG10391" s="10"/>
      <c r="AH10391" s="10"/>
      <c r="AI10391" s="10"/>
    </row>
    <row r="10392" spans="28:35" ht="15" hidden="1" customHeight="1">
      <c r="AB10392" s="9"/>
      <c r="AC10392" s="9"/>
      <c r="AD10392" s="9"/>
      <c r="AF10392" s="10"/>
      <c r="AG10392" s="10"/>
      <c r="AH10392" s="10"/>
      <c r="AI10392" s="10"/>
    </row>
    <row r="10393" spans="28:35" ht="15" hidden="1" customHeight="1">
      <c r="AB10393" s="9"/>
      <c r="AC10393" s="9"/>
      <c r="AD10393" s="9"/>
      <c r="AF10393" s="10"/>
      <c r="AG10393" s="10"/>
      <c r="AH10393" s="10"/>
      <c r="AI10393" s="10"/>
    </row>
    <row r="10394" spans="28:35" ht="15" hidden="1" customHeight="1">
      <c r="AB10394" s="9"/>
      <c r="AC10394" s="9"/>
      <c r="AD10394" s="9"/>
      <c r="AF10394" s="10"/>
      <c r="AG10394" s="10"/>
      <c r="AH10394" s="10"/>
      <c r="AI10394" s="10"/>
    </row>
    <row r="10395" spans="28:35" ht="15" hidden="1" customHeight="1">
      <c r="AB10395" s="9"/>
      <c r="AC10395" s="9"/>
      <c r="AD10395" s="9"/>
      <c r="AF10395" s="10"/>
      <c r="AG10395" s="10"/>
      <c r="AH10395" s="10"/>
      <c r="AI10395" s="10"/>
    </row>
    <row r="10396" spans="28:35" ht="15" hidden="1" customHeight="1">
      <c r="AB10396" s="9"/>
      <c r="AC10396" s="9"/>
      <c r="AD10396" s="9"/>
      <c r="AF10396" s="10"/>
      <c r="AG10396" s="10"/>
      <c r="AH10396" s="10"/>
      <c r="AI10396" s="10"/>
    </row>
    <row r="10397" spans="28:35" ht="15" hidden="1" customHeight="1">
      <c r="AB10397" s="9"/>
      <c r="AC10397" s="9"/>
      <c r="AD10397" s="9"/>
      <c r="AF10397" s="10"/>
      <c r="AG10397" s="10"/>
      <c r="AH10397" s="10"/>
      <c r="AI10397" s="10"/>
    </row>
    <row r="10398" spans="28:35" ht="15" hidden="1" customHeight="1">
      <c r="AB10398" s="9"/>
      <c r="AC10398" s="9"/>
      <c r="AD10398" s="9"/>
      <c r="AF10398" s="10"/>
      <c r="AG10398" s="10"/>
      <c r="AH10398" s="10"/>
      <c r="AI10398" s="10"/>
    </row>
    <row r="10399" spans="28:35" ht="15" hidden="1" customHeight="1">
      <c r="AB10399" s="9"/>
      <c r="AC10399" s="9"/>
      <c r="AD10399" s="9"/>
      <c r="AF10399" s="10"/>
      <c r="AG10399" s="10"/>
      <c r="AH10399" s="10"/>
      <c r="AI10399" s="10"/>
    </row>
    <row r="10400" spans="28:35" ht="15" hidden="1" customHeight="1">
      <c r="AB10400" s="9"/>
      <c r="AC10400" s="9"/>
      <c r="AD10400" s="9"/>
      <c r="AF10400" s="10"/>
      <c r="AG10400" s="10"/>
      <c r="AH10400" s="10"/>
      <c r="AI10400" s="10"/>
    </row>
    <row r="10401" spans="28:35" ht="15" hidden="1" customHeight="1">
      <c r="AB10401" s="9"/>
      <c r="AC10401" s="9"/>
      <c r="AD10401" s="9"/>
      <c r="AF10401" s="10"/>
      <c r="AG10401" s="10"/>
      <c r="AH10401" s="10"/>
      <c r="AI10401" s="10"/>
    </row>
    <row r="10402" spans="28:35" ht="15" hidden="1" customHeight="1">
      <c r="AB10402" s="9"/>
      <c r="AC10402" s="9"/>
      <c r="AD10402" s="9"/>
      <c r="AF10402" s="10"/>
      <c r="AG10402" s="10"/>
      <c r="AH10402" s="10"/>
      <c r="AI10402" s="10"/>
    </row>
    <row r="10403" spans="28:35" ht="15" hidden="1" customHeight="1">
      <c r="AB10403" s="9"/>
      <c r="AC10403" s="9"/>
      <c r="AD10403" s="9"/>
      <c r="AF10403" s="10"/>
      <c r="AG10403" s="10"/>
      <c r="AH10403" s="10"/>
      <c r="AI10403" s="10"/>
    </row>
    <row r="10404" spans="28:35" ht="15" hidden="1" customHeight="1">
      <c r="AB10404" s="9"/>
      <c r="AC10404" s="9"/>
      <c r="AD10404" s="9"/>
      <c r="AF10404" s="10"/>
      <c r="AG10404" s="10"/>
      <c r="AH10404" s="10"/>
      <c r="AI10404" s="10"/>
    </row>
    <row r="10405" spans="28:35" ht="15" hidden="1" customHeight="1">
      <c r="AB10405" s="9"/>
      <c r="AC10405" s="9"/>
      <c r="AD10405" s="9"/>
      <c r="AF10405" s="10"/>
      <c r="AG10405" s="10"/>
      <c r="AH10405" s="10"/>
      <c r="AI10405" s="10"/>
    </row>
    <row r="10406" spans="28:35" ht="15" hidden="1" customHeight="1">
      <c r="AB10406" s="9"/>
      <c r="AC10406" s="9"/>
      <c r="AD10406" s="9"/>
      <c r="AF10406" s="10"/>
      <c r="AG10406" s="10"/>
      <c r="AH10406" s="10"/>
      <c r="AI10406" s="10"/>
    </row>
    <row r="10407" spans="28:35" ht="15" hidden="1" customHeight="1">
      <c r="AB10407" s="9"/>
      <c r="AC10407" s="9"/>
      <c r="AD10407" s="9"/>
      <c r="AF10407" s="10"/>
      <c r="AG10407" s="10"/>
      <c r="AH10407" s="10"/>
      <c r="AI10407" s="10"/>
    </row>
    <row r="10408" spans="28:35" ht="15" hidden="1" customHeight="1">
      <c r="AB10408" s="9"/>
      <c r="AC10408" s="9"/>
      <c r="AD10408" s="9"/>
      <c r="AF10408" s="10"/>
      <c r="AG10408" s="10"/>
      <c r="AH10408" s="10"/>
      <c r="AI10408" s="10"/>
    </row>
    <row r="10409" spans="28:35" ht="15" hidden="1" customHeight="1">
      <c r="AB10409" s="9"/>
      <c r="AC10409" s="9"/>
      <c r="AD10409" s="9"/>
      <c r="AF10409" s="10"/>
      <c r="AG10409" s="10"/>
      <c r="AH10409" s="10"/>
      <c r="AI10409" s="10"/>
    </row>
    <row r="10410" spans="28:35" ht="15" hidden="1" customHeight="1">
      <c r="AB10410" s="9"/>
      <c r="AC10410" s="9"/>
      <c r="AD10410" s="9"/>
      <c r="AF10410" s="10"/>
      <c r="AG10410" s="10"/>
      <c r="AH10410" s="10"/>
      <c r="AI10410" s="10"/>
    </row>
    <row r="10411" spans="28:35" ht="15" hidden="1" customHeight="1">
      <c r="AB10411" s="9"/>
      <c r="AC10411" s="9"/>
      <c r="AD10411" s="9"/>
      <c r="AF10411" s="10"/>
      <c r="AG10411" s="10"/>
      <c r="AH10411" s="10"/>
      <c r="AI10411" s="10"/>
    </row>
    <row r="10412" spans="28:35" ht="15" hidden="1" customHeight="1">
      <c r="AB10412" s="9"/>
      <c r="AC10412" s="9"/>
      <c r="AD10412" s="9"/>
      <c r="AF10412" s="10"/>
      <c r="AG10412" s="10"/>
      <c r="AH10412" s="10"/>
      <c r="AI10412" s="10"/>
    </row>
    <row r="10413" spans="28:35" ht="15" hidden="1" customHeight="1">
      <c r="AB10413" s="9"/>
      <c r="AC10413" s="9"/>
      <c r="AD10413" s="9"/>
      <c r="AF10413" s="10"/>
      <c r="AG10413" s="10"/>
      <c r="AH10413" s="10"/>
      <c r="AI10413" s="10"/>
    </row>
    <row r="10414" spans="28:35" ht="15" hidden="1" customHeight="1">
      <c r="AB10414" s="9"/>
      <c r="AC10414" s="9"/>
      <c r="AD10414" s="9"/>
      <c r="AF10414" s="10"/>
      <c r="AG10414" s="10"/>
      <c r="AH10414" s="10"/>
      <c r="AI10414" s="10"/>
    </row>
    <row r="10415" spans="28:35" ht="15" hidden="1" customHeight="1">
      <c r="AB10415" s="9"/>
      <c r="AC10415" s="9"/>
      <c r="AD10415" s="9"/>
      <c r="AF10415" s="10"/>
      <c r="AG10415" s="10"/>
      <c r="AH10415" s="10"/>
      <c r="AI10415" s="10"/>
    </row>
    <row r="10416" spans="28:35" ht="15" hidden="1" customHeight="1">
      <c r="AB10416" s="9"/>
      <c r="AC10416" s="9"/>
      <c r="AD10416" s="9"/>
      <c r="AF10416" s="10"/>
      <c r="AG10416" s="10"/>
      <c r="AH10416" s="10"/>
      <c r="AI10416" s="10"/>
    </row>
    <row r="10417" spans="28:35" ht="15" hidden="1" customHeight="1">
      <c r="AB10417" s="9"/>
      <c r="AC10417" s="9"/>
      <c r="AD10417" s="9"/>
      <c r="AF10417" s="10"/>
      <c r="AG10417" s="10"/>
      <c r="AH10417" s="10"/>
      <c r="AI10417" s="10"/>
    </row>
    <row r="10418" spans="28:35" ht="15" hidden="1" customHeight="1">
      <c r="AB10418" s="9"/>
      <c r="AC10418" s="9"/>
      <c r="AD10418" s="9"/>
      <c r="AF10418" s="10"/>
      <c r="AG10418" s="10"/>
      <c r="AH10418" s="10"/>
      <c r="AI10418" s="10"/>
    </row>
    <row r="10419" spans="28:35" ht="15" hidden="1" customHeight="1">
      <c r="AB10419" s="9"/>
      <c r="AC10419" s="9"/>
      <c r="AD10419" s="9"/>
      <c r="AF10419" s="10"/>
      <c r="AG10419" s="10"/>
      <c r="AH10419" s="10"/>
      <c r="AI10419" s="10"/>
    </row>
    <row r="10420" spans="28:35" ht="15" hidden="1" customHeight="1">
      <c r="AB10420" s="9"/>
      <c r="AC10420" s="9"/>
      <c r="AD10420" s="9"/>
      <c r="AF10420" s="10"/>
      <c r="AG10420" s="10"/>
      <c r="AH10420" s="10"/>
      <c r="AI10420" s="10"/>
    </row>
    <row r="10421" spans="28:35" ht="15" hidden="1" customHeight="1">
      <c r="AB10421" s="9"/>
      <c r="AC10421" s="9"/>
      <c r="AD10421" s="9"/>
      <c r="AF10421" s="10"/>
      <c r="AG10421" s="10"/>
      <c r="AH10421" s="10"/>
      <c r="AI10421" s="10"/>
    </row>
    <row r="10422" spans="28:35" ht="15" hidden="1" customHeight="1">
      <c r="AB10422" s="9"/>
      <c r="AC10422" s="9"/>
      <c r="AD10422" s="9"/>
      <c r="AF10422" s="10"/>
      <c r="AG10422" s="10"/>
      <c r="AH10422" s="10"/>
      <c r="AI10422" s="10"/>
    </row>
    <row r="10423" spans="28:35" ht="15" hidden="1" customHeight="1">
      <c r="AB10423" s="9"/>
      <c r="AC10423" s="9"/>
      <c r="AD10423" s="9"/>
      <c r="AF10423" s="10"/>
      <c r="AG10423" s="10"/>
      <c r="AH10423" s="10"/>
      <c r="AI10423" s="10"/>
    </row>
    <row r="10424" spans="28:35" ht="15" hidden="1" customHeight="1">
      <c r="AB10424" s="9"/>
      <c r="AC10424" s="9"/>
      <c r="AD10424" s="9"/>
      <c r="AF10424" s="10"/>
      <c r="AG10424" s="10"/>
      <c r="AH10424" s="10"/>
      <c r="AI10424" s="10"/>
    </row>
    <row r="10425" spans="28:35" ht="15" hidden="1" customHeight="1">
      <c r="AB10425" s="9"/>
      <c r="AC10425" s="9"/>
      <c r="AD10425" s="9"/>
      <c r="AF10425" s="10"/>
      <c r="AG10425" s="10"/>
      <c r="AH10425" s="10"/>
      <c r="AI10425" s="10"/>
    </row>
    <row r="10426" spans="28:35" ht="15" hidden="1" customHeight="1">
      <c r="AB10426" s="9"/>
      <c r="AC10426" s="9"/>
      <c r="AD10426" s="9"/>
      <c r="AF10426" s="10"/>
      <c r="AG10426" s="10"/>
      <c r="AH10426" s="10"/>
      <c r="AI10426" s="10"/>
    </row>
    <row r="10427" spans="28:35" ht="15" hidden="1" customHeight="1">
      <c r="AB10427" s="9"/>
      <c r="AC10427" s="9"/>
      <c r="AD10427" s="9"/>
      <c r="AF10427" s="10"/>
      <c r="AG10427" s="10"/>
      <c r="AH10427" s="10"/>
      <c r="AI10427" s="10"/>
    </row>
    <row r="10428" spans="28:35" ht="15" hidden="1" customHeight="1">
      <c r="AB10428" s="9"/>
      <c r="AC10428" s="9"/>
      <c r="AD10428" s="9"/>
      <c r="AF10428" s="10"/>
      <c r="AG10428" s="10"/>
      <c r="AH10428" s="10"/>
      <c r="AI10428" s="10"/>
    </row>
    <row r="10429" spans="28:35" ht="15" hidden="1" customHeight="1">
      <c r="AB10429" s="9"/>
      <c r="AC10429" s="9"/>
      <c r="AD10429" s="9"/>
      <c r="AF10429" s="10"/>
      <c r="AG10429" s="10"/>
      <c r="AH10429" s="10"/>
      <c r="AI10429" s="10"/>
    </row>
    <row r="10430" spans="28:35" ht="15" hidden="1" customHeight="1">
      <c r="AB10430" s="9"/>
      <c r="AC10430" s="9"/>
      <c r="AD10430" s="9"/>
      <c r="AF10430" s="10"/>
      <c r="AG10430" s="10"/>
      <c r="AH10430" s="10"/>
      <c r="AI10430" s="10"/>
    </row>
    <row r="10431" spans="28:35" ht="15" hidden="1" customHeight="1">
      <c r="AB10431" s="9"/>
      <c r="AC10431" s="9"/>
      <c r="AD10431" s="9"/>
      <c r="AF10431" s="10"/>
      <c r="AG10431" s="10"/>
      <c r="AH10431" s="10"/>
      <c r="AI10431" s="10"/>
    </row>
    <row r="10432" spans="28:35" ht="15" hidden="1" customHeight="1">
      <c r="AB10432" s="9"/>
      <c r="AC10432" s="9"/>
      <c r="AD10432" s="9"/>
      <c r="AF10432" s="10"/>
      <c r="AG10432" s="10"/>
      <c r="AH10432" s="10"/>
      <c r="AI10432" s="10"/>
    </row>
    <row r="10433" spans="28:35" ht="15" hidden="1" customHeight="1">
      <c r="AB10433" s="9"/>
      <c r="AC10433" s="9"/>
      <c r="AD10433" s="9"/>
      <c r="AF10433" s="10"/>
      <c r="AG10433" s="10"/>
      <c r="AH10433" s="10"/>
      <c r="AI10433" s="10"/>
    </row>
    <row r="10434" spans="28:35" ht="15" hidden="1" customHeight="1">
      <c r="AB10434" s="9"/>
      <c r="AC10434" s="9"/>
      <c r="AD10434" s="9"/>
      <c r="AF10434" s="10"/>
      <c r="AG10434" s="10"/>
      <c r="AH10434" s="10"/>
      <c r="AI10434" s="10"/>
    </row>
    <row r="10435" spans="28:35" ht="15" hidden="1" customHeight="1">
      <c r="AB10435" s="9"/>
      <c r="AC10435" s="9"/>
      <c r="AD10435" s="9"/>
      <c r="AF10435" s="10"/>
      <c r="AG10435" s="10"/>
      <c r="AH10435" s="10"/>
      <c r="AI10435" s="10"/>
    </row>
    <row r="10436" spans="28:35" ht="15" hidden="1" customHeight="1">
      <c r="AB10436" s="9"/>
      <c r="AC10436" s="9"/>
      <c r="AD10436" s="9"/>
      <c r="AF10436" s="10"/>
      <c r="AG10436" s="10"/>
      <c r="AH10436" s="10"/>
      <c r="AI10436" s="10"/>
    </row>
    <row r="10437" spans="28:35" ht="15" hidden="1" customHeight="1">
      <c r="AB10437" s="9"/>
      <c r="AC10437" s="9"/>
      <c r="AD10437" s="9"/>
      <c r="AF10437" s="10"/>
      <c r="AG10437" s="10"/>
      <c r="AH10437" s="10"/>
      <c r="AI10437" s="10"/>
    </row>
    <row r="10438" spans="28:35" ht="15" hidden="1" customHeight="1">
      <c r="AB10438" s="9"/>
      <c r="AC10438" s="9"/>
      <c r="AD10438" s="9"/>
      <c r="AF10438" s="10"/>
      <c r="AG10438" s="10"/>
      <c r="AH10438" s="10"/>
      <c r="AI10438" s="10"/>
    </row>
    <row r="10439" spans="28:35" ht="15" hidden="1" customHeight="1">
      <c r="AB10439" s="9"/>
      <c r="AC10439" s="9"/>
      <c r="AD10439" s="9"/>
      <c r="AF10439" s="10"/>
      <c r="AG10439" s="10"/>
      <c r="AH10439" s="10"/>
      <c r="AI10439" s="10"/>
    </row>
    <row r="10440" spans="28:35" ht="15" hidden="1" customHeight="1">
      <c r="AB10440" s="9"/>
      <c r="AC10440" s="9"/>
      <c r="AD10440" s="9"/>
      <c r="AF10440" s="10"/>
      <c r="AG10440" s="10"/>
      <c r="AH10440" s="10"/>
      <c r="AI10440" s="10"/>
    </row>
    <row r="10441" spans="28:35" ht="15" hidden="1" customHeight="1">
      <c r="AB10441" s="9"/>
      <c r="AC10441" s="9"/>
      <c r="AD10441" s="9"/>
      <c r="AF10441" s="10"/>
      <c r="AG10441" s="10"/>
      <c r="AH10441" s="10"/>
      <c r="AI10441" s="10"/>
    </row>
    <row r="10442" spans="28:35" ht="15" hidden="1" customHeight="1">
      <c r="AB10442" s="9"/>
      <c r="AC10442" s="9"/>
      <c r="AD10442" s="9"/>
      <c r="AF10442" s="10"/>
      <c r="AG10442" s="10"/>
      <c r="AH10442" s="10"/>
      <c r="AI10442" s="10"/>
    </row>
    <row r="10443" spans="28:35" ht="15" hidden="1" customHeight="1">
      <c r="AB10443" s="9"/>
      <c r="AC10443" s="9"/>
      <c r="AD10443" s="9"/>
      <c r="AF10443" s="10"/>
      <c r="AG10443" s="10"/>
      <c r="AH10443" s="10"/>
      <c r="AI10443" s="10"/>
    </row>
    <row r="10444" spans="28:35" ht="15" hidden="1" customHeight="1">
      <c r="AB10444" s="9"/>
      <c r="AC10444" s="9"/>
      <c r="AD10444" s="9"/>
      <c r="AF10444" s="10"/>
      <c r="AG10444" s="10"/>
      <c r="AH10444" s="10"/>
      <c r="AI10444" s="10"/>
    </row>
    <row r="10445" spans="28:35" ht="15" hidden="1" customHeight="1">
      <c r="AB10445" s="9"/>
      <c r="AC10445" s="9"/>
      <c r="AD10445" s="9"/>
      <c r="AF10445" s="10"/>
      <c r="AG10445" s="10"/>
      <c r="AH10445" s="10"/>
      <c r="AI10445" s="10"/>
    </row>
    <row r="10446" spans="28:35" ht="15" hidden="1" customHeight="1">
      <c r="AB10446" s="9"/>
      <c r="AC10446" s="9"/>
      <c r="AD10446" s="9"/>
      <c r="AF10446" s="10"/>
      <c r="AG10446" s="10"/>
      <c r="AH10446" s="10"/>
      <c r="AI10446" s="10"/>
    </row>
    <row r="10447" spans="28:35" ht="15" hidden="1" customHeight="1">
      <c r="AB10447" s="9"/>
      <c r="AC10447" s="9"/>
      <c r="AD10447" s="9"/>
      <c r="AF10447" s="10"/>
      <c r="AG10447" s="10"/>
      <c r="AH10447" s="10"/>
      <c r="AI10447" s="10"/>
    </row>
    <row r="10448" spans="28:35" ht="15" hidden="1" customHeight="1">
      <c r="AB10448" s="9"/>
      <c r="AC10448" s="9"/>
      <c r="AD10448" s="9"/>
      <c r="AF10448" s="10"/>
      <c r="AG10448" s="10"/>
      <c r="AH10448" s="10"/>
      <c r="AI10448" s="10"/>
    </row>
    <row r="10449" spans="28:35" ht="15" hidden="1" customHeight="1">
      <c r="AB10449" s="9"/>
      <c r="AC10449" s="9"/>
      <c r="AD10449" s="9"/>
      <c r="AF10449" s="10"/>
      <c r="AG10449" s="10"/>
      <c r="AH10449" s="10"/>
      <c r="AI10449" s="10"/>
    </row>
    <row r="10450" spans="28:35" ht="15" hidden="1" customHeight="1">
      <c r="AB10450" s="9"/>
      <c r="AC10450" s="9"/>
      <c r="AD10450" s="9"/>
      <c r="AF10450" s="10"/>
      <c r="AG10450" s="10"/>
      <c r="AH10450" s="10"/>
      <c r="AI10450" s="10"/>
    </row>
    <row r="10451" spans="28:35" ht="15" hidden="1" customHeight="1">
      <c r="AB10451" s="9"/>
      <c r="AC10451" s="9"/>
      <c r="AD10451" s="9"/>
      <c r="AF10451" s="10"/>
      <c r="AG10451" s="10"/>
      <c r="AH10451" s="10"/>
      <c r="AI10451" s="10"/>
    </row>
    <row r="10452" spans="28:35" ht="15" hidden="1" customHeight="1">
      <c r="AB10452" s="9"/>
      <c r="AC10452" s="9"/>
      <c r="AD10452" s="9"/>
      <c r="AF10452" s="10"/>
      <c r="AG10452" s="10"/>
      <c r="AH10452" s="10"/>
      <c r="AI10452" s="10"/>
    </row>
    <row r="10453" spans="28:35" ht="15" hidden="1" customHeight="1">
      <c r="AB10453" s="9"/>
      <c r="AC10453" s="9"/>
      <c r="AD10453" s="9"/>
      <c r="AF10453" s="10"/>
      <c r="AG10453" s="10"/>
      <c r="AH10453" s="10"/>
      <c r="AI10453" s="10"/>
    </row>
    <row r="10454" spans="28:35" ht="15" hidden="1" customHeight="1">
      <c r="AB10454" s="9"/>
      <c r="AC10454" s="9"/>
      <c r="AD10454" s="9"/>
      <c r="AF10454" s="10"/>
      <c r="AG10454" s="10"/>
      <c r="AH10454" s="10"/>
      <c r="AI10454" s="10"/>
    </row>
    <row r="10455" spans="28:35" ht="15" hidden="1" customHeight="1">
      <c r="AB10455" s="9"/>
      <c r="AC10455" s="9"/>
      <c r="AD10455" s="9"/>
      <c r="AF10455" s="10"/>
      <c r="AG10455" s="10"/>
      <c r="AH10455" s="10"/>
      <c r="AI10455" s="10"/>
    </row>
    <row r="10456" spans="28:35" ht="15" hidden="1" customHeight="1">
      <c r="AB10456" s="9"/>
      <c r="AC10456" s="9"/>
      <c r="AD10456" s="9"/>
      <c r="AF10456" s="10"/>
      <c r="AG10456" s="10"/>
      <c r="AH10456" s="10"/>
      <c r="AI10456" s="10"/>
    </row>
    <row r="10457" spans="28:35" ht="15" hidden="1" customHeight="1">
      <c r="AB10457" s="9"/>
      <c r="AC10457" s="9"/>
      <c r="AD10457" s="9"/>
      <c r="AF10457" s="10"/>
      <c r="AG10457" s="10"/>
      <c r="AH10457" s="10"/>
      <c r="AI10457" s="10"/>
    </row>
    <row r="10458" spans="28:35" ht="15" hidden="1" customHeight="1">
      <c r="AB10458" s="9"/>
      <c r="AC10458" s="9"/>
      <c r="AD10458" s="9"/>
      <c r="AF10458" s="10"/>
      <c r="AG10458" s="10"/>
      <c r="AH10458" s="10"/>
      <c r="AI10458" s="10"/>
    </row>
    <row r="10459" spans="28:35" ht="15" hidden="1" customHeight="1">
      <c r="AB10459" s="9"/>
      <c r="AC10459" s="9"/>
      <c r="AD10459" s="9"/>
      <c r="AF10459" s="10"/>
      <c r="AG10459" s="10"/>
      <c r="AH10459" s="10"/>
      <c r="AI10459" s="10"/>
    </row>
    <row r="10460" spans="28:35" ht="15" hidden="1" customHeight="1">
      <c r="AB10460" s="9"/>
      <c r="AC10460" s="9"/>
      <c r="AD10460" s="9"/>
      <c r="AF10460" s="10"/>
      <c r="AG10460" s="10"/>
      <c r="AH10460" s="10"/>
      <c r="AI10460" s="10"/>
    </row>
    <row r="10461" spans="28:35" ht="15" hidden="1" customHeight="1">
      <c r="AB10461" s="9"/>
      <c r="AC10461" s="9"/>
      <c r="AD10461" s="9"/>
      <c r="AF10461" s="10"/>
      <c r="AG10461" s="10"/>
      <c r="AH10461" s="10"/>
      <c r="AI10461" s="10"/>
    </row>
    <row r="10462" spans="28:35" ht="15" hidden="1" customHeight="1">
      <c r="AB10462" s="9"/>
      <c r="AC10462" s="9"/>
      <c r="AD10462" s="9"/>
      <c r="AF10462" s="10"/>
      <c r="AG10462" s="10"/>
      <c r="AH10462" s="10"/>
      <c r="AI10462" s="10"/>
    </row>
    <row r="10463" spans="28:35" ht="15" hidden="1" customHeight="1">
      <c r="AB10463" s="9"/>
      <c r="AC10463" s="9"/>
      <c r="AD10463" s="9"/>
      <c r="AF10463" s="10"/>
      <c r="AG10463" s="10"/>
      <c r="AH10463" s="10"/>
      <c r="AI10463" s="10"/>
    </row>
    <row r="10464" spans="28:35" ht="15" hidden="1" customHeight="1">
      <c r="AB10464" s="9"/>
      <c r="AC10464" s="9"/>
      <c r="AD10464" s="9"/>
      <c r="AF10464" s="10"/>
      <c r="AG10464" s="10"/>
      <c r="AH10464" s="10"/>
      <c r="AI10464" s="10"/>
    </row>
    <row r="10465" spans="28:35" ht="15" hidden="1" customHeight="1">
      <c r="AB10465" s="9"/>
      <c r="AC10465" s="9"/>
      <c r="AD10465" s="9"/>
      <c r="AF10465" s="10"/>
      <c r="AG10465" s="10"/>
      <c r="AH10465" s="10"/>
      <c r="AI10465" s="10"/>
    </row>
    <row r="10466" spans="28:35" ht="15" hidden="1" customHeight="1">
      <c r="AB10466" s="9"/>
      <c r="AC10466" s="9"/>
      <c r="AD10466" s="9"/>
      <c r="AF10466" s="10"/>
      <c r="AG10466" s="10"/>
      <c r="AH10466" s="10"/>
      <c r="AI10466" s="10"/>
    </row>
    <row r="10467" spans="28:35" ht="15" hidden="1" customHeight="1">
      <c r="AB10467" s="9"/>
      <c r="AC10467" s="9"/>
      <c r="AD10467" s="9"/>
      <c r="AF10467" s="10"/>
      <c r="AG10467" s="10"/>
      <c r="AH10467" s="10"/>
      <c r="AI10467" s="10"/>
    </row>
    <row r="10468" spans="28:35" ht="15" hidden="1" customHeight="1">
      <c r="AB10468" s="9"/>
      <c r="AC10468" s="9"/>
      <c r="AD10468" s="9"/>
      <c r="AF10468" s="10"/>
      <c r="AG10468" s="10"/>
      <c r="AH10468" s="10"/>
      <c r="AI10468" s="10"/>
    </row>
    <row r="10469" spans="28:35" ht="15" hidden="1" customHeight="1">
      <c r="AB10469" s="9"/>
      <c r="AC10469" s="9"/>
      <c r="AD10469" s="9"/>
      <c r="AF10469" s="10"/>
      <c r="AG10469" s="10"/>
      <c r="AH10469" s="10"/>
      <c r="AI10469" s="10"/>
    </row>
    <row r="10470" spans="28:35" ht="15" hidden="1" customHeight="1">
      <c r="AB10470" s="9"/>
      <c r="AC10470" s="9"/>
      <c r="AD10470" s="9"/>
      <c r="AF10470" s="10"/>
      <c r="AG10470" s="10"/>
      <c r="AH10470" s="10"/>
      <c r="AI10470" s="10"/>
    </row>
    <row r="10471" spans="28:35" ht="15" hidden="1" customHeight="1">
      <c r="AB10471" s="9"/>
      <c r="AC10471" s="9"/>
      <c r="AD10471" s="9"/>
      <c r="AF10471" s="10"/>
      <c r="AG10471" s="10"/>
      <c r="AH10471" s="10"/>
      <c r="AI10471" s="10"/>
    </row>
    <row r="10472" spans="28:35" ht="15" hidden="1" customHeight="1">
      <c r="AB10472" s="9"/>
      <c r="AC10472" s="9"/>
      <c r="AD10472" s="9"/>
      <c r="AF10472" s="10"/>
      <c r="AG10472" s="10"/>
      <c r="AH10472" s="10"/>
      <c r="AI10472" s="10"/>
    </row>
    <row r="10473" spans="28:35" ht="15" hidden="1" customHeight="1">
      <c r="AB10473" s="9"/>
      <c r="AC10473" s="9"/>
      <c r="AD10473" s="9"/>
      <c r="AF10473" s="10"/>
      <c r="AG10473" s="10"/>
      <c r="AH10473" s="10"/>
      <c r="AI10473" s="10"/>
    </row>
    <row r="10474" spans="28:35" ht="15" hidden="1" customHeight="1">
      <c r="AB10474" s="9"/>
      <c r="AC10474" s="9"/>
      <c r="AD10474" s="9"/>
      <c r="AF10474" s="10"/>
      <c r="AG10474" s="10"/>
      <c r="AH10474" s="10"/>
      <c r="AI10474" s="10"/>
    </row>
    <row r="10475" spans="28:35" ht="15" hidden="1" customHeight="1">
      <c r="AB10475" s="9"/>
      <c r="AC10475" s="9"/>
      <c r="AD10475" s="9"/>
      <c r="AF10475" s="10"/>
      <c r="AG10475" s="10"/>
      <c r="AH10475" s="10"/>
      <c r="AI10475" s="10"/>
    </row>
    <row r="10476" spans="28:35" ht="15" hidden="1" customHeight="1">
      <c r="AB10476" s="9"/>
      <c r="AC10476" s="9"/>
      <c r="AD10476" s="9"/>
      <c r="AF10476" s="10"/>
      <c r="AG10476" s="10"/>
      <c r="AH10476" s="10"/>
      <c r="AI10476" s="10"/>
    </row>
    <row r="10477" spans="28:35" ht="15" hidden="1" customHeight="1">
      <c r="AB10477" s="9"/>
      <c r="AC10477" s="9"/>
      <c r="AD10477" s="9"/>
      <c r="AF10477" s="10"/>
      <c r="AG10477" s="10"/>
      <c r="AH10477" s="10"/>
      <c r="AI10477" s="10"/>
    </row>
    <row r="10478" spans="28:35" ht="15" hidden="1" customHeight="1">
      <c r="AB10478" s="9"/>
      <c r="AC10478" s="9"/>
      <c r="AD10478" s="9"/>
      <c r="AF10478" s="10"/>
      <c r="AG10478" s="10"/>
      <c r="AH10478" s="10"/>
      <c r="AI10478" s="10"/>
    </row>
    <row r="10479" spans="28:35" ht="15" hidden="1" customHeight="1">
      <c r="AB10479" s="9"/>
      <c r="AC10479" s="9"/>
      <c r="AD10479" s="9"/>
      <c r="AF10479" s="10"/>
      <c r="AG10479" s="10"/>
      <c r="AH10479" s="10"/>
      <c r="AI10479" s="10"/>
    </row>
    <row r="10480" spans="28:35" ht="15" hidden="1" customHeight="1">
      <c r="AB10480" s="9"/>
      <c r="AC10480" s="9"/>
      <c r="AD10480" s="9"/>
      <c r="AF10480" s="10"/>
      <c r="AG10480" s="10"/>
      <c r="AH10480" s="10"/>
      <c r="AI10480" s="10"/>
    </row>
    <row r="10481" spans="28:35" ht="15" hidden="1" customHeight="1">
      <c r="AB10481" s="9"/>
      <c r="AC10481" s="9"/>
      <c r="AD10481" s="9"/>
      <c r="AF10481" s="10"/>
      <c r="AG10481" s="10"/>
      <c r="AH10481" s="10"/>
      <c r="AI10481" s="10"/>
    </row>
    <row r="10482" spans="28:35" ht="15" hidden="1" customHeight="1">
      <c r="AB10482" s="9"/>
      <c r="AC10482" s="9"/>
      <c r="AD10482" s="9"/>
      <c r="AF10482" s="10"/>
      <c r="AG10482" s="10"/>
      <c r="AH10482" s="10"/>
      <c r="AI10482" s="10"/>
    </row>
    <row r="10483" spans="28:35" ht="15" hidden="1" customHeight="1">
      <c r="AB10483" s="9"/>
      <c r="AC10483" s="9"/>
      <c r="AD10483" s="9"/>
      <c r="AF10483" s="10"/>
      <c r="AG10483" s="10"/>
      <c r="AH10483" s="10"/>
      <c r="AI10483" s="10"/>
    </row>
    <row r="10484" spans="28:35" ht="15" hidden="1" customHeight="1">
      <c r="AB10484" s="9"/>
      <c r="AC10484" s="9"/>
      <c r="AD10484" s="9"/>
      <c r="AF10484" s="10"/>
      <c r="AG10484" s="10"/>
      <c r="AH10484" s="10"/>
      <c r="AI10484" s="10"/>
    </row>
    <row r="10485" spans="28:35" ht="15" hidden="1" customHeight="1">
      <c r="AB10485" s="9"/>
      <c r="AC10485" s="9"/>
      <c r="AD10485" s="9"/>
      <c r="AF10485" s="10"/>
      <c r="AG10485" s="10"/>
      <c r="AH10485" s="10"/>
      <c r="AI10485" s="10"/>
    </row>
    <row r="10486" spans="28:35" ht="15" hidden="1" customHeight="1">
      <c r="AB10486" s="9"/>
      <c r="AC10486" s="9"/>
      <c r="AD10486" s="9"/>
      <c r="AF10486" s="10"/>
      <c r="AG10486" s="10"/>
      <c r="AH10486" s="10"/>
      <c r="AI10486" s="10"/>
    </row>
    <row r="10487" spans="28:35" ht="15" hidden="1" customHeight="1">
      <c r="AB10487" s="9"/>
      <c r="AC10487" s="9"/>
      <c r="AD10487" s="9"/>
      <c r="AF10487" s="10"/>
      <c r="AG10487" s="10"/>
      <c r="AH10487" s="10"/>
      <c r="AI10487" s="10"/>
    </row>
    <row r="10488" spans="28:35" ht="15" hidden="1" customHeight="1">
      <c r="AB10488" s="9"/>
      <c r="AC10488" s="9"/>
      <c r="AD10488" s="9"/>
      <c r="AF10488" s="10"/>
      <c r="AG10488" s="10"/>
      <c r="AH10488" s="10"/>
      <c r="AI10488" s="10"/>
    </row>
    <row r="10489" spans="28:35" ht="15" hidden="1" customHeight="1">
      <c r="AB10489" s="9"/>
      <c r="AC10489" s="9"/>
      <c r="AD10489" s="9"/>
      <c r="AF10489" s="10"/>
      <c r="AG10489" s="10"/>
      <c r="AH10489" s="10"/>
      <c r="AI10489" s="10"/>
    </row>
    <row r="10490" spans="28:35" ht="15" hidden="1" customHeight="1">
      <c r="AB10490" s="9"/>
      <c r="AC10490" s="9"/>
      <c r="AD10490" s="9"/>
      <c r="AF10490" s="10"/>
      <c r="AG10490" s="10"/>
      <c r="AH10490" s="10"/>
      <c r="AI10490" s="10"/>
    </row>
    <row r="10491" spans="28:35" ht="15" hidden="1" customHeight="1">
      <c r="AB10491" s="9"/>
      <c r="AC10491" s="9"/>
      <c r="AD10491" s="9"/>
      <c r="AF10491" s="10"/>
      <c r="AG10491" s="10"/>
      <c r="AH10491" s="10"/>
      <c r="AI10491" s="10"/>
    </row>
    <row r="10492" spans="28:35" ht="15" hidden="1" customHeight="1">
      <c r="AB10492" s="9"/>
      <c r="AC10492" s="9"/>
      <c r="AD10492" s="9"/>
      <c r="AF10492" s="10"/>
      <c r="AG10492" s="10"/>
      <c r="AH10492" s="10"/>
      <c r="AI10492" s="10"/>
    </row>
    <row r="10493" spans="28:35" ht="15" hidden="1" customHeight="1">
      <c r="AB10493" s="9"/>
      <c r="AC10493" s="9"/>
      <c r="AD10493" s="9"/>
      <c r="AF10493" s="10"/>
      <c r="AG10493" s="10"/>
      <c r="AH10493" s="10"/>
      <c r="AI10493" s="10"/>
    </row>
    <row r="10494" spans="28:35" ht="15" hidden="1" customHeight="1">
      <c r="AB10494" s="9"/>
      <c r="AC10494" s="9"/>
      <c r="AD10494" s="9"/>
      <c r="AF10494" s="10"/>
      <c r="AG10494" s="10"/>
      <c r="AH10494" s="10"/>
      <c r="AI10494" s="10"/>
    </row>
    <row r="10495" spans="28:35" ht="15" hidden="1" customHeight="1">
      <c r="AB10495" s="9"/>
      <c r="AC10495" s="9"/>
      <c r="AD10495" s="9"/>
      <c r="AF10495" s="10"/>
      <c r="AG10495" s="10"/>
      <c r="AH10495" s="10"/>
      <c r="AI10495" s="10"/>
    </row>
    <row r="10496" spans="28:35" ht="15" hidden="1" customHeight="1">
      <c r="AB10496" s="9"/>
      <c r="AC10496" s="9"/>
      <c r="AD10496" s="9"/>
      <c r="AF10496" s="10"/>
      <c r="AG10496" s="10"/>
      <c r="AH10496" s="10"/>
      <c r="AI10496" s="10"/>
    </row>
    <row r="10497" spans="28:35" ht="15" hidden="1" customHeight="1">
      <c r="AB10497" s="9"/>
      <c r="AC10497" s="9"/>
      <c r="AD10497" s="9"/>
      <c r="AF10497" s="10"/>
      <c r="AG10497" s="10"/>
      <c r="AH10497" s="10"/>
      <c r="AI10497" s="10"/>
    </row>
    <row r="10498" spans="28:35" ht="15" hidden="1" customHeight="1">
      <c r="AB10498" s="9"/>
      <c r="AC10498" s="9"/>
      <c r="AD10498" s="9"/>
      <c r="AF10498" s="10"/>
      <c r="AG10498" s="10"/>
      <c r="AH10498" s="10"/>
      <c r="AI10498" s="10"/>
    </row>
    <row r="10499" spans="28:35" ht="15" hidden="1" customHeight="1">
      <c r="AB10499" s="9"/>
      <c r="AC10499" s="9"/>
      <c r="AD10499" s="9"/>
      <c r="AF10499" s="10"/>
      <c r="AG10499" s="10"/>
      <c r="AH10499" s="10"/>
      <c r="AI10499" s="10"/>
    </row>
    <row r="10500" spans="28:35" ht="15" hidden="1" customHeight="1">
      <c r="AB10500" s="9"/>
      <c r="AC10500" s="9"/>
      <c r="AD10500" s="9"/>
      <c r="AF10500" s="10"/>
      <c r="AG10500" s="10"/>
      <c r="AH10500" s="10"/>
      <c r="AI10500" s="10"/>
    </row>
    <row r="10501" spans="28:35" ht="15" hidden="1" customHeight="1">
      <c r="AB10501" s="9"/>
      <c r="AC10501" s="9"/>
      <c r="AD10501" s="9"/>
      <c r="AF10501" s="10"/>
      <c r="AG10501" s="10"/>
      <c r="AH10501" s="10"/>
      <c r="AI10501" s="10"/>
    </row>
    <row r="10502" spans="28:35" ht="15" hidden="1" customHeight="1">
      <c r="AB10502" s="9"/>
      <c r="AC10502" s="9"/>
      <c r="AD10502" s="9"/>
      <c r="AF10502" s="10"/>
      <c r="AG10502" s="10"/>
      <c r="AH10502" s="10"/>
      <c r="AI10502" s="10"/>
    </row>
    <row r="10503" spans="28:35" ht="15" hidden="1" customHeight="1">
      <c r="AB10503" s="9"/>
      <c r="AC10503" s="9"/>
      <c r="AD10503" s="9"/>
      <c r="AF10503" s="10"/>
      <c r="AG10503" s="10"/>
      <c r="AH10503" s="10"/>
      <c r="AI10503" s="10"/>
    </row>
    <row r="10504" spans="28:35" ht="15" hidden="1" customHeight="1">
      <c r="AB10504" s="9"/>
      <c r="AC10504" s="9"/>
      <c r="AD10504" s="9"/>
      <c r="AF10504" s="10"/>
      <c r="AG10504" s="10"/>
      <c r="AH10504" s="10"/>
      <c r="AI10504" s="10"/>
    </row>
    <row r="10505" spans="28:35" ht="15" hidden="1" customHeight="1">
      <c r="AB10505" s="9"/>
      <c r="AC10505" s="9"/>
      <c r="AD10505" s="9"/>
      <c r="AF10505" s="10"/>
      <c r="AG10505" s="10"/>
      <c r="AH10505" s="10"/>
      <c r="AI10505" s="10"/>
    </row>
    <row r="10506" spans="28:35" ht="15" hidden="1" customHeight="1">
      <c r="AB10506" s="9"/>
      <c r="AC10506" s="9"/>
      <c r="AD10506" s="9"/>
      <c r="AF10506" s="10"/>
      <c r="AG10506" s="10"/>
      <c r="AH10506" s="10"/>
      <c r="AI10506" s="10"/>
    </row>
    <row r="10507" spans="28:35" ht="15" hidden="1" customHeight="1">
      <c r="AB10507" s="9"/>
      <c r="AC10507" s="9"/>
      <c r="AD10507" s="9"/>
      <c r="AF10507" s="10"/>
      <c r="AG10507" s="10"/>
      <c r="AH10507" s="10"/>
      <c r="AI10507" s="10"/>
    </row>
    <row r="10508" spans="28:35" ht="15" hidden="1" customHeight="1">
      <c r="AB10508" s="9"/>
      <c r="AC10508" s="9"/>
      <c r="AD10508" s="9"/>
      <c r="AF10508" s="10"/>
      <c r="AG10508" s="10"/>
      <c r="AH10508" s="10"/>
      <c r="AI10508" s="10"/>
    </row>
    <row r="10509" spans="28:35" ht="15" hidden="1" customHeight="1">
      <c r="AB10509" s="9"/>
      <c r="AC10509" s="9"/>
      <c r="AD10509" s="9"/>
      <c r="AF10509" s="10"/>
      <c r="AG10509" s="10"/>
      <c r="AH10509" s="10"/>
      <c r="AI10509" s="10"/>
    </row>
    <row r="10510" spans="28:35" ht="15" hidden="1" customHeight="1">
      <c r="AB10510" s="9"/>
      <c r="AC10510" s="9"/>
      <c r="AD10510" s="9"/>
      <c r="AF10510" s="10"/>
      <c r="AG10510" s="10"/>
      <c r="AH10510" s="10"/>
      <c r="AI10510" s="10"/>
    </row>
    <row r="10511" spans="28:35" ht="15" hidden="1" customHeight="1">
      <c r="AB10511" s="9"/>
      <c r="AC10511" s="9"/>
      <c r="AD10511" s="9"/>
      <c r="AF10511" s="10"/>
      <c r="AG10511" s="10"/>
      <c r="AH10511" s="10"/>
      <c r="AI10511" s="10"/>
    </row>
    <row r="10512" spans="28:35" ht="15" hidden="1" customHeight="1">
      <c r="AB10512" s="9"/>
      <c r="AC10512" s="9"/>
      <c r="AD10512" s="9"/>
      <c r="AF10512" s="10"/>
      <c r="AG10512" s="10"/>
      <c r="AH10512" s="10"/>
      <c r="AI10512" s="10"/>
    </row>
    <row r="10513" spans="28:35" ht="15" hidden="1" customHeight="1">
      <c r="AB10513" s="9"/>
      <c r="AC10513" s="9"/>
      <c r="AD10513" s="9"/>
      <c r="AF10513" s="10"/>
      <c r="AG10513" s="10"/>
      <c r="AH10513" s="10"/>
      <c r="AI10513" s="10"/>
    </row>
    <row r="10514" spans="28:35" ht="15" hidden="1" customHeight="1">
      <c r="AB10514" s="9"/>
      <c r="AC10514" s="9"/>
      <c r="AD10514" s="9"/>
      <c r="AF10514" s="10"/>
      <c r="AG10514" s="10"/>
      <c r="AH10514" s="10"/>
      <c r="AI10514" s="10"/>
    </row>
    <row r="10515" spans="28:35" ht="15" hidden="1" customHeight="1">
      <c r="AB10515" s="9"/>
      <c r="AC10515" s="9"/>
      <c r="AD10515" s="9"/>
      <c r="AF10515" s="10"/>
      <c r="AG10515" s="10"/>
      <c r="AH10515" s="10"/>
      <c r="AI10515" s="10"/>
    </row>
    <row r="10516" spans="28:35" ht="15" hidden="1" customHeight="1">
      <c r="AB10516" s="9"/>
      <c r="AC10516" s="9"/>
      <c r="AD10516" s="9"/>
      <c r="AF10516" s="10"/>
      <c r="AG10516" s="10"/>
      <c r="AH10516" s="10"/>
      <c r="AI10516" s="10"/>
    </row>
    <row r="10517" spans="28:35" ht="15" hidden="1" customHeight="1">
      <c r="AB10517" s="9"/>
      <c r="AC10517" s="9"/>
      <c r="AD10517" s="9"/>
      <c r="AF10517" s="10"/>
      <c r="AG10517" s="10"/>
      <c r="AH10517" s="10"/>
      <c r="AI10517" s="10"/>
    </row>
    <row r="10518" spans="28:35" ht="15" hidden="1" customHeight="1">
      <c r="AB10518" s="9"/>
      <c r="AC10518" s="9"/>
      <c r="AD10518" s="9"/>
      <c r="AF10518" s="10"/>
      <c r="AG10518" s="10"/>
      <c r="AH10518" s="10"/>
      <c r="AI10518" s="10"/>
    </row>
    <row r="10519" spans="28:35" ht="15" hidden="1" customHeight="1">
      <c r="AB10519" s="9"/>
      <c r="AC10519" s="9"/>
      <c r="AD10519" s="9"/>
      <c r="AF10519" s="10"/>
      <c r="AG10519" s="10"/>
      <c r="AH10519" s="10"/>
      <c r="AI10519" s="10"/>
    </row>
    <row r="10520" spans="28:35" ht="15" hidden="1" customHeight="1">
      <c r="AB10520" s="9"/>
      <c r="AC10520" s="9"/>
      <c r="AD10520" s="9"/>
      <c r="AF10520" s="10"/>
      <c r="AG10520" s="10"/>
      <c r="AH10520" s="10"/>
      <c r="AI10520" s="10"/>
    </row>
    <row r="10521" spans="28:35" ht="15" hidden="1" customHeight="1">
      <c r="AB10521" s="9"/>
      <c r="AC10521" s="9"/>
      <c r="AD10521" s="9"/>
      <c r="AF10521" s="10"/>
      <c r="AG10521" s="10"/>
      <c r="AH10521" s="10"/>
      <c r="AI10521" s="10"/>
    </row>
    <row r="10522" spans="28:35" ht="15" hidden="1" customHeight="1">
      <c r="AB10522" s="9"/>
      <c r="AC10522" s="9"/>
      <c r="AD10522" s="9"/>
      <c r="AF10522" s="10"/>
      <c r="AG10522" s="10"/>
      <c r="AH10522" s="10"/>
      <c r="AI10522" s="10"/>
    </row>
    <row r="10523" spans="28:35" ht="15" hidden="1" customHeight="1">
      <c r="AB10523" s="9"/>
      <c r="AC10523" s="9"/>
      <c r="AD10523" s="9"/>
      <c r="AF10523" s="10"/>
      <c r="AG10523" s="10"/>
      <c r="AH10523" s="10"/>
      <c r="AI10523" s="10"/>
    </row>
    <row r="10524" spans="28:35" ht="15" hidden="1" customHeight="1">
      <c r="AB10524" s="9"/>
      <c r="AC10524" s="9"/>
      <c r="AD10524" s="9"/>
      <c r="AF10524" s="10"/>
      <c r="AG10524" s="10"/>
      <c r="AH10524" s="10"/>
      <c r="AI10524" s="10"/>
    </row>
    <row r="10525" spans="28:35" ht="15" hidden="1" customHeight="1">
      <c r="AB10525" s="9"/>
      <c r="AC10525" s="9"/>
      <c r="AD10525" s="9"/>
      <c r="AF10525" s="10"/>
      <c r="AG10525" s="10"/>
      <c r="AH10525" s="10"/>
      <c r="AI10525" s="10"/>
    </row>
    <row r="10526" spans="28:35" ht="15" hidden="1" customHeight="1">
      <c r="AB10526" s="9"/>
      <c r="AC10526" s="9"/>
      <c r="AD10526" s="9"/>
      <c r="AF10526" s="10"/>
      <c r="AG10526" s="10"/>
      <c r="AH10526" s="10"/>
      <c r="AI10526" s="10"/>
    </row>
    <row r="10527" spans="28:35" ht="15" hidden="1" customHeight="1">
      <c r="AB10527" s="9"/>
      <c r="AC10527" s="9"/>
      <c r="AD10527" s="9"/>
      <c r="AF10527" s="10"/>
      <c r="AG10527" s="10"/>
      <c r="AH10527" s="10"/>
      <c r="AI10527" s="10"/>
    </row>
    <row r="10528" spans="28:35" ht="15" hidden="1" customHeight="1">
      <c r="AB10528" s="9"/>
      <c r="AC10528" s="9"/>
      <c r="AD10528" s="9"/>
      <c r="AF10528" s="10"/>
      <c r="AG10528" s="10"/>
      <c r="AH10528" s="10"/>
      <c r="AI10528" s="10"/>
    </row>
    <row r="10529" spans="28:35" ht="15" hidden="1" customHeight="1">
      <c r="AB10529" s="9"/>
      <c r="AC10529" s="9"/>
      <c r="AD10529" s="9"/>
      <c r="AF10529" s="10"/>
      <c r="AG10529" s="10"/>
      <c r="AH10529" s="10"/>
      <c r="AI10529" s="10"/>
    </row>
    <row r="10530" spans="28:35" ht="15" hidden="1" customHeight="1">
      <c r="AB10530" s="9"/>
      <c r="AC10530" s="9"/>
      <c r="AD10530" s="9"/>
      <c r="AF10530" s="10"/>
      <c r="AG10530" s="10"/>
      <c r="AH10530" s="10"/>
      <c r="AI10530" s="10"/>
    </row>
    <row r="10531" spans="28:35" ht="15" hidden="1" customHeight="1">
      <c r="AB10531" s="9"/>
      <c r="AC10531" s="9"/>
      <c r="AD10531" s="9"/>
      <c r="AF10531" s="10"/>
      <c r="AG10531" s="10"/>
      <c r="AH10531" s="10"/>
      <c r="AI10531" s="10"/>
    </row>
    <row r="10532" spans="28:35" ht="15" hidden="1" customHeight="1">
      <c r="AB10532" s="9"/>
      <c r="AC10532" s="9"/>
      <c r="AD10532" s="9"/>
      <c r="AF10532" s="10"/>
      <c r="AG10532" s="10"/>
      <c r="AH10532" s="10"/>
      <c r="AI10532" s="10"/>
    </row>
    <row r="10533" spans="28:35" ht="15" hidden="1" customHeight="1">
      <c r="AB10533" s="9"/>
      <c r="AC10533" s="9"/>
      <c r="AD10533" s="9"/>
      <c r="AF10533" s="10"/>
      <c r="AG10533" s="10"/>
      <c r="AH10533" s="10"/>
      <c r="AI10533" s="10"/>
    </row>
    <row r="10534" spans="28:35" ht="15" hidden="1" customHeight="1">
      <c r="AB10534" s="9"/>
      <c r="AC10534" s="9"/>
      <c r="AD10534" s="9"/>
      <c r="AF10534" s="10"/>
      <c r="AG10534" s="10"/>
      <c r="AH10534" s="10"/>
      <c r="AI10534" s="10"/>
    </row>
    <row r="10535" spans="28:35" ht="15" hidden="1" customHeight="1">
      <c r="AB10535" s="9"/>
      <c r="AC10535" s="9"/>
      <c r="AD10535" s="9"/>
      <c r="AF10535" s="10"/>
      <c r="AG10535" s="10"/>
      <c r="AH10535" s="10"/>
      <c r="AI10535" s="10"/>
    </row>
    <row r="10536" spans="28:35" ht="15" hidden="1" customHeight="1">
      <c r="AB10536" s="9"/>
      <c r="AC10536" s="9"/>
      <c r="AD10536" s="9"/>
      <c r="AF10536" s="10"/>
      <c r="AG10536" s="10"/>
      <c r="AH10536" s="10"/>
      <c r="AI10536" s="10"/>
    </row>
    <row r="10537" spans="28:35" ht="15" hidden="1" customHeight="1">
      <c r="AB10537" s="9"/>
      <c r="AC10537" s="9"/>
      <c r="AD10537" s="9"/>
      <c r="AF10537" s="10"/>
      <c r="AG10537" s="10"/>
      <c r="AH10537" s="10"/>
      <c r="AI10537" s="10"/>
    </row>
    <row r="10538" spans="28:35" ht="15" hidden="1" customHeight="1">
      <c r="AB10538" s="9"/>
      <c r="AC10538" s="9"/>
      <c r="AD10538" s="9"/>
      <c r="AF10538" s="10"/>
      <c r="AG10538" s="10"/>
      <c r="AH10538" s="10"/>
      <c r="AI10538" s="10"/>
    </row>
    <row r="10539" spans="28:35" ht="15" hidden="1" customHeight="1">
      <c r="AB10539" s="9"/>
      <c r="AC10539" s="9"/>
      <c r="AD10539" s="9"/>
      <c r="AF10539" s="10"/>
      <c r="AG10539" s="10"/>
      <c r="AH10539" s="10"/>
      <c r="AI10539" s="10"/>
    </row>
    <row r="10540" spans="28:35" ht="15" hidden="1" customHeight="1">
      <c r="AB10540" s="9"/>
      <c r="AC10540" s="9"/>
      <c r="AD10540" s="9"/>
      <c r="AF10540" s="10"/>
      <c r="AG10540" s="10"/>
      <c r="AH10540" s="10"/>
      <c r="AI10540" s="10"/>
    </row>
    <row r="10541" spans="28:35" ht="15" hidden="1" customHeight="1">
      <c r="AB10541" s="9"/>
      <c r="AC10541" s="9"/>
      <c r="AD10541" s="9"/>
      <c r="AF10541" s="10"/>
      <c r="AG10541" s="10"/>
      <c r="AH10541" s="10"/>
      <c r="AI10541" s="10"/>
    </row>
    <row r="10542" spans="28:35" ht="15" hidden="1" customHeight="1">
      <c r="AB10542" s="9"/>
      <c r="AC10542" s="9"/>
      <c r="AD10542" s="9"/>
      <c r="AF10542" s="10"/>
      <c r="AG10542" s="10"/>
      <c r="AH10542" s="10"/>
      <c r="AI10542" s="10"/>
    </row>
    <row r="10543" spans="28:35" ht="15" hidden="1" customHeight="1">
      <c r="AB10543" s="9"/>
      <c r="AC10543" s="9"/>
      <c r="AD10543" s="9"/>
      <c r="AF10543" s="10"/>
      <c r="AG10543" s="10"/>
      <c r="AH10543" s="10"/>
      <c r="AI10543" s="10"/>
    </row>
    <row r="10544" spans="28:35" ht="15" hidden="1" customHeight="1">
      <c r="AB10544" s="9"/>
      <c r="AC10544" s="9"/>
      <c r="AD10544" s="9"/>
      <c r="AF10544" s="10"/>
      <c r="AG10544" s="10"/>
      <c r="AH10544" s="10"/>
      <c r="AI10544" s="10"/>
    </row>
    <row r="10545" spans="28:35" ht="15" hidden="1" customHeight="1">
      <c r="AB10545" s="9"/>
      <c r="AC10545" s="9"/>
      <c r="AD10545" s="9"/>
      <c r="AF10545" s="10"/>
      <c r="AG10545" s="10"/>
      <c r="AH10545" s="10"/>
      <c r="AI10545" s="10"/>
    </row>
    <row r="10546" spans="28:35" ht="15" hidden="1" customHeight="1">
      <c r="AB10546" s="9"/>
      <c r="AC10546" s="9"/>
      <c r="AD10546" s="9"/>
      <c r="AF10546" s="10"/>
      <c r="AG10546" s="10"/>
      <c r="AH10546" s="10"/>
      <c r="AI10546" s="10"/>
    </row>
    <row r="10547" spans="28:35" ht="15" hidden="1" customHeight="1">
      <c r="AB10547" s="9"/>
      <c r="AC10547" s="9"/>
      <c r="AD10547" s="9"/>
      <c r="AF10547" s="10"/>
      <c r="AG10547" s="10"/>
      <c r="AH10547" s="10"/>
      <c r="AI10547" s="10"/>
    </row>
    <row r="10548" spans="28:35" ht="15" hidden="1" customHeight="1">
      <c r="AB10548" s="9"/>
      <c r="AC10548" s="9"/>
      <c r="AD10548" s="9"/>
      <c r="AF10548" s="10"/>
      <c r="AG10548" s="10"/>
      <c r="AH10548" s="10"/>
      <c r="AI10548" s="10"/>
    </row>
    <row r="10549" spans="28:35" ht="15" hidden="1" customHeight="1">
      <c r="AB10549" s="9"/>
      <c r="AC10549" s="9"/>
      <c r="AD10549" s="9"/>
      <c r="AF10549" s="10"/>
      <c r="AG10549" s="10"/>
      <c r="AH10549" s="10"/>
      <c r="AI10549" s="10"/>
    </row>
    <row r="10550" spans="28:35" ht="15" hidden="1" customHeight="1">
      <c r="AB10550" s="9"/>
      <c r="AC10550" s="9"/>
      <c r="AD10550" s="9"/>
      <c r="AF10550" s="10"/>
      <c r="AG10550" s="10"/>
      <c r="AH10550" s="10"/>
      <c r="AI10550" s="10"/>
    </row>
    <row r="10551" spans="28:35" ht="15" hidden="1" customHeight="1">
      <c r="AB10551" s="9"/>
      <c r="AC10551" s="9"/>
      <c r="AD10551" s="9"/>
      <c r="AF10551" s="10"/>
      <c r="AG10551" s="10"/>
      <c r="AH10551" s="10"/>
      <c r="AI10551" s="10"/>
    </row>
    <row r="10552" spans="28:35" ht="15" hidden="1" customHeight="1">
      <c r="AB10552" s="9"/>
      <c r="AC10552" s="9"/>
      <c r="AD10552" s="9"/>
      <c r="AF10552" s="10"/>
      <c r="AG10552" s="10"/>
      <c r="AH10552" s="10"/>
      <c r="AI10552" s="10"/>
    </row>
    <row r="10553" spans="28:35" ht="15" hidden="1" customHeight="1">
      <c r="AB10553" s="9"/>
      <c r="AC10553" s="9"/>
      <c r="AD10553" s="9"/>
      <c r="AF10553" s="10"/>
      <c r="AG10553" s="10"/>
      <c r="AH10553" s="10"/>
      <c r="AI10553" s="10"/>
    </row>
    <row r="10554" spans="28:35" ht="15" hidden="1" customHeight="1">
      <c r="AB10554" s="9"/>
      <c r="AC10554" s="9"/>
      <c r="AD10554" s="9"/>
      <c r="AF10554" s="10"/>
      <c r="AG10554" s="10"/>
      <c r="AH10554" s="10"/>
      <c r="AI10554" s="10"/>
    </row>
    <row r="10555" spans="28:35" ht="15" hidden="1" customHeight="1">
      <c r="AB10555" s="9"/>
      <c r="AC10555" s="9"/>
      <c r="AD10555" s="9"/>
      <c r="AF10555" s="10"/>
      <c r="AG10555" s="10"/>
      <c r="AH10555" s="10"/>
      <c r="AI10555" s="10"/>
    </row>
    <row r="10556" spans="28:35" ht="15" hidden="1" customHeight="1">
      <c r="AB10556" s="9"/>
      <c r="AC10556" s="9"/>
      <c r="AD10556" s="9"/>
      <c r="AF10556" s="10"/>
      <c r="AG10556" s="10"/>
      <c r="AH10556" s="10"/>
      <c r="AI10556" s="10"/>
    </row>
    <row r="10557" spans="28:35" ht="15" hidden="1" customHeight="1">
      <c r="AB10557" s="9"/>
      <c r="AC10557" s="9"/>
      <c r="AD10557" s="9"/>
      <c r="AF10557" s="10"/>
      <c r="AG10557" s="10"/>
      <c r="AH10557" s="10"/>
      <c r="AI10557" s="10"/>
    </row>
    <row r="10558" spans="28:35" ht="15" hidden="1" customHeight="1">
      <c r="AB10558" s="9"/>
      <c r="AC10558" s="9"/>
      <c r="AD10558" s="9"/>
      <c r="AF10558" s="10"/>
      <c r="AG10558" s="10"/>
      <c r="AH10558" s="10"/>
      <c r="AI10558" s="10"/>
    </row>
    <row r="10559" spans="28:35" ht="15" hidden="1" customHeight="1">
      <c r="AB10559" s="9"/>
      <c r="AC10559" s="9"/>
      <c r="AD10559" s="9"/>
      <c r="AF10559" s="10"/>
      <c r="AG10559" s="10"/>
      <c r="AH10559" s="10"/>
      <c r="AI10559" s="10"/>
    </row>
    <row r="10560" spans="28:35" ht="15" hidden="1" customHeight="1">
      <c r="AB10560" s="9"/>
      <c r="AC10560" s="9"/>
      <c r="AD10560" s="9"/>
      <c r="AF10560" s="10"/>
      <c r="AG10560" s="10"/>
      <c r="AH10560" s="10"/>
      <c r="AI10560" s="10"/>
    </row>
    <row r="10561" spans="28:35" ht="15" hidden="1" customHeight="1">
      <c r="AB10561" s="9"/>
      <c r="AC10561" s="9"/>
      <c r="AD10561" s="9"/>
      <c r="AF10561" s="10"/>
      <c r="AG10561" s="10"/>
      <c r="AH10561" s="10"/>
      <c r="AI10561" s="10"/>
    </row>
    <row r="10562" spans="28:35" ht="15" hidden="1" customHeight="1">
      <c r="AB10562" s="9"/>
      <c r="AC10562" s="9"/>
      <c r="AD10562" s="9"/>
      <c r="AF10562" s="10"/>
      <c r="AG10562" s="10"/>
      <c r="AH10562" s="10"/>
      <c r="AI10562" s="10"/>
    </row>
    <row r="10563" spans="28:35" ht="15" hidden="1" customHeight="1">
      <c r="AB10563" s="9"/>
      <c r="AC10563" s="9"/>
      <c r="AD10563" s="9"/>
      <c r="AF10563" s="10"/>
      <c r="AG10563" s="10"/>
      <c r="AH10563" s="10"/>
      <c r="AI10563" s="10"/>
    </row>
    <row r="10564" spans="28:35" ht="15" hidden="1" customHeight="1">
      <c r="AB10564" s="9"/>
      <c r="AC10564" s="9"/>
      <c r="AD10564" s="9"/>
      <c r="AF10564" s="10"/>
      <c r="AG10564" s="10"/>
      <c r="AH10564" s="10"/>
      <c r="AI10564" s="10"/>
    </row>
    <row r="10565" spans="28:35" ht="15" hidden="1" customHeight="1">
      <c r="AB10565" s="9"/>
      <c r="AC10565" s="9"/>
      <c r="AD10565" s="9"/>
      <c r="AF10565" s="10"/>
      <c r="AG10565" s="10"/>
      <c r="AH10565" s="10"/>
      <c r="AI10565" s="10"/>
    </row>
    <row r="10566" spans="28:35" ht="15" hidden="1" customHeight="1">
      <c r="AB10566" s="9"/>
      <c r="AC10566" s="9"/>
      <c r="AD10566" s="9"/>
      <c r="AF10566" s="10"/>
      <c r="AG10566" s="10"/>
      <c r="AH10566" s="10"/>
      <c r="AI10566" s="10"/>
    </row>
    <row r="10567" spans="28:35" ht="15" hidden="1" customHeight="1">
      <c r="AB10567" s="9"/>
      <c r="AC10567" s="9"/>
      <c r="AD10567" s="9"/>
      <c r="AF10567" s="10"/>
      <c r="AG10567" s="10"/>
      <c r="AH10567" s="10"/>
      <c r="AI10567" s="10"/>
    </row>
    <row r="10568" spans="28:35" ht="15" hidden="1" customHeight="1">
      <c r="AB10568" s="9"/>
      <c r="AC10568" s="9"/>
      <c r="AD10568" s="9"/>
      <c r="AF10568" s="10"/>
      <c r="AG10568" s="10"/>
      <c r="AH10568" s="10"/>
      <c r="AI10568" s="10"/>
    </row>
    <row r="10569" spans="28:35" ht="15" hidden="1" customHeight="1">
      <c r="AB10569" s="9"/>
      <c r="AC10569" s="9"/>
      <c r="AD10569" s="9"/>
      <c r="AF10569" s="10"/>
      <c r="AG10569" s="10"/>
      <c r="AH10569" s="10"/>
      <c r="AI10569" s="10"/>
    </row>
    <row r="10570" spans="28:35" ht="15" hidden="1" customHeight="1">
      <c r="AB10570" s="9"/>
      <c r="AC10570" s="9"/>
      <c r="AD10570" s="9"/>
      <c r="AF10570" s="10"/>
      <c r="AG10570" s="10"/>
      <c r="AH10570" s="10"/>
      <c r="AI10570" s="10"/>
    </row>
    <row r="10571" spans="28:35" ht="15" hidden="1" customHeight="1">
      <c r="AB10571" s="9"/>
      <c r="AC10571" s="9"/>
      <c r="AD10571" s="9"/>
      <c r="AF10571" s="10"/>
      <c r="AG10571" s="10"/>
      <c r="AH10571" s="10"/>
      <c r="AI10571" s="10"/>
    </row>
    <row r="10572" spans="28:35" ht="15" hidden="1" customHeight="1">
      <c r="AB10572" s="9"/>
      <c r="AC10572" s="9"/>
      <c r="AD10572" s="9"/>
      <c r="AF10572" s="10"/>
      <c r="AG10572" s="10"/>
      <c r="AH10572" s="10"/>
      <c r="AI10572" s="10"/>
    </row>
    <row r="10573" spans="28:35" ht="15" hidden="1" customHeight="1">
      <c r="AB10573" s="9"/>
      <c r="AC10573" s="9"/>
      <c r="AD10573" s="9"/>
      <c r="AF10573" s="10"/>
      <c r="AG10573" s="10"/>
      <c r="AH10573" s="10"/>
      <c r="AI10573" s="10"/>
    </row>
    <row r="10574" spans="28:35" ht="15" hidden="1" customHeight="1">
      <c r="AB10574" s="9"/>
      <c r="AC10574" s="9"/>
      <c r="AD10574" s="9"/>
      <c r="AF10574" s="10"/>
      <c r="AG10574" s="10"/>
      <c r="AH10574" s="10"/>
      <c r="AI10574" s="10"/>
    </row>
    <row r="10575" spans="28:35" ht="15" hidden="1" customHeight="1">
      <c r="AB10575" s="9"/>
      <c r="AC10575" s="9"/>
      <c r="AD10575" s="9"/>
      <c r="AF10575" s="10"/>
      <c r="AG10575" s="10"/>
      <c r="AH10575" s="10"/>
      <c r="AI10575" s="10"/>
    </row>
    <row r="10576" spans="28:35" ht="15" hidden="1" customHeight="1">
      <c r="AB10576" s="9"/>
      <c r="AC10576" s="9"/>
      <c r="AD10576" s="9"/>
      <c r="AF10576" s="10"/>
      <c r="AG10576" s="10"/>
      <c r="AH10576" s="10"/>
      <c r="AI10576" s="10"/>
    </row>
    <row r="10577" spans="28:35" ht="15" hidden="1" customHeight="1">
      <c r="AB10577" s="9"/>
      <c r="AC10577" s="9"/>
      <c r="AD10577" s="9"/>
      <c r="AF10577" s="10"/>
      <c r="AG10577" s="10"/>
      <c r="AH10577" s="10"/>
      <c r="AI10577" s="10"/>
    </row>
    <row r="10578" spans="28:35" ht="15" hidden="1" customHeight="1">
      <c r="AB10578" s="9"/>
      <c r="AC10578" s="9"/>
      <c r="AD10578" s="9"/>
      <c r="AF10578" s="10"/>
      <c r="AG10578" s="10"/>
      <c r="AH10578" s="10"/>
      <c r="AI10578" s="10"/>
    </row>
    <row r="10579" spans="28:35" ht="15" hidden="1" customHeight="1">
      <c r="AB10579" s="9"/>
      <c r="AC10579" s="9"/>
      <c r="AD10579" s="9"/>
      <c r="AF10579" s="10"/>
      <c r="AG10579" s="10"/>
      <c r="AH10579" s="10"/>
      <c r="AI10579" s="10"/>
    </row>
    <row r="10580" spans="28:35" ht="15" hidden="1" customHeight="1">
      <c r="AB10580" s="9"/>
      <c r="AC10580" s="9"/>
      <c r="AD10580" s="9"/>
      <c r="AF10580" s="10"/>
      <c r="AG10580" s="10"/>
      <c r="AH10580" s="10"/>
      <c r="AI10580" s="10"/>
    </row>
    <row r="10581" spans="28:35" ht="15" hidden="1" customHeight="1">
      <c r="AB10581" s="9"/>
      <c r="AC10581" s="9"/>
      <c r="AD10581" s="9"/>
      <c r="AF10581" s="10"/>
      <c r="AG10581" s="10"/>
      <c r="AH10581" s="10"/>
      <c r="AI10581" s="10"/>
    </row>
    <row r="10582" spans="28:35" ht="15" hidden="1" customHeight="1">
      <c r="AB10582" s="9"/>
      <c r="AC10582" s="9"/>
      <c r="AD10582" s="9"/>
      <c r="AF10582" s="10"/>
      <c r="AG10582" s="10"/>
      <c r="AH10582" s="10"/>
      <c r="AI10582" s="10"/>
    </row>
    <row r="10583" spans="28:35" ht="15" hidden="1" customHeight="1">
      <c r="AB10583" s="9"/>
      <c r="AC10583" s="9"/>
      <c r="AD10583" s="9"/>
      <c r="AF10583" s="10"/>
      <c r="AG10583" s="10"/>
      <c r="AH10583" s="10"/>
      <c r="AI10583" s="10"/>
    </row>
    <row r="10584" spans="28:35" ht="15" hidden="1" customHeight="1">
      <c r="AB10584" s="9"/>
      <c r="AC10584" s="9"/>
      <c r="AD10584" s="9"/>
      <c r="AF10584" s="10"/>
      <c r="AG10584" s="10"/>
      <c r="AH10584" s="10"/>
      <c r="AI10584" s="10"/>
    </row>
    <row r="10585" spans="28:35" ht="15" hidden="1" customHeight="1">
      <c r="AB10585" s="9"/>
      <c r="AC10585" s="9"/>
      <c r="AD10585" s="9"/>
      <c r="AF10585" s="10"/>
      <c r="AG10585" s="10"/>
      <c r="AH10585" s="10"/>
      <c r="AI10585" s="10"/>
    </row>
    <row r="10586" spans="28:35" ht="15" hidden="1" customHeight="1">
      <c r="AB10586" s="9"/>
      <c r="AC10586" s="9"/>
      <c r="AD10586" s="9"/>
      <c r="AF10586" s="10"/>
      <c r="AG10586" s="10"/>
      <c r="AH10586" s="10"/>
      <c r="AI10586" s="10"/>
    </row>
    <row r="10587" spans="28:35" ht="15" hidden="1" customHeight="1">
      <c r="AB10587" s="9"/>
      <c r="AC10587" s="9"/>
      <c r="AD10587" s="9"/>
      <c r="AF10587" s="10"/>
      <c r="AG10587" s="10"/>
      <c r="AH10587" s="10"/>
      <c r="AI10587" s="10"/>
    </row>
    <row r="10588" spans="28:35" ht="15" hidden="1" customHeight="1">
      <c r="AB10588" s="9"/>
      <c r="AC10588" s="9"/>
      <c r="AD10588" s="9"/>
      <c r="AF10588" s="10"/>
      <c r="AG10588" s="10"/>
      <c r="AH10588" s="10"/>
      <c r="AI10588" s="10"/>
    </row>
    <row r="10589" spans="28:35" ht="15" hidden="1" customHeight="1">
      <c r="AB10589" s="9"/>
      <c r="AC10589" s="9"/>
      <c r="AD10589" s="9"/>
      <c r="AF10589" s="10"/>
      <c r="AG10589" s="10"/>
      <c r="AH10589" s="10"/>
      <c r="AI10589" s="10"/>
    </row>
    <row r="10590" spans="28:35" ht="15" hidden="1" customHeight="1">
      <c r="AB10590" s="9"/>
      <c r="AC10590" s="9"/>
      <c r="AD10590" s="9"/>
      <c r="AF10590" s="10"/>
      <c r="AG10590" s="10"/>
      <c r="AH10590" s="10"/>
      <c r="AI10590" s="10"/>
    </row>
    <row r="10591" spans="28:35" ht="15" hidden="1" customHeight="1">
      <c r="AB10591" s="9"/>
      <c r="AC10591" s="9"/>
      <c r="AD10591" s="9"/>
      <c r="AF10591" s="10"/>
      <c r="AG10591" s="10"/>
      <c r="AH10591" s="10"/>
      <c r="AI10591" s="10"/>
    </row>
    <row r="10592" spans="28:35" ht="15" hidden="1" customHeight="1">
      <c r="AB10592" s="9"/>
      <c r="AC10592" s="9"/>
      <c r="AD10592" s="9"/>
      <c r="AF10592" s="10"/>
      <c r="AG10592" s="10"/>
      <c r="AH10592" s="10"/>
      <c r="AI10592" s="10"/>
    </row>
    <row r="10593" spans="28:35" ht="15" hidden="1" customHeight="1">
      <c r="AB10593" s="9"/>
      <c r="AC10593" s="9"/>
      <c r="AD10593" s="9"/>
      <c r="AF10593" s="10"/>
      <c r="AG10593" s="10"/>
      <c r="AH10593" s="10"/>
      <c r="AI10593" s="10"/>
    </row>
    <row r="10594" spans="28:35" ht="15" hidden="1" customHeight="1">
      <c r="AB10594" s="9"/>
      <c r="AC10594" s="9"/>
      <c r="AD10594" s="9"/>
      <c r="AF10594" s="10"/>
      <c r="AG10594" s="10"/>
      <c r="AH10594" s="10"/>
      <c r="AI10594" s="10"/>
    </row>
    <row r="10595" spans="28:35" ht="15" hidden="1" customHeight="1">
      <c r="AB10595" s="9"/>
      <c r="AC10595" s="9"/>
      <c r="AD10595" s="9"/>
      <c r="AF10595" s="10"/>
      <c r="AG10595" s="10"/>
      <c r="AH10595" s="10"/>
      <c r="AI10595" s="10"/>
    </row>
    <row r="10596" spans="28:35" ht="15" hidden="1" customHeight="1">
      <c r="AB10596" s="9"/>
      <c r="AC10596" s="9"/>
      <c r="AD10596" s="9"/>
      <c r="AF10596" s="10"/>
      <c r="AG10596" s="10"/>
      <c r="AH10596" s="10"/>
      <c r="AI10596" s="10"/>
    </row>
    <row r="10597" spans="28:35" ht="15" hidden="1" customHeight="1">
      <c r="AB10597" s="9"/>
      <c r="AC10597" s="9"/>
      <c r="AD10597" s="9"/>
      <c r="AF10597" s="10"/>
      <c r="AG10597" s="10"/>
      <c r="AH10597" s="10"/>
      <c r="AI10597" s="10"/>
    </row>
    <row r="10598" spans="28:35" ht="15" hidden="1" customHeight="1">
      <c r="AB10598" s="9"/>
      <c r="AC10598" s="9"/>
      <c r="AD10598" s="9"/>
      <c r="AF10598" s="10"/>
      <c r="AG10598" s="10"/>
      <c r="AH10598" s="10"/>
      <c r="AI10598" s="10"/>
    </row>
    <row r="10599" spans="28:35" ht="15" hidden="1" customHeight="1">
      <c r="AB10599" s="9"/>
      <c r="AC10599" s="9"/>
      <c r="AD10599" s="9"/>
      <c r="AF10599" s="10"/>
      <c r="AG10599" s="10"/>
      <c r="AH10599" s="10"/>
      <c r="AI10599" s="10"/>
    </row>
    <row r="10600" spans="28:35" ht="15" hidden="1" customHeight="1">
      <c r="AB10600" s="9"/>
      <c r="AC10600" s="9"/>
      <c r="AD10600" s="9"/>
      <c r="AF10600" s="10"/>
      <c r="AG10600" s="10"/>
      <c r="AH10600" s="10"/>
      <c r="AI10600" s="10"/>
    </row>
    <row r="10601" spans="28:35" ht="15" hidden="1" customHeight="1">
      <c r="AB10601" s="9"/>
      <c r="AC10601" s="9"/>
      <c r="AD10601" s="9"/>
      <c r="AF10601" s="10"/>
      <c r="AG10601" s="10"/>
      <c r="AH10601" s="10"/>
      <c r="AI10601" s="10"/>
    </row>
    <row r="10602" spans="28:35" ht="15" hidden="1" customHeight="1">
      <c r="AB10602" s="9"/>
      <c r="AC10602" s="9"/>
      <c r="AD10602" s="9"/>
      <c r="AF10602" s="10"/>
      <c r="AG10602" s="10"/>
      <c r="AH10602" s="10"/>
      <c r="AI10602" s="10"/>
    </row>
    <row r="10603" spans="28:35" ht="15" hidden="1" customHeight="1">
      <c r="AB10603" s="9"/>
      <c r="AC10603" s="9"/>
      <c r="AD10603" s="9"/>
      <c r="AF10603" s="10"/>
      <c r="AG10603" s="10"/>
      <c r="AH10603" s="10"/>
      <c r="AI10603" s="10"/>
    </row>
    <row r="10604" spans="28:35" ht="15" hidden="1" customHeight="1">
      <c r="AB10604" s="9"/>
      <c r="AC10604" s="9"/>
      <c r="AD10604" s="9"/>
      <c r="AF10604" s="10"/>
      <c r="AG10604" s="10"/>
      <c r="AH10604" s="10"/>
      <c r="AI10604" s="10"/>
    </row>
    <row r="10605" spans="28:35" ht="15" hidden="1" customHeight="1">
      <c r="AB10605" s="9"/>
      <c r="AC10605" s="9"/>
      <c r="AD10605" s="9"/>
      <c r="AF10605" s="10"/>
      <c r="AG10605" s="10"/>
      <c r="AH10605" s="10"/>
      <c r="AI10605" s="10"/>
    </row>
    <row r="10606" spans="28:35" ht="15" hidden="1" customHeight="1">
      <c r="AB10606" s="9"/>
      <c r="AC10606" s="9"/>
      <c r="AD10606" s="9"/>
      <c r="AF10606" s="10"/>
      <c r="AG10606" s="10"/>
      <c r="AH10606" s="10"/>
      <c r="AI10606" s="10"/>
    </row>
    <row r="10607" spans="28:35" ht="15" hidden="1" customHeight="1">
      <c r="AB10607" s="9"/>
      <c r="AC10607" s="9"/>
      <c r="AD10607" s="9"/>
      <c r="AF10607" s="10"/>
      <c r="AG10607" s="10"/>
      <c r="AH10607" s="10"/>
      <c r="AI10607" s="10"/>
    </row>
    <row r="10608" spans="28:35" ht="15" hidden="1" customHeight="1">
      <c r="AB10608" s="9"/>
      <c r="AC10608" s="9"/>
      <c r="AD10608" s="9"/>
      <c r="AF10608" s="10"/>
      <c r="AG10608" s="10"/>
      <c r="AH10608" s="10"/>
      <c r="AI10608" s="10"/>
    </row>
    <row r="10609" spans="28:35" ht="15" hidden="1" customHeight="1">
      <c r="AB10609" s="9"/>
      <c r="AC10609" s="9"/>
      <c r="AD10609" s="9"/>
      <c r="AF10609" s="10"/>
      <c r="AG10609" s="10"/>
      <c r="AH10609" s="10"/>
      <c r="AI10609" s="10"/>
    </row>
    <row r="10610" spans="28:35" ht="15" hidden="1" customHeight="1">
      <c r="AB10610" s="9"/>
      <c r="AC10610" s="9"/>
      <c r="AD10610" s="9"/>
      <c r="AF10610" s="10"/>
      <c r="AG10610" s="10"/>
      <c r="AH10610" s="10"/>
      <c r="AI10610" s="10"/>
    </row>
    <row r="10611" spans="28:35" ht="15" hidden="1" customHeight="1">
      <c r="AB10611" s="9"/>
      <c r="AC10611" s="9"/>
      <c r="AD10611" s="9"/>
      <c r="AF10611" s="10"/>
      <c r="AG10611" s="10"/>
      <c r="AH10611" s="10"/>
      <c r="AI10611" s="10"/>
    </row>
    <row r="10612" spans="28:35" ht="15" hidden="1" customHeight="1">
      <c r="AB10612" s="9"/>
      <c r="AC10612" s="9"/>
      <c r="AD10612" s="9"/>
      <c r="AF10612" s="10"/>
      <c r="AG10612" s="10"/>
      <c r="AH10612" s="10"/>
      <c r="AI10612" s="10"/>
    </row>
    <row r="10613" spans="28:35" ht="15" hidden="1" customHeight="1">
      <c r="AB10613" s="9"/>
      <c r="AC10613" s="9"/>
      <c r="AD10613" s="9"/>
      <c r="AF10613" s="10"/>
      <c r="AG10613" s="10"/>
      <c r="AH10613" s="10"/>
      <c r="AI10613" s="10"/>
    </row>
    <row r="10614" spans="28:35" ht="15" hidden="1" customHeight="1">
      <c r="AB10614" s="9"/>
      <c r="AC10614" s="9"/>
      <c r="AD10614" s="9"/>
      <c r="AF10614" s="10"/>
      <c r="AG10614" s="10"/>
      <c r="AH10614" s="10"/>
      <c r="AI10614" s="10"/>
    </row>
    <row r="10615" spans="28:35" ht="15" hidden="1" customHeight="1">
      <c r="AB10615" s="9"/>
      <c r="AC10615" s="9"/>
      <c r="AD10615" s="9"/>
      <c r="AF10615" s="10"/>
      <c r="AG10615" s="10"/>
      <c r="AH10615" s="10"/>
      <c r="AI10615" s="10"/>
    </row>
    <row r="10616" spans="28:35" ht="15" hidden="1" customHeight="1">
      <c r="AB10616" s="9"/>
      <c r="AC10616" s="9"/>
      <c r="AD10616" s="9"/>
      <c r="AF10616" s="10"/>
      <c r="AG10616" s="10"/>
      <c r="AH10616" s="10"/>
      <c r="AI10616" s="10"/>
    </row>
    <row r="10617" spans="28:35" ht="15" hidden="1" customHeight="1">
      <c r="AB10617" s="9"/>
      <c r="AC10617" s="9"/>
      <c r="AD10617" s="9"/>
      <c r="AF10617" s="10"/>
      <c r="AG10617" s="10"/>
      <c r="AH10617" s="10"/>
      <c r="AI10617" s="10"/>
    </row>
    <row r="10618" spans="28:35" ht="15" hidden="1" customHeight="1">
      <c r="AB10618" s="9"/>
      <c r="AC10618" s="9"/>
      <c r="AD10618" s="9"/>
      <c r="AF10618" s="10"/>
      <c r="AG10618" s="10"/>
      <c r="AH10618" s="10"/>
      <c r="AI10618" s="10"/>
    </row>
    <row r="10619" spans="28:35" ht="15" hidden="1" customHeight="1">
      <c r="AB10619" s="9"/>
      <c r="AC10619" s="9"/>
      <c r="AD10619" s="9"/>
      <c r="AF10619" s="10"/>
      <c r="AG10619" s="10"/>
      <c r="AH10619" s="10"/>
      <c r="AI10619" s="10"/>
    </row>
    <row r="10620" spans="28:35" ht="15" hidden="1" customHeight="1">
      <c r="AB10620" s="9"/>
      <c r="AC10620" s="9"/>
      <c r="AD10620" s="9"/>
      <c r="AF10620" s="10"/>
      <c r="AG10620" s="10"/>
      <c r="AH10620" s="10"/>
      <c r="AI10620" s="10"/>
    </row>
    <row r="10621" spans="28:35" ht="15" hidden="1" customHeight="1">
      <c r="AB10621" s="9"/>
      <c r="AC10621" s="9"/>
      <c r="AD10621" s="9"/>
      <c r="AF10621" s="10"/>
      <c r="AG10621" s="10"/>
      <c r="AH10621" s="10"/>
      <c r="AI10621" s="10"/>
    </row>
    <row r="10622" spans="28:35" ht="15" hidden="1" customHeight="1">
      <c r="AB10622" s="9"/>
      <c r="AC10622" s="9"/>
      <c r="AD10622" s="9"/>
      <c r="AF10622" s="10"/>
      <c r="AG10622" s="10"/>
      <c r="AH10622" s="10"/>
      <c r="AI10622" s="10"/>
    </row>
    <row r="10623" spans="28:35" ht="15" hidden="1" customHeight="1">
      <c r="AB10623" s="9"/>
      <c r="AC10623" s="9"/>
      <c r="AD10623" s="9"/>
      <c r="AF10623" s="10"/>
      <c r="AG10623" s="10"/>
      <c r="AH10623" s="10"/>
      <c r="AI10623" s="10"/>
    </row>
    <row r="10624" spans="28:35" ht="15" hidden="1" customHeight="1">
      <c r="AB10624" s="9"/>
      <c r="AC10624" s="9"/>
      <c r="AD10624" s="9"/>
      <c r="AF10624" s="10"/>
      <c r="AG10624" s="10"/>
      <c r="AH10624" s="10"/>
      <c r="AI10624" s="10"/>
    </row>
    <row r="10625" spans="28:35" ht="15" hidden="1" customHeight="1">
      <c r="AB10625" s="9"/>
      <c r="AC10625" s="9"/>
      <c r="AD10625" s="9"/>
      <c r="AF10625" s="10"/>
      <c r="AG10625" s="10"/>
      <c r="AH10625" s="10"/>
      <c r="AI10625" s="10"/>
    </row>
    <row r="10626" spans="28:35" ht="15" hidden="1" customHeight="1">
      <c r="AB10626" s="9"/>
      <c r="AC10626" s="9"/>
      <c r="AD10626" s="9"/>
      <c r="AF10626" s="10"/>
      <c r="AG10626" s="10"/>
      <c r="AH10626" s="10"/>
      <c r="AI10626" s="10"/>
    </row>
    <row r="10627" spans="28:35" ht="15" hidden="1" customHeight="1">
      <c r="AB10627" s="9"/>
      <c r="AC10627" s="9"/>
      <c r="AD10627" s="9"/>
      <c r="AF10627" s="10"/>
      <c r="AG10627" s="10"/>
      <c r="AH10627" s="10"/>
      <c r="AI10627" s="10"/>
    </row>
    <row r="10628" spans="28:35" ht="15" hidden="1" customHeight="1">
      <c r="AB10628" s="9"/>
      <c r="AC10628" s="9"/>
      <c r="AD10628" s="9"/>
      <c r="AF10628" s="10"/>
      <c r="AG10628" s="10"/>
      <c r="AH10628" s="10"/>
      <c r="AI10628" s="10"/>
    </row>
    <row r="10629" spans="28:35" ht="15" hidden="1" customHeight="1">
      <c r="AB10629" s="9"/>
      <c r="AC10629" s="9"/>
      <c r="AD10629" s="9"/>
      <c r="AF10629" s="10"/>
      <c r="AG10629" s="10"/>
      <c r="AH10629" s="10"/>
      <c r="AI10629" s="10"/>
    </row>
    <row r="10630" spans="28:35" ht="15" hidden="1" customHeight="1">
      <c r="AB10630" s="9"/>
      <c r="AC10630" s="9"/>
      <c r="AD10630" s="9"/>
      <c r="AF10630" s="10"/>
      <c r="AG10630" s="10"/>
      <c r="AH10630" s="10"/>
      <c r="AI10630" s="10"/>
    </row>
    <row r="10631" spans="28:35" ht="15" hidden="1" customHeight="1">
      <c r="AB10631" s="9"/>
      <c r="AC10631" s="9"/>
      <c r="AD10631" s="9"/>
      <c r="AF10631" s="10"/>
      <c r="AG10631" s="10"/>
      <c r="AH10631" s="10"/>
      <c r="AI10631" s="10"/>
    </row>
    <row r="10632" spans="28:35" ht="15" hidden="1" customHeight="1">
      <c r="AB10632" s="9"/>
      <c r="AC10632" s="9"/>
      <c r="AD10632" s="9"/>
      <c r="AF10632" s="10"/>
      <c r="AG10632" s="10"/>
      <c r="AH10632" s="10"/>
      <c r="AI10632" s="10"/>
    </row>
    <row r="10633" spans="28:35" ht="15" hidden="1" customHeight="1">
      <c r="AB10633" s="9"/>
      <c r="AC10633" s="9"/>
      <c r="AD10633" s="9"/>
      <c r="AF10633" s="10"/>
      <c r="AG10633" s="10"/>
      <c r="AH10633" s="10"/>
      <c r="AI10633" s="10"/>
    </row>
    <row r="10634" spans="28:35" ht="15" hidden="1" customHeight="1">
      <c r="AB10634" s="9"/>
      <c r="AC10634" s="9"/>
      <c r="AD10634" s="9"/>
      <c r="AF10634" s="10"/>
      <c r="AG10634" s="10"/>
      <c r="AH10634" s="10"/>
      <c r="AI10634" s="10"/>
    </row>
    <row r="10635" spans="28:35" ht="15" hidden="1" customHeight="1">
      <c r="AB10635" s="9"/>
      <c r="AC10635" s="9"/>
      <c r="AD10635" s="9"/>
      <c r="AF10635" s="10"/>
      <c r="AG10635" s="10"/>
      <c r="AH10635" s="10"/>
      <c r="AI10635" s="10"/>
    </row>
    <row r="10636" spans="28:35" ht="15" hidden="1" customHeight="1">
      <c r="AB10636" s="9"/>
      <c r="AC10636" s="9"/>
      <c r="AD10636" s="9"/>
      <c r="AF10636" s="10"/>
      <c r="AG10636" s="10"/>
      <c r="AH10636" s="10"/>
      <c r="AI10636" s="10"/>
    </row>
    <row r="10637" spans="28:35" ht="15" hidden="1" customHeight="1">
      <c r="AB10637" s="9"/>
      <c r="AC10637" s="9"/>
      <c r="AD10637" s="9"/>
      <c r="AF10637" s="10"/>
      <c r="AG10637" s="10"/>
      <c r="AH10637" s="10"/>
      <c r="AI10637" s="10"/>
    </row>
    <row r="10638" spans="28:35" ht="15" hidden="1" customHeight="1">
      <c r="AB10638" s="9"/>
      <c r="AC10638" s="9"/>
      <c r="AD10638" s="9"/>
      <c r="AF10638" s="10"/>
      <c r="AG10638" s="10"/>
      <c r="AH10638" s="10"/>
      <c r="AI10638" s="10"/>
    </row>
    <row r="10639" spans="28:35" ht="15" hidden="1" customHeight="1">
      <c r="AB10639" s="9"/>
      <c r="AC10639" s="9"/>
      <c r="AD10639" s="9"/>
      <c r="AF10639" s="10"/>
      <c r="AG10639" s="10"/>
      <c r="AH10639" s="10"/>
      <c r="AI10639" s="10"/>
    </row>
    <row r="10640" spans="28:35" ht="15" hidden="1" customHeight="1">
      <c r="AB10640" s="9"/>
      <c r="AC10640" s="9"/>
      <c r="AD10640" s="9"/>
      <c r="AF10640" s="10"/>
      <c r="AG10640" s="10"/>
      <c r="AH10640" s="10"/>
      <c r="AI10640" s="10"/>
    </row>
    <row r="10641" spans="28:35" ht="15" hidden="1" customHeight="1">
      <c r="AB10641" s="9"/>
      <c r="AC10641" s="9"/>
      <c r="AD10641" s="9"/>
      <c r="AF10641" s="10"/>
      <c r="AG10641" s="10"/>
      <c r="AH10641" s="10"/>
      <c r="AI10641" s="10"/>
    </row>
    <row r="10642" spans="28:35" ht="15" hidden="1" customHeight="1">
      <c r="AB10642" s="9"/>
      <c r="AC10642" s="9"/>
      <c r="AD10642" s="9"/>
      <c r="AF10642" s="10"/>
      <c r="AG10642" s="10"/>
      <c r="AH10642" s="10"/>
      <c r="AI10642" s="10"/>
    </row>
    <row r="10643" spans="28:35" ht="15" hidden="1" customHeight="1">
      <c r="AB10643" s="9"/>
      <c r="AC10643" s="9"/>
      <c r="AD10643" s="9"/>
      <c r="AF10643" s="10"/>
      <c r="AG10643" s="10"/>
      <c r="AH10643" s="10"/>
      <c r="AI10643" s="10"/>
    </row>
    <row r="10644" spans="28:35" ht="15" hidden="1" customHeight="1">
      <c r="AB10644" s="9"/>
      <c r="AC10644" s="9"/>
      <c r="AD10644" s="9"/>
      <c r="AF10644" s="10"/>
      <c r="AG10644" s="10"/>
      <c r="AH10644" s="10"/>
      <c r="AI10644" s="10"/>
    </row>
    <row r="10645" spans="28:35" ht="15" hidden="1" customHeight="1">
      <c r="AB10645" s="9"/>
      <c r="AC10645" s="9"/>
      <c r="AD10645" s="9"/>
      <c r="AF10645" s="10"/>
      <c r="AG10645" s="10"/>
      <c r="AH10645" s="10"/>
      <c r="AI10645" s="10"/>
    </row>
    <row r="10646" spans="28:35" ht="15" hidden="1" customHeight="1">
      <c r="AB10646" s="9"/>
      <c r="AC10646" s="9"/>
      <c r="AD10646" s="9"/>
      <c r="AF10646" s="10"/>
      <c r="AG10646" s="10"/>
      <c r="AH10646" s="10"/>
      <c r="AI10646" s="10"/>
    </row>
    <row r="10647" spans="28:35" ht="15" hidden="1" customHeight="1">
      <c r="AB10647" s="9"/>
      <c r="AC10647" s="9"/>
      <c r="AD10647" s="9"/>
      <c r="AF10647" s="10"/>
      <c r="AG10647" s="10"/>
      <c r="AH10647" s="10"/>
      <c r="AI10647" s="10"/>
    </row>
    <row r="10648" spans="28:35" ht="15" hidden="1" customHeight="1">
      <c r="AB10648" s="9"/>
      <c r="AC10648" s="9"/>
      <c r="AD10648" s="9"/>
      <c r="AF10648" s="10"/>
      <c r="AG10648" s="10"/>
      <c r="AH10648" s="10"/>
      <c r="AI10648" s="10"/>
    </row>
    <row r="10649" spans="28:35" ht="15" hidden="1" customHeight="1">
      <c r="AB10649" s="9"/>
      <c r="AC10649" s="9"/>
      <c r="AD10649" s="9"/>
      <c r="AF10649" s="10"/>
      <c r="AG10649" s="10"/>
      <c r="AH10649" s="10"/>
      <c r="AI10649" s="10"/>
    </row>
    <row r="10650" spans="28:35" ht="15" hidden="1" customHeight="1">
      <c r="AB10650" s="9"/>
      <c r="AC10650" s="9"/>
      <c r="AD10650" s="9"/>
      <c r="AF10650" s="10"/>
      <c r="AG10650" s="10"/>
      <c r="AH10650" s="10"/>
      <c r="AI10650" s="10"/>
    </row>
    <row r="10651" spans="28:35" ht="15" hidden="1" customHeight="1">
      <c r="AB10651" s="9"/>
      <c r="AC10651" s="9"/>
      <c r="AD10651" s="9"/>
      <c r="AF10651" s="10"/>
      <c r="AG10651" s="10"/>
      <c r="AH10651" s="10"/>
      <c r="AI10651" s="10"/>
    </row>
    <row r="10652" spans="28:35" ht="15" hidden="1" customHeight="1">
      <c r="AB10652" s="9"/>
      <c r="AC10652" s="9"/>
      <c r="AD10652" s="9"/>
      <c r="AF10652" s="10"/>
      <c r="AG10652" s="10"/>
      <c r="AH10652" s="10"/>
      <c r="AI10652" s="10"/>
    </row>
    <row r="10653" spans="28:35" ht="15" hidden="1" customHeight="1">
      <c r="AB10653" s="9"/>
      <c r="AC10653" s="9"/>
      <c r="AD10653" s="9"/>
      <c r="AF10653" s="10"/>
      <c r="AG10653" s="10"/>
      <c r="AH10653" s="10"/>
      <c r="AI10653" s="10"/>
    </row>
    <row r="10654" spans="28:35" ht="15" hidden="1" customHeight="1">
      <c r="AB10654" s="9"/>
      <c r="AC10654" s="9"/>
      <c r="AD10654" s="9"/>
      <c r="AF10654" s="10"/>
      <c r="AG10654" s="10"/>
      <c r="AH10654" s="10"/>
      <c r="AI10654" s="10"/>
    </row>
    <row r="10655" spans="28:35" ht="15" hidden="1" customHeight="1">
      <c r="AB10655" s="9"/>
      <c r="AC10655" s="9"/>
      <c r="AD10655" s="9"/>
      <c r="AF10655" s="10"/>
      <c r="AG10655" s="10"/>
      <c r="AH10655" s="10"/>
      <c r="AI10655" s="10"/>
    </row>
    <row r="10656" spans="28:35" ht="15" hidden="1" customHeight="1">
      <c r="AB10656" s="9"/>
      <c r="AC10656" s="9"/>
      <c r="AD10656" s="9"/>
      <c r="AF10656" s="10"/>
      <c r="AG10656" s="10"/>
      <c r="AH10656" s="10"/>
      <c r="AI10656" s="10"/>
    </row>
    <row r="10657" spans="28:35" ht="15" hidden="1" customHeight="1">
      <c r="AB10657" s="9"/>
      <c r="AC10657" s="9"/>
      <c r="AD10657" s="9"/>
      <c r="AF10657" s="10"/>
      <c r="AG10657" s="10"/>
      <c r="AH10657" s="10"/>
      <c r="AI10657" s="10"/>
    </row>
    <row r="10658" spans="28:35" ht="15" hidden="1" customHeight="1">
      <c r="AB10658" s="9"/>
      <c r="AC10658" s="9"/>
      <c r="AD10658" s="9"/>
      <c r="AF10658" s="10"/>
      <c r="AG10658" s="10"/>
      <c r="AH10658" s="10"/>
      <c r="AI10658" s="10"/>
    </row>
    <row r="10659" spans="28:35" ht="15" hidden="1" customHeight="1">
      <c r="AB10659" s="9"/>
      <c r="AC10659" s="9"/>
      <c r="AD10659" s="9"/>
      <c r="AF10659" s="10"/>
      <c r="AG10659" s="10"/>
      <c r="AH10659" s="10"/>
      <c r="AI10659" s="10"/>
    </row>
    <row r="10660" spans="28:35" ht="15" hidden="1" customHeight="1">
      <c r="AB10660" s="9"/>
      <c r="AC10660" s="9"/>
      <c r="AD10660" s="9"/>
      <c r="AF10660" s="10"/>
      <c r="AG10660" s="10"/>
      <c r="AH10660" s="10"/>
      <c r="AI10660" s="10"/>
    </row>
    <row r="10661" spans="28:35" ht="15" hidden="1" customHeight="1">
      <c r="AB10661" s="9"/>
      <c r="AC10661" s="9"/>
      <c r="AD10661" s="9"/>
      <c r="AF10661" s="10"/>
      <c r="AG10661" s="10"/>
      <c r="AH10661" s="10"/>
      <c r="AI10661" s="10"/>
    </row>
    <row r="10662" spans="28:35" ht="15" hidden="1" customHeight="1">
      <c r="AB10662" s="9"/>
      <c r="AC10662" s="9"/>
      <c r="AD10662" s="9"/>
      <c r="AF10662" s="10"/>
      <c r="AG10662" s="10"/>
      <c r="AH10662" s="10"/>
      <c r="AI10662" s="10"/>
    </row>
    <row r="10663" spans="28:35" ht="15" hidden="1" customHeight="1">
      <c r="AB10663" s="9"/>
      <c r="AC10663" s="9"/>
      <c r="AD10663" s="9"/>
      <c r="AF10663" s="10"/>
      <c r="AG10663" s="10"/>
      <c r="AH10663" s="10"/>
      <c r="AI10663" s="10"/>
    </row>
    <row r="10664" spans="28:35" ht="15" hidden="1" customHeight="1">
      <c r="AB10664" s="9"/>
      <c r="AC10664" s="9"/>
      <c r="AD10664" s="9"/>
      <c r="AF10664" s="10"/>
      <c r="AG10664" s="10"/>
      <c r="AH10664" s="10"/>
      <c r="AI10664" s="10"/>
    </row>
    <row r="10665" spans="28:35" ht="15" hidden="1" customHeight="1">
      <c r="AB10665" s="9"/>
      <c r="AC10665" s="9"/>
      <c r="AD10665" s="9"/>
      <c r="AF10665" s="10"/>
      <c r="AG10665" s="10"/>
      <c r="AH10665" s="10"/>
      <c r="AI10665" s="10"/>
    </row>
    <row r="10666" spans="28:35" ht="15" hidden="1" customHeight="1">
      <c r="AB10666" s="9"/>
      <c r="AC10666" s="9"/>
      <c r="AD10666" s="9"/>
      <c r="AF10666" s="10"/>
      <c r="AG10666" s="10"/>
      <c r="AH10666" s="10"/>
      <c r="AI10666" s="10"/>
    </row>
    <row r="10667" spans="28:35" ht="15" hidden="1" customHeight="1">
      <c r="AB10667" s="9"/>
      <c r="AC10667" s="9"/>
      <c r="AD10667" s="9"/>
      <c r="AF10667" s="10"/>
      <c r="AG10667" s="10"/>
      <c r="AH10667" s="10"/>
      <c r="AI10667" s="10"/>
    </row>
    <row r="10668" spans="28:35" ht="15" hidden="1" customHeight="1">
      <c r="AB10668" s="9"/>
      <c r="AC10668" s="9"/>
      <c r="AD10668" s="9"/>
      <c r="AF10668" s="10"/>
      <c r="AG10668" s="10"/>
      <c r="AH10668" s="10"/>
      <c r="AI10668" s="10"/>
    </row>
    <row r="10669" spans="28:35" ht="15" hidden="1" customHeight="1">
      <c r="AB10669" s="9"/>
      <c r="AC10669" s="9"/>
      <c r="AD10669" s="9"/>
      <c r="AF10669" s="10"/>
      <c r="AG10669" s="10"/>
      <c r="AH10669" s="10"/>
      <c r="AI10669" s="10"/>
    </row>
    <row r="10670" spans="28:35" ht="15" hidden="1" customHeight="1">
      <c r="AB10670" s="9"/>
      <c r="AC10670" s="9"/>
      <c r="AD10670" s="9"/>
      <c r="AF10670" s="10"/>
      <c r="AG10670" s="10"/>
      <c r="AH10670" s="10"/>
      <c r="AI10670" s="10"/>
    </row>
    <row r="10671" spans="28:35" ht="15" hidden="1" customHeight="1">
      <c r="AB10671" s="9"/>
      <c r="AC10671" s="9"/>
      <c r="AD10671" s="9"/>
      <c r="AF10671" s="10"/>
      <c r="AG10671" s="10"/>
      <c r="AH10671" s="10"/>
      <c r="AI10671" s="10"/>
    </row>
    <row r="10672" spans="28:35" ht="15" hidden="1" customHeight="1">
      <c r="AB10672" s="9"/>
      <c r="AC10672" s="9"/>
      <c r="AD10672" s="9"/>
      <c r="AF10672" s="10"/>
      <c r="AG10672" s="10"/>
      <c r="AH10672" s="10"/>
      <c r="AI10672" s="10"/>
    </row>
    <row r="10673" spans="28:35" ht="15" hidden="1" customHeight="1">
      <c r="AB10673" s="9"/>
      <c r="AC10673" s="9"/>
      <c r="AD10673" s="9"/>
      <c r="AF10673" s="10"/>
      <c r="AG10673" s="10"/>
      <c r="AH10673" s="10"/>
      <c r="AI10673" s="10"/>
    </row>
    <row r="10674" spans="28:35" ht="15" hidden="1" customHeight="1">
      <c r="AB10674" s="9"/>
      <c r="AC10674" s="9"/>
      <c r="AD10674" s="9"/>
      <c r="AF10674" s="10"/>
      <c r="AG10674" s="10"/>
      <c r="AH10674" s="10"/>
      <c r="AI10674" s="10"/>
    </row>
    <row r="10675" spans="28:35" ht="15" hidden="1" customHeight="1">
      <c r="AB10675" s="9"/>
      <c r="AC10675" s="9"/>
      <c r="AD10675" s="9"/>
      <c r="AF10675" s="10"/>
      <c r="AG10675" s="10"/>
      <c r="AH10675" s="10"/>
      <c r="AI10675" s="10"/>
    </row>
    <row r="10676" spans="28:35" ht="15" hidden="1" customHeight="1">
      <c r="AB10676" s="9"/>
      <c r="AC10676" s="9"/>
      <c r="AD10676" s="9"/>
      <c r="AF10676" s="10"/>
      <c r="AG10676" s="10"/>
      <c r="AH10676" s="10"/>
      <c r="AI10676" s="10"/>
    </row>
    <row r="10677" spans="28:35" ht="15" hidden="1" customHeight="1">
      <c r="AB10677" s="9"/>
      <c r="AC10677" s="9"/>
      <c r="AD10677" s="9"/>
      <c r="AF10677" s="10"/>
      <c r="AG10677" s="10"/>
      <c r="AH10677" s="10"/>
      <c r="AI10677" s="10"/>
    </row>
    <row r="10678" spans="28:35" ht="15" hidden="1" customHeight="1">
      <c r="AB10678" s="9"/>
      <c r="AC10678" s="9"/>
      <c r="AD10678" s="9"/>
      <c r="AF10678" s="10"/>
      <c r="AG10678" s="10"/>
      <c r="AH10678" s="10"/>
      <c r="AI10678" s="10"/>
    </row>
    <row r="10679" spans="28:35" ht="15" hidden="1" customHeight="1">
      <c r="AB10679" s="9"/>
      <c r="AC10679" s="9"/>
      <c r="AD10679" s="9"/>
      <c r="AF10679" s="10"/>
      <c r="AG10679" s="10"/>
      <c r="AH10679" s="10"/>
      <c r="AI10679" s="10"/>
    </row>
    <row r="10680" spans="28:35" ht="15" hidden="1" customHeight="1">
      <c r="AB10680" s="9"/>
      <c r="AC10680" s="9"/>
      <c r="AD10680" s="9"/>
      <c r="AF10680" s="10"/>
      <c r="AG10680" s="10"/>
      <c r="AH10680" s="10"/>
      <c r="AI10680" s="10"/>
    </row>
    <row r="10681" spans="28:35" ht="15" hidden="1" customHeight="1">
      <c r="AB10681" s="9"/>
      <c r="AC10681" s="9"/>
      <c r="AD10681" s="9"/>
      <c r="AF10681" s="10"/>
      <c r="AG10681" s="10"/>
      <c r="AH10681" s="10"/>
      <c r="AI10681" s="10"/>
    </row>
    <row r="10682" spans="28:35" ht="15" hidden="1" customHeight="1">
      <c r="AB10682" s="9"/>
      <c r="AC10682" s="9"/>
      <c r="AD10682" s="9"/>
      <c r="AF10682" s="10"/>
      <c r="AG10682" s="10"/>
      <c r="AH10682" s="10"/>
      <c r="AI10682" s="10"/>
    </row>
    <row r="10683" spans="28:35" ht="15" hidden="1" customHeight="1">
      <c r="AB10683" s="9"/>
      <c r="AC10683" s="9"/>
      <c r="AD10683" s="9"/>
      <c r="AF10683" s="10"/>
      <c r="AG10683" s="10"/>
      <c r="AH10683" s="10"/>
      <c r="AI10683" s="10"/>
    </row>
    <row r="10684" spans="28:35" ht="15" hidden="1" customHeight="1">
      <c r="AB10684" s="9"/>
      <c r="AC10684" s="9"/>
      <c r="AD10684" s="9"/>
      <c r="AF10684" s="10"/>
      <c r="AG10684" s="10"/>
      <c r="AH10684" s="10"/>
      <c r="AI10684" s="10"/>
    </row>
    <row r="10685" spans="28:35" ht="15" hidden="1" customHeight="1">
      <c r="AB10685" s="9"/>
      <c r="AC10685" s="9"/>
      <c r="AD10685" s="9"/>
      <c r="AF10685" s="10"/>
      <c r="AG10685" s="10"/>
      <c r="AH10685" s="10"/>
      <c r="AI10685" s="10"/>
    </row>
    <row r="10686" spans="28:35" ht="15" hidden="1" customHeight="1">
      <c r="AB10686" s="9"/>
      <c r="AC10686" s="9"/>
      <c r="AD10686" s="9"/>
      <c r="AF10686" s="10"/>
      <c r="AG10686" s="10"/>
      <c r="AH10686" s="10"/>
      <c r="AI10686" s="10"/>
    </row>
    <row r="10687" spans="28:35" ht="15" hidden="1" customHeight="1">
      <c r="AB10687" s="9"/>
      <c r="AC10687" s="9"/>
      <c r="AD10687" s="9"/>
      <c r="AF10687" s="10"/>
      <c r="AG10687" s="10"/>
      <c r="AH10687" s="10"/>
      <c r="AI10687" s="10"/>
    </row>
    <row r="10688" spans="28:35" ht="15" hidden="1" customHeight="1">
      <c r="AB10688" s="9"/>
      <c r="AC10688" s="9"/>
      <c r="AD10688" s="9"/>
      <c r="AF10688" s="10"/>
      <c r="AG10688" s="10"/>
      <c r="AH10688" s="10"/>
      <c r="AI10688" s="10"/>
    </row>
    <row r="10689" spans="28:35" ht="15" hidden="1" customHeight="1">
      <c r="AB10689" s="9"/>
      <c r="AC10689" s="9"/>
      <c r="AD10689" s="9"/>
      <c r="AF10689" s="10"/>
      <c r="AG10689" s="10"/>
      <c r="AH10689" s="10"/>
      <c r="AI10689" s="10"/>
    </row>
    <row r="10690" spans="28:35" ht="15" hidden="1" customHeight="1">
      <c r="AB10690" s="9"/>
      <c r="AC10690" s="9"/>
      <c r="AD10690" s="9"/>
      <c r="AF10690" s="10"/>
      <c r="AG10690" s="10"/>
      <c r="AH10690" s="10"/>
      <c r="AI10690" s="10"/>
    </row>
    <row r="10691" spans="28:35" ht="15" hidden="1" customHeight="1">
      <c r="AB10691" s="9"/>
      <c r="AC10691" s="9"/>
      <c r="AD10691" s="9"/>
      <c r="AF10691" s="10"/>
      <c r="AG10691" s="10"/>
      <c r="AH10691" s="10"/>
      <c r="AI10691" s="10"/>
    </row>
    <row r="10692" spans="28:35" ht="15" hidden="1" customHeight="1">
      <c r="AB10692" s="9"/>
      <c r="AC10692" s="9"/>
      <c r="AD10692" s="9"/>
      <c r="AF10692" s="10"/>
      <c r="AG10692" s="10"/>
      <c r="AH10692" s="10"/>
      <c r="AI10692" s="10"/>
    </row>
    <row r="10693" spans="28:35" ht="15" hidden="1" customHeight="1">
      <c r="AB10693" s="9"/>
      <c r="AC10693" s="9"/>
      <c r="AD10693" s="9"/>
      <c r="AF10693" s="10"/>
      <c r="AG10693" s="10"/>
      <c r="AH10693" s="10"/>
      <c r="AI10693" s="10"/>
    </row>
    <row r="10694" spans="28:35" ht="15" hidden="1" customHeight="1">
      <c r="AB10694" s="9"/>
      <c r="AC10694" s="9"/>
      <c r="AD10694" s="9"/>
      <c r="AF10694" s="10"/>
      <c r="AG10694" s="10"/>
      <c r="AH10694" s="10"/>
      <c r="AI10694" s="10"/>
    </row>
    <row r="10695" spans="28:35" ht="15" hidden="1" customHeight="1">
      <c r="AB10695" s="9"/>
      <c r="AC10695" s="9"/>
      <c r="AD10695" s="9"/>
      <c r="AF10695" s="10"/>
      <c r="AG10695" s="10"/>
      <c r="AH10695" s="10"/>
      <c r="AI10695" s="10"/>
    </row>
    <row r="10696" spans="28:35" ht="15" hidden="1" customHeight="1">
      <c r="AB10696" s="9"/>
      <c r="AC10696" s="9"/>
      <c r="AD10696" s="9"/>
      <c r="AF10696" s="10"/>
      <c r="AG10696" s="10"/>
      <c r="AH10696" s="10"/>
      <c r="AI10696" s="10"/>
    </row>
    <row r="10697" spans="28:35" ht="15" hidden="1" customHeight="1">
      <c r="AB10697" s="9"/>
      <c r="AC10697" s="9"/>
      <c r="AD10697" s="9"/>
      <c r="AF10697" s="10"/>
      <c r="AG10697" s="10"/>
      <c r="AH10697" s="10"/>
      <c r="AI10697" s="10"/>
    </row>
    <row r="10698" spans="28:35" ht="15" hidden="1" customHeight="1">
      <c r="AB10698" s="9"/>
      <c r="AC10698" s="9"/>
      <c r="AD10698" s="9"/>
      <c r="AF10698" s="10"/>
      <c r="AG10698" s="10"/>
      <c r="AH10698" s="10"/>
      <c r="AI10698" s="10"/>
    </row>
    <row r="10699" spans="28:35" ht="15" hidden="1" customHeight="1">
      <c r="AB10699" s="9"/>
      <c r="AC10699" s="9"/>
      <c r="AD10699" s="9"/>
      <c r="AF10699" s="10"/>
      <c r="AG10699" s="10"/>
      <c r="AH10699" s="10"/>
      <c r="AI10699" s="10"/>
    </row>
    <row r="10700" spans="28:35" ht="15" hidden="1" customHeight="1">
      <c r="AB10700" s="9"/>
      <c r="AC10700" s="9"/>
      <c r="AD10700" s="9"/>
      <c r="AF10700" s="10"/>
      <c r="AG10700" s="10"/>
      <c r="AH10700" s="10"/>
      <c r="AI10700" s="10"/>
    </row>
    <row r="10701" spans="28:35" ht="15" hidden="1" customHeight="1">
      <c r="AB10701" s="9"/>
      <c r="AC10701" s="9"/>
      <c r="AD10701" s="9"/>
      <c r="AF10701" s="10"/>
      <c r="AG10701" s="10"/>
      <c r="AH10701" s="10"/>
      <c r="AI10701" s="10"/>
    </row>
    <row r="10702" spans="28:35" ht="15" hidden="1" customHeight="1">
      <c r="AB10702" s="9"/>
      <c r="AC10702" s="9"/>
      <c r="AD10702" s="9"/>
      <c r="AF10702" s="10"/>
      <c r="AG10702" s="10"/>
      <c r="AH10702" s="10"/>
      <c r="AI10702" s="10"/>
    </row>
    <row r="10703" spans="28:35" ht="15" hidden="1" customHeight="1">
      <c r="AB10703" s="9"/>
      <c r="AC10703" s="9"/>
      <c r="AD10703" s="9"/>
      <c r="AF10703" s="10"/>
      <c r="AG10703" s="10"/>
      <c r="AH10703" s="10"/>
      <c r="AI10703" s="10"/>
    </row>
    <row r="10704" spans="28:35" ht="15" hidden="1" customHeight="1">
      <c r="AB10704" s="9"/>
      <c r="AC10704" s="9"/>
      <c r="AD10704" s="9"/>
      <c r="AF10704" s="10"/>
      <c r="AG10704" s="10"/>
      <c r="AH10704" s="10"/>
      <c r="AI10704" s="10"/>
    </row>
    <row r="10705" spans="28:35" ht="15" hidden="1" customHeight="1">
      <c r="AB10705" s="9"/>
      <c r="AC10705" s="9"/>
      <c r="AD10705" s="9"/>
      <c r="AF10705" s="10"/>
      <c r="AG10705" s="10"/>
      <c r="AH10705" s="10"/>
      <c r="AI10705" s="10"/>
    </row>
    <row r="10706" spans="28:35" ht="15" hidden="1" customHeight="1">
      <c r="AB10706" s="9"/>
      <c r="AC10706" s="9"/>
      <c r="AD10706" s="9"/>
      <c r="AF10706" s="10"/>
      <c r="AG10706" s="10"/>
      <c r="AH10706" s="10"/>
      <c r="AI10706" s="10"/>
    </row>
    <row r="10707" spans="28:35" ht="15" hidden="1" customHeight="1">
      <c r="AB10707" s="9"/>
      <c r="AC10707" s="9"/>
      <c r="AD10707" s="9"/>
      <c r="AF10707" s="10"/>
      <c r="AG10707" s="10"/>
      <c r="AH10707" s="10"/>
      <c r="AI10707" s="10"/>
    </row>
    <row r="10708" spans="28:35" ht="15" hidden="1" customHeight="1">
      <c r="AB10708" s="9"/>
      <c r="AC10708" s="9"/>
      <c r="AD10708" s="9"/>
      <c r="AF10708" s="10"/>
      <c r="AG10708" s="10"/>
      <c r="AH10708" s="10"/>
      <c r="AI10708" s="10"/>
    </row>
    <row r="10709" spans="28:35" ht="15" hidden="1" customHeight="1">
      <c r="AB10709" s="9"/>
      <c r="AC10709" s="9"/>
      <c r="AD10709" s="9"/>
      <c r="AF10709" s="10"/>
      <c r="AG10709" s="10"/>
      <c r="AH10709" s="10"/>
      <c r="AI10709" s="10"/>
    </row>
    <row r="10710" spans="28:35" ht="15" hidden="1" customHeight="1">
      <c r="AB10710" s="9"/>
      <c r="AC10710" s="9"/>
      <c r="AD10710" s="9"/>
      <c r="AF10710" s="10"/>
      <c r="AG10710" s="10"/>
      <c r="AH10710" s="10"/>
      <c r="AI10710" s="10"/>
    </row>
    <row r="10711" spans="28:35" ht="15" hidden="1" customHeight="1">
      <c r="AB10711" s="9"/>
      <c r="AC10711" s="9"/>
      <c r="AD10711" s="9"/>
      <c r="AF10711" s="10"/>
      <c r="AG10711" s="10"/>
      <c r="AH10711" s="10"/>
      <c r="AI10711" s="10"/>
    </row>
    <row r="10712" spans="28:35" ht="15" hidden="1" customHeight="1">
      <c r="AB10712" s="9"/>
      <c r="AC10712" s="9"/>
      <c r="AD10712" s="9"/>
      <c r="AF10712" s="10"/>
      <c r="AG10712" s="10"/>
      <c r="AH10712" s="10"/>
      <c r="AI10712" s="10"/>
    </row>
    <row r="10713" spans="28:35" ht="15" hidden="1" customHeight="1">
      <c r="AB10713" s="9"/>
      <c r="AC10713" s="9"/>
      <c r="AD10713" s="9"/>
      <c r="AF10713" s="10"/>
      <c r="AG10713" s="10"/>
      <c r="AH10713" s="10"/>
      <c r="AI10713" s="10"/>
    </row>
    <row r="10714" spans="28:35" ht="15" hidden="1" customHeight="1">
      <c r="AB10714" s="9"/>
      <c r="AC10714" s="9"/>
      <c r="AD10714" s="9"/>
      <c r="AF10714" s="10"/>
      <c r="AG10714" s="10"/>
      <c r="AH10714" s="10"/>
      <c r="AI10714" s="10"/>
    </row>
    <row r="10715" spans="28:35" ht="15" hidden="1" customHeight="1">
      <c r="AB10715" s="9"/>
      <c r="AC10715" s="9"/>
      <c r="AD10715" s="9"/>
      <c r="AF10715" s="10"/>
      <c r="AG10715" s="10"/>
      <c r="AH10715" s="10"/>
      <c r="AI10715" s="10"/>
    </row>
    <row r="10716" spans="28:35" ht="15" hidden="1" customHeight="1">
      <c r="AB10716" s="9"/>
      <c r="AC10716" s="9"/>
      <c r="AD10716" s="9"/>
      <c r="AF10716" s="10"/>
      <c r="AG10716" s="10"/>
      <c r="AH10716" s="10"/>
      <c r="AI10716" s="10"/>
    </row>
    <row r="10717" spans="28:35" ht="15" hidden="1" customHeight="1">
      <c r="AB10717" s="9"/>
      <c r="AC10717" s="9"/>
      <c r="AD10717" s="9"/>
      <c r="AF10717" s="10"/>
      <c r="AG10717" s="10"/>
      <c r="AH10717" s="10"/>
      <c r="AI10717" s="10"/>
    </row>
    <row r="10718" spans="28:35" ht="15" hidden="1" customHeight="1">
      <c r="AB10718" s="9"/>
      <c r="AC10718" s="9"/>
      <c r="AD10718" s="9"/>
      <c r="AF10718" s="10"/>
      <c r="AG10718" s="10"/>
      <c r="AH10718" s="10"/>
      <c r="AI10718" s="10"/>
    </row>
    <row r="10719" spans="28:35" ht="15" hidden="1" customHeight="1">
      <c r="AB10719" s="9"/>
      <c r="AC10719" s="9"/>
      <c r="AD10719" s="9"/>
      <c r="AF10719" s="10"/>
      <c r="AG10719" s="10"/>
      <c r="AH10719" s="10"/>
      <c r="AI10719" s="10"/>
    </row>
    <row r="10720" spans="28:35" ht="15" hidden="1" customHeight="1">
      <c r="AB10720" s="9"/>
      <c r="AC10720" s="9"/>
      <c r="AD10720" s="9"/>
      <c r="AF10720" s="10"/>
      <c r="AG10720" s="10"/>
      <c r="AH10720" s="10"/>
      <c r="AI10720" s="10"/>
    </row>
    <row r="10721" spans="28:35" ht="15" hidden="1" customHeight="1">
      <c r="AB10721" s="9"/>
      <c r="AC10721" s="9"/>
      <c r="AD10721" s="9"/>
      <c r="AF10721" s="10"/>
      <c r="AG10721" s="10"/>
      <c r="AH10721" s="10"/>
      <c r="AI10721" s="10"/>
    </row>
    <row r="10722" spans="28:35" ht="15" hidden="1" customHeight="1">
      <c r="AB10722" s="9"/>
      <c r="AC10722" s="9"/>
      <c r="AD10722" s="9"/>
      <c r="AF10722" s="10"/>
      <c r="AG10722" s="10"/>
      <c r="AH10722" s="10"/>
      <c r="AI10722" s="10"/>
    </row>
    <row r="10723" spans="28:35" ht="15" hidden="1" customHeight="1">
      <c r="AB10723" s="9"/>
      <c r="AC10723" s="9"/>
      <c r="AD10723" s="9"/>
      <c r="AF10723" s="10"/>
      <c r="AG10723" s="10"/>
      <c r="AH10723" s="10"/>
      <c r="AI10723" s="10"/>
    </row>
    <row r="10724" spans="28:35" ht="15" hidden="1" customHeight="1">
      <c r="AB10724" s="9"/>
      <c r="AC10724" s="9"/>
      <c r="AD10724" s="9"/>
      <c r="AF10724" s="10"/>
      <c r="AG10724" s="10"/>
      <c r="AH10724" s="10"/>
      <c r="AI10724" s="10"/>
    </row>
    <row r="10725" spans="28:35" ht="15" hidden="1" customHeight="1">
      <c r="AB10725" s="9"/>
      <c r="AC10725" s="9"/>
      <c r="AD10725" s="9"/>
      <c r="AF10725" s="10"/>
      <c r="AG10725" s="10"/>
      <c r="AH10725" s="10"/>
      <c r="AI10725" s="10"/>
    </row>
    <row r="10726" spans="28:35" ht="15" hidden="1" customHeight="1">
      <c r="AB10726" s="9"/>
      <c r="AC10726" s="9"/>
      <c r="AD10726" s="9"/>
      <c r="AF10726" s="10"/>
      <c r="AG10726" s="10"/>
      <c r="AH10726" s="10"/>
      <c r="AI10726" s="10"/>
    </row>
    <row r="10727" spans="28:35" ht="15" hidden="1" customHeight="1">
      <c r="AB10727" s="9"/>
      <c r="AC10727" s="9"/>
      <c r="AD10727" s="9"/>
      <c r="AF10727" s="10"/>
      <c r="AG10727" s="10"/>
      <c r="AH10727" s="10"/>
      <c r="AI10727" s="10"/>
    </row>
    <row r="10728" spans="28:35" ht="15" hidden="1" customHeight="1">
      <c r="AB10728" s="9"/>
      <c r="AC10728" s="9"/>
      <c r="AD10728" s="9"/>
      <c r="AF10728" s="10"/>
      <c r="AG10728" s="10"/>
      <c r="AH10728" s="10"/>
      <c r="AI10728" s="10"/>
    </row>
    <row r="10729" spans="28:35" ht="15" hidden="1" customHeight="1">
      <c r="AB10729" s="9"/>
      <c r="AC10729" s="9"/>
      <c r="AD10729" s="9"/>
      <c r="AF10729" s="10"/>
      <c r="AG10729" s="10"/>
      <c r="AH10729" s="10"/>
      <c r="AI10729" s="10"/>
    </row>
    <row r="10730" spans="28:35" ht="15" hidden="1" customHeight="1">
      <c r="AB10730" s="9"/>
      <c r="AC10730" s="9"/>
      <c r="AD10730" s="9"/>
      <c r="AF10730" s="10"/>
      <c r="AG10730" s="10"/>
      <c r="AH10730" s="10"/>
      <c r="AI10730" s="10"/>
    </row>
    <row r="10731" spans="28:35" ht="15" hidden="1" customHeight="1">
      <c r="AB10731" s="9"/>
      <c r="AC10731" s="9"/>
      <c r="AD10731" s="9"/>
      <c r="AF10731" s="10"/>
      <c r="AG10731" s="10"/>
      <c r="AH10731" s="10"/>
      <c r="AI10731" s="10"/>
    </row>
    <row r="10732" spans="28:35" ht="15" hidden="1" customHeight="1">
      <c r="AB10732" s="9"/>
      <c r="AC10732" s="9"/>
      <c r="AD10732" s="9"/>
      <c r="AF10732" s="10"/>
      <c r="AG10732" s="10"/>
      <c r="AH10732" s="10"/>
      <c r="AI10732" s="10"/>
    </row>
    <row r="10733" spans="28:35" ht="15" hidden="1" customHeight="1">
      <c r="AB10733" s="9"/>
      <c r="AC10733" s="9"/>
      <c r="AD10733" s="9"/>
      <c r="AF10733" s="10"/>
      <c r="AG10733" s="10"/>
      <c r="AH10733" s="10"/>
      <c r="AI10733" s="10"/>
    </row>
    <row r="10734" spans="28:35" ht="15" hidden="1" customHeight="1">
      <c r="AB10734" s="9"/>
      <c r="AC10734" s="9"/>
      <c r="AD10734" s="9"/>
      <c r="AF10734" s="10"/>
      <c r="AG10734" s="10"/>
      <c r="AH10734" s="10"/>
      <c r="AI10734" s="10"/>
    </row>
    <row r="10735" spans="28:35" ht="15" hidden="1" customHeight="1">
      <c r="AB10735" s="9"/>
      <c r="AC10735" s="9"/>
      <c r="AD10735" s="9"/>
      <c r="AF10735" s="10"/>
      <c r="AG10735" s="10"/>
      <c r="AH10735" s="10"/>
      <c r="AI10735" s="10"/>
    </row>
    <row r="10736" spans="28:35" ht="15" hidden="1" customHeight="1">
      <c r="AB10736" s="9"/>
      <c r="AC10736" s="9"/>
      <c r="AD10736" s="9"/>
      <c r="AF10736" s="10"/>
      <c r="AG10736" s="10"/>
      <c r="AH10736" s="10"/>
      <c r="AI10736" s="10"/>
    </row>
    <row r="10737" spans="28:35" ht="15" hidden="1" customHeight="1">
      <c r="AB10737" s="9"/>
      <c r="AC10737" s="9"/>
      <c r="AD10737" s="9"/>
      <c r="AF10737" s="10"/>
      <c r="AG10737" s="10"/>
      <c r="AH10737" s="10"/>
      <c r="AI10737" s="10"/>
    </row>
    <row r="10738" spans="28:35" ht="15" hidden="1" customHeight="1">
      <c r="AB10738" s="9"/>
      <c r="AC10738" s="9"/>
      <c r="AD10738" s="9"/>
      <c r="AF10738" s="10"/>
      <c r="AG10738" s="10"/>
      <c r="AH10738" s="10"/>
      <c r="AI10738" s="10"/>
    </row>
    <row r="10739" spans="28:35" ht="15" hidden="1" customHeight="1">
      <c r="AB10739" s="9"/>
      <c r="AC10739" s="9"/>
      <c r="AD10739" s="9"/>
      <c r="AF10739" s="10"/>
      <c r="AG10739" s="10"/>
      <c r="AH10739" s="10"/>
      <c r="AI10739" s="10"/>
    </row>
    <row r="10740" spans="28:35" ht="15" hidden="1" customHeight="1">
      <c r="AB10740" s="9"/>
      <c r="AC10740" s="9"/>
      <c r="AD10740" s="9"/>
      <c r="AF10740" s="10"/>
      <c r="AG10740" s="10"/>
      <c r="AH10740" s="10"/>
      <c r="AI10740" s="10"/>
    </row>
    <row r="10741" spans="28:35" ht="15" hidden="1" customHeight="1">
      <c r="AB10741" s="9"/>
      <c r="AC10741" s="9"/>
      <c r="AD10741" s="9"/>
      <c r="AF10741" s="10"/>
      <c r="AG10741" s="10"/>
      <c r="AH10741" s="10"/>
      <c r="AI10741" s="10"/>
    </row>
    <row r="10742" spans="28:35" ht="15" hidden="1" customHeight="1">
      <c r="AB10742" s="9"/>
      <c r="AC10742" s="9"/>
      <c r="AD10742" s="9"/>
      <c r="AF10742" s="10"/>
      <c r="AG10742" s="10"/>
      <c r="AH10742" s="10"/>
      <c r="AI10742" s="10"/>
    </row>
    <row r="10743" spans="28:35" ht="15" hidden="1" customHeight="1">
      <c r="AB10743" s="9"/>
      <c r="AC10743" s="9"/>
      <c r="AD10743" s="9"/>
      <c r="AF10743" s="10"/>
      <c r="AG10743" s="10"/>
      <c r="AH10743" s="10"/>
      <c r="AI10743" s="10"/>
    </row>
    <row r="10744" spans="28:35" ht="15" hidden="1" customHeight="1">
      <c r="AB10744" s="9"/>
      <c r="AC10744" s="9"/>
      <c r="AD10744" s="9"/>
      <c r="AF10744" s="10"/>
      <c r="AG10744" s="10"/>
      <c r="AH10744" s="10"/>
      <c r="AI10744" s="10"/>
    </row>
    <row r="10745" spans="28:35" ht="15" hidden="1" customHeight="1">
      <c r="AB10745" s="9"/>
      <c r="AC10745" s="9"/>
      <c r="AD10745" s="9"/>
      <c r="AF10745" s="10"/>
      <c r="AG10745" s="10"/>
      <c r="AH10745" s="10"/>
      <c r="AI10745" s="10"/>
    </row>
    <row r="10746" spans="28:35" ht="15" hidden="1" customHeight="1">
      <c r="AB10746" s="9"/>
      <c r="AC10746" s="9"/>
      <c r="AD10746" s="9"/>
      <c r="AF10746" s="10"/>
      <c r="AG10746" s="10"/>
      <c r="AH10746" s="10"/>
      <c r="AI10746" s="10"/>
    </row>
    <row r="10747" spans="28:35" ht="15" hidden="1" customHeight="1">
      <c r="AB10747" s="9"/>
      <c r="AC10747" s="9"/>
      <c r="AD10747" s="9"/>
      <c r="AF10747" s="10"/>
      <c r="AG10747" s="10"/>
      <c r="AH10747" s="10"/>
      <c r="AI10747" s="10"/>
    </row>
    <row r="10748" spans="28:35" ht="15" hidden="1" customHeight="1">
      <c r="AB10748" s="9"/>
      <c r="AC10748" s="9"/>
      <c r="AD10748" s="9"/>
      <c r="AF10748" s="10"/>
      <c r="AG10748" s="10"/>
      <c r="AH10748" s="10"/>
      <c r="AI10748" s="10"/>
    </row>
    <row r="10749" spans="28:35" ht="15" hidden="1" customHeight="1">
      <c r="AB10749" s="9"/>
      <c r="AC10749" s="9"/>
      <c r="AD10749" s="9"/>
      <c r="AF10749" s="10"/>
      <c r="AG10749" s="10"/>
      <c r="AH10749" s="10"/>
      <c r="AI10749" s="10"/>
    </row>
    <row r="10750" spans="28:35" ht="15" hidden="1" customHeight="1">
      <c r="AB10750" s="9"/>
      <c r="AC10750" s="9"/>
      <c r="AD10750" s="9"/>
      <c r="AF10750" s="10"/>
      <c r="AG10750" s="10"/>
      <c r="AH10750" s="10"/>
      <c r="AI10750" s="10"/>
    </row>
    <row r="10751" spans="28:35" ht="15" hidden="1" customHeight="1">
      <c r="AB10751" s="9"/>
      <c r="AC10751" s="9"/>
      <c r="AD10751" s="9"/>
      <c r="AF10751" s="10"/>
      <c r="AG10751" s="10"/>
      <c r="AH10751" s="10"/>
      <c r="AI10751" s="10"/>
    </row>
    <row r="10752" spans="28:35" ht="15" hidden="1" customHeight="1">
      <c r="AB10752" s="9"/>
      <c r="AC10752" s="9"/>
      <c r="AD10752" s="9"/>
      <c r="AF10752" s="10"/>
      <c r="AG10752" s="10"/>
      <c r="AH10752" s="10"/>
      <c r="AI10752" s="10"/>
    </row>
    <row r="10753" spans="28:35" ht="15" hidden="1" customHeight="1">
      <c r="AB10753" s="9"/>
      <c r="AC10753" s="9"/>
      <c r="AD10753" s="9"/>
      <c r="AF10753" s="10"/>
      <c r="AG10753" s="10"/>
      <c r="AH10753" s="10"/>
      <c r="AI10753" s="10"/>
    </row>
    <row r="10754" spans="28:35" ht="15" hidden="1" customHeight="1">
      <c r="AB10754" s="9"/>
      <c r="AC10754" s="9"/>
      <c r="AD10754" s="9"/>
      <c r="AF10754" s="10"/>
      <c r="AG10754" s="10"/>
      <c r="AH10754" s="10"/>
      <c r="AI10754" s="10"/>
    </row>
    <row r="10755" spans="28:35" ht="15" hidden="1" customHeight="1">
      <c r="AB10755" s="9"/>
      <c r="AC10755" s="9"/>
      <c r="AD10755" s="9"/>
      <c r="AF10755" s="10"/>
      <c r="AG10755" s="10"/>
      <c r="AH10755" s="10"/>
      <c r="AI10755" s="10"/>
    </row>
    <row r="10756" spans="28:35" ht="15" hidden="1" customHeight="1">
      <c r="AB10756" s="9"/>
      <c r="AC10756" s="9"/>
      <c r="AD10756" s="9"/>
      <c r="AF10756" s="10"/>
      <c r="AG10756" s="10"/>
      <c r="AH10756" s="10"/>
      <c r="AI10756" s="10"/>
    </row>
    <row r="10757" spans="28:35" ht="15" hidden="1" customHeight="1">
      <c r="AB10757" s="9"/>
      <c r="AC10757" s="9"/>
      <c r="AD10757" s="9"/>
      <c r="AF10757" s="10"/>
      <c r="AG10757" s="10"/>
      <c r="AH10757" s="10"/>
      <c r="AI10757" s="10"/>
    </row>
    <row r="10758" spans="28:35" ht="15" hidden="1" customHeight="1">
      <c r="AB10758" s="9"/>
      <c r="AC10758" s="9"/>
      <c r="AD10758" s="9"/>
      <c r="AF10758" s="10"/>
      <c r="AG10758" s="10"/>
      <c r="AH10758" s="10"/>
      <c r="AI10758" s="10"/>
    </row>
    <row r="10759" spans="28:35" ht="15" hidden="1" customHeight="1">
      <c r="AB10759" s="9"/>
      <c r="AC10759" s="9"/>
      <c r="AD10759" s="9"/>
      <c r="AF10759" s="10"/>
      <c r="AG10759" s="10"/>
      <c r="AH10759" s="10"/>
      <c r="AI10759" s="10"/>
    </row>
    <row r="10760" spans="28:35" ht="15" hidden="1" customHeight="1">
      <c r="AB10760" s="9"/>
      <c r="AC10760" s="9"/>
      <c r="AD10760" s="9"/>
      <c r="AF10760" s="10"/>
      <c r="AG10760" s="10"/>
      <c r="AH10760" s="10"/>
      <c r="AI10760" s="10"/>
    </row>
    <row r="10761" spans="28:35" ht="15" hidden="1" customHeight="1">
      <c r="AB10761" s="9"/>
      <c r="AC10761" s="9"/>
      <c r="AD10761" s="9"/>
      <c r="AF10761" s="10"/>
      <c r="AG10761" s="10"/>
      <c r="AH10761" s="10"/>
      <c r="AI10761" s="10"/>
    </row>
    <row r="10762" spans="28:35" ht="15" hidden="1" customHeight="1">
      <c r="AB10762" s="9"/>
      <c r="AC10762" s="9"/>
      <c r="AD10762" s="9"/>
      <c r="AF10762" s="10"/>
      <c r="AG10762" s="10"/>
      <c r="AH10762" s="10"/>
      <c r="AI10762" s="10"/>
    </row>
    <row r="10763" spans="28:35" ht="15" hidden="1" customHeight="1">
      <c r="AB10763" s="9"/>
      <c r="AC10763" s="9"/>
      <c r="AD10763" s="9"/>
      <c r="AF10763" s="10"/>
      <c r="AG10763" s="10"/>
      <c r="AH10763" s="10"/>
      <c r="AI10763" s="10"/>
    </row>
    <row r="10764" spans="28:35" ht="15" hidden="1" customHeight="1">
      <c r="AB10764" s="9"/>
      <c r="AC10764" s="9"/>
      <c r="AD10764" s="9"/>
      <c r="AF10764" s="10"/>
      <c r="AG10764" s="10"/>
      <c r="AH10764" s="10"/>
      <c r="AI10764" s="10"/>
    </row>
    <row r="10765" spans="28:35" ht="15" hidden="1" customHeight="1">
      <c r="AB10765" s="9"/>
      <c r="AC10765" s="9"/>
      <c r="AD10765" s="9"/>
      <c r="AF10765" s="10"/>
      <c r="AG10765" s="10"/>
      <c r="AH10765" s="10"/>
      <c r="AI10765" s="10"/>
    </row>
    <row r="10766" spans="28:35" ht="15" hidden="1" customHeight="1">
      <c r="AB10766" s="9"/>
      <c r="AC10766" s="9"/>
      <c r="AD10766" s="9"/>
      <c r="AF10766" s="10"/>
      <c r="AG10766" s="10"/>
      <c r="AH10766" s="10"/>
      <c r="AI10766" s="10"/>
    </row>
    <row r="10767" spans="28:35" ht="15" hidden="1" customHeight="1">
      <c r="AB10767" s="9"/>
      <c r="AC10767" s="9"/>
      <c r="AD10767" s="9"/>
      <c r="AF10767" s="10"/>
      <c r="AG10767" s="10"/>
      <c r="AH10767" s="10"/>
      <c r="AI10767" s="10"/>
    </row>
    <row r="10768" spans="28:35" ht="15" hidden="1" customHeight="1">
      <c r="AB10768" s="9"/>
      <c r="AC10768" s="9"/>
      <c r="AD10768" s="9"/>
      <c r="AF10768" s="10"/>
      <c r="AG10768" s="10"/>
      <c r="AH10768" s="10"/>
      <c r="AI10768" s="10"/>
    </row>
    <row r="10769" spans="28:35" ht="15" hidden="1" customHeight="1">
      <c r="AB10769" s="9"/>
      <c r="AC10769" s="9"/>
      <c r="AD10769" s="9"/>
      <c r="AF10769" s="10"/>
      <c r="AG10769" s="10"/>
      <c r="AH10769" s="10"/>
      <c r="AI10769" s="10"/>
    </row>
    <row r="10770" spans="28:35" ht="15" hidden="1" customHeight="1">
      <c r="AB10770" s="9"/>
      <c r="AC10770" s="9"/>
      <c r="AD10770" s="9"/>
      <c r="AF10770" s="10"/>
      <c r="AG10770" s="10"/>
      <c r="AH10770" s="10"/>
      <c r="AI10770" s="10"/>
    </row>
    <row r="10771" spans="28:35" ht="15" hidden="1" customHeight="1">
      <c r="AB10771" s="9"/>
      <c r="AC10771" s="9"/>
      <c r="AD10771" s="9"/>
      <c r="AF10771" s="10"/>
      <c r="AG10771" s="10"/>
      <c r="AH10771" s="10"/>
      <c r="AI10771" s="10"/>
    </row>
    <row r="10772" spans="28:35" ht="15" hidden="1" customHeight="1">
      <c r="AB10772" s="9"/>
      <c r="AC10772" s="9"/>
      <c r="AD10772" s="9"/>
      <c r="AF10772" s="10"/>
      <c r="AG10772" s="10"/>
      <c r="AH10772" s="10"/>
      <c r="AI10772" s="10"/>
    </row>
    <row r="10773" spans="28:35" ht="15" hidden="1" customHeight="1">
      <c r="AB10773" s="9"/>
      <c r="AC10773" s="9"/>
      <c r="AD10773" s="9"/>
      <c r="AF10773" s="10"/>
      <c r="AG10773" s="10"/>
      <c r="AH10773" s="10"/>
      <c r="AI10773" s="10"/>
    </row>
    <row r="10774" spans="28:35" ht="15" hidden="1" customHeight="1">
      <c r="AB10774" s="9"/>
      <c r="AC10774" s="9"/>
      <c r="AD10774" s="9"/>
      <c r="AF10774" s="10"/>
      <c r="AG10774" s="10"/>
      <c r="AH10774" s="10"/>
      <c r="AI10774" s="10"/>
    </row>
    <row r="10775" spans="28:35" ht="15" hidden="1" customHeight="1">
      <c r="AB10775" s="9"/>
      <c r="AC10775" s="9"/>
      <c r="AD10775" s="9"/>
      <c r="AF10775" s="10"/>
      <c r="AG10775" s="10"/>
      <c r="AH10775" s="10"/>
      <c r="AI10775" s="10"/>
    </row>
    <row r="10776" spans="28:35" ht="15" hidden="1" customHeight="1">
      <c r="AB10776" s="9"/>
      <c r="AC10776" s="9"/>
      <c r="AD10776" s="9"/>
      <c r="AF10776" s="10"/>
      <c r="AG10776" s="10"/>
      <c r="AH10776" s="10"/>
      <c r="AI10776" s="10"/>
    </row>
    <row r="10777" spans="28:35" ht="15" hidden="1" customHeight="1">
      <c r="AB10777" s="9"/>
      <c r="AC10777" s="9"/>
      <c r="AD10777" s="9"/>
      <c r="AF10777" s="10"/>
      <c r="AG10777" s="10"/>
      <c r="AH10777" s="10"/>
      <c r="AI10777" s="10"/>
    </row>
    <row r="10778" spans="28:35" ht="15" hidden="1" customHeight="1">
      <c r="AB10778" s="9"/>
      <c r="AC10778" s="9"/>
      <c r="AD10778" s="9"/>
      <c r="AF10778" s="10"/>
      <c r="AG10778" s="10"/>
      <c r="AH10778" s="10"/>
      <c r="AI10778" s="10"/>
    </row>
    <row r="10779" spans="28:35" ht="15" hidden="1" customHeight="1">
      <c r="AB10779" s="9"/>
      <c r="AC10779" s="9"/>
      <c r="AD10779" s="9"/>
      <c r="AF10779" s="10"/>
      <c r="AG10779" s="10"/>
      <c r="AH10779" s="10"/>
      <c r="AI10779" s="10"/>
    </row>
    <row r="10780" spans="28:35" ht="15" hidden="1" customHeight="1">
      <c r="AB10780" s="9"/>
      <c r="AC10780" s="9"/>
      <c r="AD10780" s="9"/>
      <c r="AF10780" s="10"/>
      <c r="AG10780" s="10"/>
      <c r="AH10780" s="10"/>
      <c r="AI10780" s="10"/>
    </row>
    <row r="10781" spans="28:35" ht="15" hidden="1" customHeight="1">
      <c r="AB10781" s="9"/>
      <c r="AC10781" s="9"/>
      <c r="AD10781" s="9"/>
      <c r="AF10781" s="10"/>
      <c r="AG10781" s="10"/>
      <c r="AH10781" s="10"/>
      <c r="AI10781" s="10"/>
    </row>
    <row r="10782" spans="28:35" ht="15" hidden="1" customHeight="1">
      <c r="AB10782" s="9"/>
      <c r="AC10782" s="9"/>
      <c r="AD10782" s="9"/>
      <c r="AF10782" s="10"/>
      <c r="AG10782" s="10"/>
      <c r="AH10782" s="10"/>
      <c r="AI10782" s="10"/>
    </row>
    <row r="10783" spans="28:35" ht="15" hidden="1" customHeight="1">
      <c r="AB10783" s="9"/>
      <c r="AC10783" s="9"/>
      <c r="AD10783" s="9"/>
      <c r="AF10783" s="10"/>
      <c r="AG10783" s="10"/>
      <c r="AH10783" s="10"/>
      <c r="AI10783" s="10"/>
    </row>
    <row r="10784" spans="28:35" ht="15" hidden="1" customHeight="1">
      <c r="AB10784" s="9"/>
      <c r="AC10784" s="9"/>
      <c r="AD10784" s="9"/>
      <c r="AF10784" s="10"/>
      <c r="AG10784" s="10"/>
      <c r="AH10784" s="10"/>
      <c r="AI10784" s="10"/>
    </row>
    <row r="10785" spans="28:35" ht="15" hidden="1" customHeight="1">
      <c r="AB10785" s="9"/>
      <c r="AC10785" s="9"/>
      <c r="AD10785" s="9"/>
      <c r="AF10785" s="10"/>
      <c r="AG10785" s="10"/>
      <c r="AH10785" s="10"/>
      <c r="AI10785" s="10"/>
    </row>
    <row r="10786" spans="28:35" ht="15" hidden="1" customHeight="1">
      <c r="AB10786" s="9"/>
      <c r="AC10786" s="9"/>
      <c r="AD10786" s="9"/>
      <c r="AF10786" s="10"/>
      <c r="AG10786" s="10"/>
      <c r="AH10786" s="10"/>
      <c r="AI10786" s="10"/>
    </row>
    <row r="10787" spans="28:35" ht="15" hidden="1" customHeight="1">
      <c r="AB10787" s="9"/>
      <c r="AC10787" s="9"/>
      <c r="AD10787" s="9"/>
      <c r="AF10787" s="10"/>
      <c r="AG10787" s="10"/>
      <c r="AH10787" s="10"/>
      <c r="AI10787" s="10"/>
    </row>
    <row r="10788" spans="28:35" ht="15" hidden="1" customHeight="1">
      <c r="AB10788" s="9"/>
      <c r="AC10788" s="9"/>
      <c r="AD10788" s="9"/>
      <c r="AF10788" s="10"/>
      <c r="AG10788" s="10"/>
      <c r="AH10788" s="10"/>
      <c r="AI10788" s="10"/>
    </row>
    <row r="10789" spans="28:35" ht="15" hidden="1" customHeight="1">
      <c r="AB10789" s="9"/>
      <c r="AC10789" s="9"/>
      <c r="AD10789" s="9"/>
      <c r="AF10789" s="10"/>
      <c r="AG10789" s="10"/>
      <c r="AH10789" s="10"/>
      <c r="AI10789" s="10"/>
    </row>
    <row r="10790" spans="28:35" ht="15" hidden="1" customHeight="1">
      <c r="AB10790" s="9"/>
      <c r="AC10790" s="9"/>
      <c r="AD10790" s="9"/>
      <c r="AF10790" s="10"/>
      <c r="AG10790" s="10"/>
      <c r="AH10790" s="10"/>
      <c r="AI10790" s="10"/>
    </row>
    <row r="10791" spans="28:35" ht="15" hidden="1" customHeight="1">
      <c r="AB10791" s="9"/>
      <c r="AC10791" s="9"/>
      <c r="AD10791" s="9"/>
      <c r="AF10791" s="10"/>
      <c r="AG10791" s="10"/>
      <c r="AH10791" s="10"/>
      <c r="AI10791" s="10"/>
    </row>
    <row r="10792" spans="28:35" ht="15" hidden="1" customHeight="1">
      <c r="AB10792" s="9"/>
      <c r="AC10792" s="9"/>
      <c r="AD10792" s="9"/>
      <c r="AF10792" s="10"/>
      <c r="AG10792" s="10"/>
      <c r="AH10792" s="10"/>
      <c r="AI10792" s="10"/>
    </row>
    <row r="10793" spans="28:35" ht="15" hidden="1" customHeight="1">
      <c r="AB10793" s="9"/>
      <c r="AC10793" s="9"/>
      <c r="AD10793" s="9"/>
      <c r="AF10793" s="10"/>
      <c r="AG10793" s="10"/>
      <c r="AH10793" s="10"/>
      <c r="AI10793" s="10"/>
    </row>
    <row r="10794" spans="28:35" ht="15" hidden="1" customHeight="1">
      <c r="AB10794" s="9"/>
      <c r="AC10794" s="9"/>
      <c r="AD10794" s="9"/>
      <c r="AF10794" s="10"/>
      <c r="AG10794" s="10"/>
      <c r="AH10794" s="10"/>
      <c r="AI10794" s="10"/>
    </row>
    <row r="10795" spans="28:35" ht="15" hidden="1" customHeight="1">
      <c r="AB10795" s="9"/>
      <c r="AC10795" s="9"/>
      <c r="AD10795" s="9"/>
      <c r="AF10795" s="10"/>
      <c r="AG10795" s="10"/>
      <c r="AH10795" s="10"/>
      <c r="AI10795" s="10"/>
    </row>
    <row r="10796" spans="28:35" ht="15" hidden="1" customHeight="1">
      <c r="AB10796" s="9"/>
      <c r="AC10796" s="9"/>
      <c r="AD10796" s="9"/>
      <c r="AF10796" s="10"/>
      <c r="AG10796" s="10"/>
      <c r="AH10796" s="10"/>
      <c r="AI10796" s="10"/>
    </row>
    <row r="10797" spans="28:35" ht="15" hidden="1" customHeight="1">
      <c r="AB10797" s="9"/>
      <c r="AC10797" s="9"/>
      <c r="AD10797" s="9"/>
      <c r="AF10797" s="10"/>
      <c r="AG10797" s="10"/>
      <c r="AH10797" s="10"/>
      <c r="AI10797" s="10"/>
    </row>
    <row r="10798" spans="28:35" ht="15" hidden="1" customHeight="1">
      <c r="AB10798" s="9"/>
      <c r="AC10798" s="9"/>
      <c r="AD10798" s="9"/>
      <c r="AF10798" s="10"/>
      <c r="AG10798" s="10"/>
      <c r="AH10798" s="10"/>
      <c r="AI10798" s="10"/>
    </row>
    <row r="10799" spans="28:35" ht="15" hidden="1" customHeight="1">
      <c r="AB10799" s="9"/>
      <c r="AC10799" s="9"/>
      <c r="AD10799" s="9"/>
      <c r="AF10799" s="10"/>
      <c r="AG10799" s="10"/>
      <c r="AH10799" s="10"/>
      <c r="AI10799" s="10"/>
    </row>
    <row r="10800" spans="28:35" ht="15" hidden="1" customHeight="1">
      <c r="AB10800" s="9"/>
      <c r="AC10800" s="9"/>
      <c r="AD10800" s="9"/>
      <c r="AF10800" s="10"/>
      <c r="AG10800" s="10"/>
      <c r="AH10800" s="10"/>
      <c r="AI10800" s="10"/>
    </row>
    <row r="10801" spans="28:35" ht="15" hidden="1" customHeight="1">
      <c r="AB10801" s="9"/>
      <c r="AC10801" s="9"/>
      <c r="AD10801" s="9"/>
      <c r="AF10801" s="10"/>
      <c r="AG10801" s="10"/>
      <c r="AH10801" s="10"/>
      <c r="AI10801" s="10"/>
    </row>
    <row r="10802" spans="28:35" ht="15" hidden="1" customHeight="1">
      <c r="AB10802" s="9"/>
      <c r="AC10802" s="9"/>
      <c r="AD10802" s="9"/>
      <c r="AF10802" s="10"/>
      <c r="AG10802" s="10"/>
      <c r="AH10802" s="10"/>
      <c r="AI10802" s="10"/>
    </row>
    <row r="10803" spans="28:35" ht="15" hidden="1" customHeight="1">
      <c r="AB10803" s="9"/>
      <c r="AC10803" s="9"/>
      <c r="AD10803" s="9"/>
      <c r="AF10803" s="10"/>
      <c r="AG10803" s="10"/>
      <c r="AH10803" s="10"/>
      <c r="AI10803" s="10"/>
    </row>
    <row r="10804" spans="28:35" ht="15" hidden="1" customHeight="1">
      <c r="AB10804" s="9"/>
      <c r="AC10804" s="9"/>
      <c r="AD10804" s="9"/>
      <c r="AF10804" s="10"/>
      <c r="AG10804" s="10"/>
      <c r="AH10804" s="10"/>
      <c r="AI10804" s="10"/>
    </row>
    <row r="10805" spans="28:35" ht="15" hidden="1" customHeight="1">
      <c r="AB10805" s="9"/>
      <c r="AC10805" s="9"/>
      <c r="AD10805" s="9"/>
      <c r="AF10805" s="10"/>
      <c r="AG10805" s="10"/>
      <c r="AH10805" s="10"/>
      <c r="AI10805" s="10"/>
    </row>
    <row r="10806" spans="28:35" ht="15" hidden="1" customHeight="1">
      <c r="AB10806" s="9"/>
      <c r="AC10806" s="9"/>
      <c r="AD10806" s="9"/>
      <c r="AF10806" s="10"/>
      <c r="AG10806" s="10"/>
      <c r="AH10806" s="10"/>
      <c r="AI10806" s="10"/>
    </row>
    <row r="10807" spans="28:35" ht="15" hidden="1" customHeight="1">
      <c r="AB10807" s="9"/>
      <c r="AC10807" s="9"/>
      <c r="AD10807" s="9"/>
      <c r="AF10807" s="10"/>
      <c r="AG10807" s="10"/>
      <c r="AH10807" s="10"/>
      <c r="AI10807" s="10"/>
    </row>
    <row r="10808" spans="28:35" ht="15" hidden="1" customHeight="1">
      <c r="AB10808" s="9"/>
      <c r="AC10808" s="9"/>
      <c r="AD10808" s="9"/>
      <c r="AF10808" s="10"/>
      <c r="AG10808" s="10"/>
      <c r="AH10808" s="10"/>
      <c r="AI10808" s="10"/>
    </row>
    <row r="10809" spans="28:35" ht="15" hidden="1" customHeight="1">
      <c r="AB10809" s="9"/>
      <c r="AC10809" s="9"/>
      <c r="AD10809" s="9"/>
      <c r="AF10809" s="10"/>
      <c r="AG10809" s="10"/>
      <c r="AH10809" s="10"/>
      <c r="AI10809" s="10"/>
    </row>
    <row r="10810" spans="28:35" ht="15" hidden="1" customHeight="1">
      <c r="AB10810" s="9"/>
      <c r="AC10810" s="9"/>
      <c r="AD10810" s="9"/>
      <c r="AF10810" s="10"/>
      <c r="AG10810" s="10"/>
      <c r="AH10810" s="10"/>
      <c r="AI10810" s="10"/>
    </row>
    <row r="10811" spans="28:35" ht="15" hidden="1" customHeight="1">
      <c r="AB10811" s="9"/>
      <c r="AC10811" s="9"/>
      <c r="AD10811" s="9"/>
      <c r="AF10811" s="10"/>
      <c r="AG10811" s="10"/>
      <c r="AH10811" s="10"/>
      <c r="AI10811" s="10"/>
    </row>
    <row r="10812" spans="28:35" ht="15" hidden="1" customHeight="1">
      <c r="AB10812" s="9"/>
      <c r="AC10812" s="9"/>
      <c r="AD10812" s="9"/>
      <c r="AF10812" s="10"/>
      <c r="AG10812" s="10"/>
      <c r="AH10812" s="10"/>
      <c r="AI10812" s="10"/>
    </row>
    <row r="10813" spans="28:35" ht="15" hidden="1" customHeight="1">
      <c r="AB10813" s="9"/>
      <c r="AC10813" s="9"/>
      <c r="AD10813" s="9"/>
      <c r="AF10813" s="10"/>
      <c r="AG10813" s="10"/>
      <c r="AH10813" s="10"/>
      <c r="AI10813" s="10"/>
    </row>
    <row r="10814" spans="28:35" ht="15" hidden="1" customHeight="1">
      <c r="AB10814" s="9"/>
      <c r="AC10814" s="9"/>
      <c r="AD10814" s="9"/>
      <c r="AF10814" s="10"/>
      <c r="AG10814" s="10"/>
      <c r="AH10814" s="10"/>
      <c r="AI10814" s="10"/>
    </row>
    <row r="10815" spans="28:35" ht="15" hidden="1" customHeight="1">
      <c r="AB10815" s="9"/>
      <c r="AC10815" s="9"/>
      <c r="AD10815" s="9"/>
      <c r="AF10815" s="10"/>
      <c r="AG10815" s="10"/>
      <c r="AH10815" s="10"/>
      <c r="AI10815" s="10"/>
    </row>
    <row r="10816" spans="28:35" ht="15" hidden="1" customHeight="1">
      <c r="AB10816" s="9"/>
      <c r="AC10816" s="9"/>
      <c r="AD10816" s="9"/>
      <c r="AF10816" s="10"/>
      <c r="AG10816" s="10"/>
      <c r="AH10816" s="10"/>
      <c r="AI10816" s="10"/>
    </row>
    <row r="10817" spans="28:35" ht="15" hidden="1" customHeight="1">
      <c r="AB10817" s="9"/>
      <c r="AC10817" s="9"/>
      <c r="AD10817" s="9"/>
      <c r="AF10817" s="10"/>
      <c r="AG10817" s="10"/>
      <c r="AH10817" s="10"/>
      <c r="AI10817" s="10"/>
    </row>
    <row r="10818" spans="28:35" ht="15" hidden="1" customHeight="1">
      <c r="AB10818" s="9"/>
      <c r="AC10818" s="9"/>
      <c r="AD10818" s="9"/>
      <c r="AF10818" s="10"/>
      <c r="AG10818" s="10"/>
      <c r="AH10818" s="10"/>
      <c r="AI10818" s="10"/>
    </row>
    <row r="10819" spans="28:35" ht="15" hidden="1" customHeight="1">
      <c r="AB10819" s="9"/>
      <c r="AC10819" s="9"/>
      <c r="AD10819" s="9"/>
      <c r="AF10819" s="10"/>
      <c r="AG10819" s="10"/>
      <c r="AH10819" s="10"/>
      <c r="AI10819" s="10"/>
    </row>
    <row r="10820" spans="28:35" ht="15" hidden="1" customHeight="1">
      <c r="AB10820" s="9"/>
      <c r="AC10820" s="9"/>
      <c r="AD10820" s="9"/>
      <c r="AF10820" s="10"/>
      <c r="AG10820" s="10"/>
      <c r="AH10820" s="10"/>
      <c r="AI10820" s="10"/>
    </row>
    <row r="10821" spans="28:35" ht="15" hidden="1" customHeight="1">
      <c r="AB10821" s="9"/>
      <c r="AC10821" s="9"/>
      <c r="AD10821" s="9"/>
      <c r="AF10821" s="10"/>
      <c r="AG10821" s="10"/>
      <c r="AH10821" s="10"/>
      <c r="AI10821" s="10"/>
    </row>
    <row r="10822" spans="28:35" ht="15" hidden="1" customHeight="1">
      <c r="AB10822" s="9"/>
      <c r="AC10822" s="9"/>
      <c r="AD10822" s="9"/>
      <c r="AF10822" s="10"/>
      <c r="AG10822" s="10"/>
      <c r="AH10822" s="10"/>
      <c r="AI10822" s="10"/>
    </row>
    <row r="10823" spans="28:35" ht="15" hidden="1" customHeight="1">
      <c r="AB10823" s="9"/>
      <c r="AC10823" s="9"/>
      <c r="AD10823" s="9"/>
      <c r="AF10823" s="10"/>
      <c r="AG10823" s="10"/>
      <c r="AH10823" s="10"/>
      <c r="AI10823" s="10"/>
    </row>
    <row r="10824" spans="28:35" ht="15" hidden="1" customHeight="1">
      <c r="AB10824" s="9"/>
      <c r="AC10824" s="9"/>
      <c r="AD10824" s="9"/>
      <c r="AF10824" s="10"/>
      <c r="AG10824" s="10"/>
      <c r="AH10824" s="10"/>
      <c r="AI10824" s="10"/>
    </row>
    <row r="10825" spans="28:35" ht="15" hidden="1" customHeight="1">
      <c r="AB10825" s="9"/>
      <c r="AC10825" s="9"/>
      <c r="AD10825" s="9"/>
      <c r="AF10825" s="10"/>
      <c r="AG10825" s="10"/>
      <c r="AH10825" s="10"/>
      <c r="AI10825" s="10"/>
    </row>
    <row r="10826" spans="28:35" ht="15" hidden="1" customHeight="1">
      <c r="AB10826" s="9"/>
      <c r="AC10826" s="9"/>
      <c r="AD10826" s="9"/>
      <c r="AF10826" s="10"/>
      <c r="AG10826" s="10"/>
      <c r="AH10826" s="10"/>
      <c r="AI10826" s="10"/>
    </row>
    <row r="10827" spans="28:35" ht="15" hidden="1" customHeight="1">
      <c r="AB10827" s="9"/>
      <c r="AC10827" s="9"/>
      <c r="AD10827" s="9"/>
      <c r="AF10827" s="10"/>
      <c r="AG10827" s="10"/>
      <c r="AH10827" s="10"/>
      <c r="AI10827" s="10"/>
    </row>
    <row r="10828" spans="28:35" ht="15" hidden="1" customHeight="1">
      <c r="AB10828" s="9"/>
      <c r="AC10828" s="9"/>
      <c r="AD10828" s="9"/>
      <c r="AF10828" s="10"/>
      <c r="AG10828" s="10"/>
      <c r="AH10828" s="10"/>
      <c r="AI10828" s="10"/>
    </row>
    <row r="10829" spans="28:35" ht="15" hidden="1" customHeight="1">
      <c r="AB10829" s="9"/>
      <c r="AC10829" s="9"/>
      <c r="AD10829" s="9"/>
      <c r="AF10829" s="10"/>
      <c r="AG10829" s="10"/>
      <c r="AH10829" s="10"/>
      <c r="AI10829" s="10"/>
    </row>
    <row r="10830" spans="28:35" ht="15" hidden="1" customHeight="1">
      <c r="AB10830" s="9"/>
      <c r="AC10830" s="9"/>
      <c r="AD10830" s="9"/>
      <c r="AF10830" s="10"/>
      <c r="AG10830" s="10"/>
      <c r="AH10830" s="10"/>
      <c r="AI10830" s="10"/>
    </row>
    <row r="10831" spans="28:35" ht="15" hidden="1" customHeight="1">
      <c r="AB10831" s="9"/>
      <c r="AC10831" s="9"/>
      <c r="AD10831" s="9"/>
      <c r="AF10831" s="10"/>
      <c r="AG10831" s="10"/>
      <c r="AH10831" s="10"/>
      <c r="AI10831" s="10"/>
    </row>
    <row r="10832" spans="28:35" ht="15" hidden="1" customHeight="1">
      <c r="AB10832" s="9"/>
      <c r="AC10832" s="9"/>
      <c r="AD10832" s="9"/>
      <c r="AF10832" s="10"/>
      <c r="AG10832" s="10"/>
      <c r="AH10832" s="10"/>
      <c r="AI10832" s="10"/>
    </row>
    <row r="10833" spans="28:35" ht="15" hidden="1" customHeight="1">
      <c r="AB10833" s="9"/>
      <c r="AC10833" s="9"/>
      <c r="AD10833" s="9"/>
      <c r="AF10833" s="10"/>
      <c r="AG10833" s="10"/>
      <c r="AH10833" s="10"/>
      <c r="AI10833" s="10"/>
    </row>
    <row r="10834" spans="28:35" ht="15" hidden="1" customHeight="1">
      <c r="AB10834" s="9"/>
      <c r="AC10834" s="9"/>
      <c r="AD10834" s="9"/>
      <c r="AF10834" s="10"/>
      <c r="AG10834" s="10"/>
      <c r="AH10834" s="10"/>
      <c r="AI10834" s="10"/>
    </row>
    <row r="10835" spans="28:35" ht="15" hidden="1" customHeight="1">
      <c r="AB10835" s="9"/>
      <c r="AC10835" s="9"/>
      <c r="AD10835" s="9"/>
      <c r="AF10835" s="10"/>
      <c r="AG10835" s="10"/>
      <c r="AH10835" s="10"/>
      <c r="AI10835" s="10"/>
    </row>
    <row r="10836" spans="28:35" ht="15" hidden="1" customHeight="1">
      <c r="AB10836" s="9"/>
      <c r="AC10836" s="9"/>
      <c r="AD10836" s="9"/>
      <c r="AF10836" s="10"/>
      <c r="AG10836" s="10"/>
      <c r="AH10836" s="10"/>
      <c r="AI10836" s="10"/>
    </row>
    <row r="10837" spans="28:35" ht="15" hidden="1" customHeight="1">
      <c r="AB10837" s="9"/>
      <c r="AC10837" s="9"/>
      <c r="AD10837" s="9"/>
      <c r="AF10837" s="10"/>
      <c r="AG10837" s="10"/>
      <c r="AH10837" s="10"/>
      <c r="AI10837" s="10"/>
    </row>
    <row r="10838" spans="28:35" ht="15" hidden="1" customHeight="1">
      <c r="AB10838" s="9"/>
      <c r="AC10838" s="9"/>
      <c r="AD10838" s="9"/>
      <c r="AF10838" s="10"/>
      <c r="AG10838" s="10"/>
      <c r="AH10838" s="10"/>
      <c r="AI10838" s="10"/>
    </row>
    <row r="10839" spans="28:35" ht="15" hidden="1" customHeight="1">
      <c r="AB10839" s="9"/>
      <c r="AC10839" s="9"/>
      <c r="AD10839" s="9"/>
      <c r="AF10839" s="10"/>
      <c r="AG10839" s="10"/>
      <c r="AH10839" s="10"/>
      <c r="AI10839" s="10"/>
    </row>
    <row r="10840" spans="28:35" ht="15" hidden="1" customHeight="1">
      <c r="AB10840" s="9"/>
      <c r="AC10840" s="9"/>
      <c r="AD10840" s="9"/>
      <c r="AF10840" s="10"/>
      <c r="AG10840" s="10"/>
      <c r="AH10840" s="10"/>
      <c r="AI10840" s="10"/>
    </row>
    <row r="10841" spans="28:35" ht="15" hidden="1" customHeight="1">
      <c r="AB10841" s="9"/>
      <c r="AC10841" s="9"/>
      <c r="AD10841" s="9"/>
      <c r="AF10841" s="10"/>
      <c r="AG10841" s="10"/>
      <c r="AH10841" s="10"/>
      <c r="AI10841" s="10"/>
    </row>
    <row r="10842" spans="28:35" ht="15" hidden="1" customHeight="1">
      <c r="AB10842" s="9"/>
      <c r="AC10842" s="9"/>
      <c r="AD10842" s="9"/>
      <c r="AF10842" s="10"/>
      <c r="AG10842" s="10"/>
      <c r="AH10842" s="10"/>
      <c r="AI10842" s="10"/>
    </row>
    <row r="10843" spans="28:35" ht="15" hidden="1" customHeight="1">
      <c r="AB10843" s="9"/>
      <c r="AC10843" s="9"/>
      <c r="AD10843" s="9"/>
      <c r="AF10843" s="10"/>
      <c r="AG10843" s="10"/>
      <c r="AH10843" s="10"/>
      <c r="AI10843" s="10"/>
    </row>
    <row r="10844" spans="28:35" ht="15" hidden="1" customHeight="1">
      <c r="AB10844" s="9"/>
      <c r="AC10844" s="9"/>
      <c r="AD10844" s="9"/>
      <c r="AF10844" s="10"/>
      <c r="AG10844" s="10"/>
      <c r="AH10844" s="10"/>
      <c r="AI10844" s="10"/>
    </row>
    <row r="10845" spans="28:35" ht="15" hidden="1" customHeight="1">
      <c r="AB10845" s="9"/>
      <c r="AC10845" s="9"/>
      <c r="AD10845" s="9"/>
      <c r="AF10845" s="10"/>
      <c r="AG10845" s="10"/>
      <c r="AH10845" s="10"/>
      <c r="AI10845" s="10"/>
    </row>
    <row r="10846" spans="28:35" ht="15" hidden="1" customHeight="1">
      <c r="AB10846" s="9"/>
      <c r="AC10846" s="9"/>
      <c r="AD10846" s="9"/>
      <c r="AF10846" s="10"/>
      <c r="AG10846" s="10"/>
      <c r="AH10846" s="10"/>
      <c r="AI10846" s="10"/>
    </row>
    <row r="10847" spans="28:35" ht="15" hidden="1" customHeight="1">
      <c r="AB10847" s="9"/>
      <c r="AC10847" s="9"/>
      <c r="AD10847" s="9"/>
      <c r="AF10847" s="10"/>
      <c r="AG10847" s="10"/>
      <c r="AH10847" s="10"/>
      <c r="AI10847" s="10"/>
    </row>
    <row r="10848" spans="28:35" ht="15" hidden="1" customHeight="1">
      <c r="AB10848" s="9"/>
      <c r="AC10848" s="9"/>
      <c r="AD10848" s="9"/>
      <c r="AF10848" s="10"/>
      <c r="AG10848" s="10"/>
      <c r="AH10848" s="10"/>
      <c r="AI10848" s="10"/>
    </row>
    <row r="10849" spans="28:35" ht="15" hidden="1" customHeight="1">
      <c r="AB10849" s="9"/>
      <c r="AC10849" s="9"/>
      <c r="AD10849" s="9"/>
      <c r="AF10849" s="10"/>
      <c r="AG10849" s="10"/>
      <c r="AH10849" s="10"/>
      <c r="AI10849" s="10"/>
    </row>
    <row r="10850" spans="28:35" ht="15" hidden="1" customHeight="1">
      <c r="AB10850" s="9"/>
      <c r="AC10850" s="9"/>
      <c r="AD10850" s="9"/>
      <c r="AF10850" s="10"/>
      <c r="AG10850" s="10"/>
      <c r="AH10850" s="10"/>
      <c r="AI10850" s="10"/>
    </row>
    <row r="10851" spans="28:35" ht="15" hidden="1" customHeight="1">
      <c r="AB10851" s="9"/>
      <c r="AC10851" s="9"/>
      <c r="AD10851" s="9"/>
      <c r="AF10851" s="10"/>
      <c r="AG10851" s="10"/>
      <c r="AH10851" s="10"/>
      <c r="AI10851" s="10"/>
    </row>
    <row r="10852" spans="28:35" ht="15" hidden="1" customHeight="1">
      <c r="AB10852" s="9"/>
      <c r="AC10852" s="9"/>
      <c r="AD10852" s="9"/>
      <c r="AF10852" s="10"/>
      <c r="AG10852" s="10"/>
      <c r="AH10852" s="10"/>
      <c r="AI10852" s="10"/>
    </row>
    <row r="10853" spans="28:35" ht="15" hidden="1" customHeight="1">
      <c r="AB10853" s="9"/>
      <c r="AC10853" s="9"/>
      <c r="AD10853" s="9"/>
      <c r="AF10853" s="10"/>
      <c r="AG10853" s="10"/>
      <c r="AH10853" s="10"/>
      <c r="AI10853" s="10"/>
    </row>
    <row r="10854" spans="28:35" ht="15" hidden="1" customHeight="1">
      <c r="AB10854" s="9"/>
      <c r="AC10854" s="9"/>
      <c r="AD10854" s="9"/>
      <c r="AF10854" s="10"/>
      <c r="AG10854" s="10"/>
      <c r="AH10854" s="10"/>
      <c r="AI10854" s="10"/>
    </row>
    <row r="10855" spans="28:35" ht="15" hidden="1" customHeight="1">
      <c r="AB10855" s="9"/>
      <c r="AC10855" s="9"/>
      <c r="AD10855" s="9"/>
      <c r="AF10855" s="10"/>
      <c r="AG10855" s="10"/>
      <c r="AH10855" s="10"/>
      <c r="AI10855" s="10"/>
    </row>
    <row r="10856" spans="28:35" ht="15" hidden="1" customHeight="1">
      <c r="AB10856" s="9"/>
      <c r="AC10856" s="9"/>
      <c r="AD10856" s="9"/>
      <c r="AF10856" s="10"/>
      <c r="AG10856" s="10"/>
      <c r="AH10856" s="10"/>
      <c r="AI10856" s="10"/>
    </row>
    <row r="10857" spans="28:35" ht="15" hidden="1" customHeight="1">
      <c r="AB10857" s="9"/>
      <c r="AC10857" s="9"/>
      <c r="AD10857" s="9"/>
      <c r="AF10857" s="10"/>
      <c r="AG10857" s="10"/>
      <c r="AH10857" s="10"/>
      <c r="AI10857" s="10"/>
    </row>
    <row r="10858" spans="28:35" ht="15" hidden="1" customHeight="1">
      <c r="AB10858" s="9"/>
      <c r="AC10858" s="9"/>
      <c r="AD10858" s="9"/>
      <c r="AF10858" s="10"/>
      <c r="AG10858" s="10"/>
      <c r="AH10858" s="10"/>
      <c r="AI10858" s="10"/>
    </row>
    <row r="10859" spans="28:35" ht="15" hidden="1" customHeight="1">
      <c r="AB10859" s="9"/>
      <c r="AC10859" s="9"/>
      <c r="AD10859" s="9"/>
      <c r="AF10859" s="10"/>
      <c r="AG10859" s="10"/>
      <c r="AH10859" s="10"/>
      <c r="AI10859" s="10"/>
    </row>
    <row r="10860" spans="28:35" ht="15" hidden="1" customHeight="1">
      <c r="AB10860" s="9"/>
      <c r="AC10860" s="9"/>
      <c r="AD10860" s="9"/>
      <c r="AF10860" s="10"/>
      <c r="AG10860" s="10"/>
      <c r="AH10860" s="10"/>
      <c r="AI10860" s="10"/>
    </row>
    <row r="10861" spans="28:35" ht="15" hidden="1" customHeight="1">
      <c r="AB10861" s="9"/>
      <c r="AC10861" s="9"/>
      <c r="AD10861" s="9"/>
      <c r="AF10861" s="10"/>
      <c r="AG10861" s="10"/>
      <c r="AH10861" s="10"/>
      <c r="AI10861" s="10"/>
    </row>
    <row r="10862" spans="28:35" ht="15" hidden="1" customHeight="1">
      <c r="AB10862" s="9"/>
      <c r="AC10862" s="9"/>
      <c r="AD10862" s="9"/>
      <c r="AF10862" s="10"/>
      <c r="AG10862" s="10"/>
      <c r="AH10862" s="10"/>
      <c r="AI10862" s="10"/>
    </row>
    <row r="10863" spans="28:35" ht="15" hidden="1" customHeight="1">
      <c r="AB10863" s="9"/>
      <c r="AC10863" s="9"/>
      <c r="AD10863" s="9"/>
      <c r="AF10863" s="10"/>
      <c r="AG10863" s="10"/>
      <c r="AH10863" s="10"/>
      <c r="AI10863" s="10"/>
    </row>
    <row r="10864" spans="28:35" ht="15" hidden="1" customHeight="1">
      <c r="AB10864" s="9"/>
      <c r="AC10864" s="9"/>
      <c r="AD10864" s="9"/>
      <c r="AF10864" s="10"/>
      <c r="AG10864" s="10"/>
      <c r="AH10864" s="10"/>
      <c r="AI10864" s="10"/>
    </row>
    <row r="10865" spans="28:35" ht="15" hidden="1" customHeight="1">
      <c r="AB10865" s="9"/>
      <c r="AC10865" s="9"/>
      <c r="AD10865" s="9"/>
      <c r="AF10865" s="10"/>
      <c r="AG10865" s="10"/>
      <c r="AH10865" s="10"/>
      <c r="AI10865" s="10"/>
    </row>
    <row r="10866" spans="28:35" ht="15" hidden="1" customHeight="1">
      <c r="AB10866" s="9"/>
      <c r="AC10866" s="9"/>
      <c r="AD10866" s="9"/>
      <c r="AF10866" s="10"/>
      <c r="AG10866" s="10"/>
      <c r="AH10866" s="10"/>
      <c r="AI10866" s="10"/>
    </row>
    <row r="10867" spans="28:35" ht="15" hidden="1" customHeight="1">
      <c r="AB10867" s="9"/>
      <c r="AC10867" s="9"/>
      <c r="AD10867" s="9"/>
      <c r="AF10867" s="10"/>
      <c r="AG10867" s="10"/>
      <c r="AH10867" s="10"/>
      <c r="AI10867" s="10"/>
    </row>
    <row r="10868" spans="28:35" ht="15" hidden="1" customHeight="1">
      <c r="AB10868" s="9"/>
      <c r="AC10868" s="9"/>
      <c r="AD10868" s="9"/>
      <c r="AF10868" s="10"/>
      <c r="AG10868" s="10"/>
      <c r="AH10868" s="10"/>
      <c r="AI10868" s="10"/>
    </row>
    <row r="10869" spans="28:35" ht="15" hidden="1" customHeight="1">
      <c r="AB10869" s="9"/>
      <c r="AC10869" s="9"/>
      <c r="AD10869" s="9"/>
      <c r="AF10869" s="10"/>
      <c r="AG10869" s="10"/>
      <c r="AH10869" s="10"/>
      <c r="AI10869" s="10"/>
    </row>
    <row r="10870" spans="28:35" ht="15" hidden="1" customHeight="1">
      <c r="AB10870" s="9"/>
      <c r="AC10870" s="9"/>
      <c r="AD10870" s="9"/>
      <c r="AF10870" s="10"/>
      <c r="AG10870" s="10"/>
      <c r="AH10870" s="10"/>
      <c r="AI10870" s="10"/>
    </row>
    <row r="10871" spans="28:35" ht="15" hidden="1" customHeight="1">
      <c r="AB10871" s="9"/>
      <c r="AC10871" s="9"/>
      <c r="AD10871" s="9"/>
      <c r="AF10871" s="10"/>
      <c r="AG10871" s="10"/>
      <c r="AH10871" s="10"/>
      <c r="AI10871" s="10"/>
    </row>
    <row r="10872" spans="28:35" ht="15" hidden="1" customHeight="1">
      <c r="AB10872" s="9"/>
      <c r="AC10872" s="9"/>
      <c r="AD10872" s="9"/>
      <c r="AF10872" s="10"/>
      <c r="AG10872" s="10"/>
      <c r="AH10872" s="10"/>
      <c r="AI10872" s="10"/>
    </row>
    <row r="10873" spans="28:35" ht="15" hidden="1" customHeight="1">
      <c r="AB10873" s="9"/>
      <c r="AC10873" s="9"/>
      <c r="AD10873" s="9"/>
      <c r="AF10873" s="10"/>
      <c r="AG10873" s="10"/>
      <c r="AH10873" s="10"/>
      <c r="AI10873" s="10"/>
    </row>
    <row r="10874" spans="28:35" ht="15" hidden="1" customHeight="1">
      <c r="AB10874" s="9"/>
      <c r="AC10874" s="9"/>
      <c r="AD10874" s="9"/>
      <c r="AF10874" s="10"/>
      <c r="AG10874" s="10"/>
      <c r="AH10874" s="10"/>
      <c r="AI10874" s="10"/>
    </row>
    <row r="10875" spans="28:35" ht="15" hidden="1" customHeight="1">
      <c r="AB10875" s="9"/>
      <c r="AC10875" s="9"/>
      <c r="AD10875" s="9"/>
      <c r="AF10875" s="10"/>
      <c r="AG10875" s="10"/>
      <c r="AH10875" s="10"/>
      <c r="AI10875" s="10"/>
    </row>
    <row r="10876" spans="28:35" ht="15" hidden="1" customHeight="1">
      <c r="AB10876" s="9"/>
      <c r="AC10876" s="9"/>
      <c r="AD10876" s="9"/>
      <c r="AF10876" s="10"/>
      <c r="AG10876" s="10"/>
      <c r="AH10876" s="10"/>
      <c r="AI10876" s="10"/>
    </row>
    <row r="10877" spans="28:35" ht="15" hidden="1" customHeight="1">
      <c r="AB10877" s="9"/>
      <c r="AC10877" s="9"/>
      <c r="AD10877" s="9"/>
      <c r="AF10877" s="10"/>
      <c r="AG10877" s="10"/>
      <c r="AH10877" s="10"/>
      <c r="AI10877" s="10"/>
    </row>
    <row r="10878" spans="28:35" ht="15" hidden="1" customHeight="1">
      <c r="AB10878" s="9"/>
      <c r="AC10878" s="9"/>
      <c r="AD10878" s="9"/>
      <c r="AF10878" s="10"/>
      <c r="AG10878" s="10"/>
      <c r="AH10878" s="10"/>
      <c r="AI10878" s="10"/>
    </row>
    <row r="10879" spans="28:35" ht="15" hidden="1" customHeight="1">
      <c r="AB10879" s="9"/>
      <c r="AC10879" s="9"/>
      <c r="AD10879" s="9"/>
      <c r="AF10879" s="10"/>
      <c r="AG10879" s="10"/>
      <c r="AH10879" s="10"/>
      <c r="AI10879" s="10"/>
    </row>
    <row r="10880" spans="28:35" ht="15" hidden="1" customHeight="1">
      <c r="AB10880" s="9"/>
      <c r="AC10880" s="9"/>
      <c r="AD10880" s="9"/>
      <c r="AF10880" s="10"/>
      <c r="AG10880" s="10"/>
      <c r="AH10880" s="10"/>
      <c r="AI10880" s="10"/>
    </row>
    <row r="10881" spans="28:35" ht="15" hidden="1" customHeight="1">
      <c r="AB10881" s="9"/>
      <c r="AC10881" s="9"/>
      <c r="AD10881" s="9"/>
      <c r="AF10881" s="10"/>
      <c r="AG10881" s="10"/>
      <c r="AH10881" s="10"/>
      <c r="AI10881" s="10"/>
    </row>
    <row r="10882" spans="28:35" ht="15" hidden="1" customHeight="1">
      <c r="AB10882" s="9"/>
      <c r="AC10882" s="9"/>
      <c r="AD10882" s="9"/>
      <c r="AF10882" s="10"/>
      <c r="AG10882" s="10"/>
      <c r="AH10882" s="10"/>
      <c r="AI10882" s="10"/>
    </row>
    <row r="10883" spans="28:35" ht="15" hidden="1" customHeight="1">
      <c r="AB10883" s="9"/>
      <c r="AC10883" s="9"/>
      <c r="AD10883" s="9"/>
      <c r="AF10883" s="10"/>
      <c r="AG10883" s="10"/>
      <c r="AH10883" s="10"/>
      <c r="AI10883" s="10"/>
    </row>
    <row r="10884" spans="28:35" ht="15" hidden="1" customHeight="1">
      <c r="AB10884" s="9"/>
      <c r="AC10884" s="9"/>
      <c r="AD10884" s="9"/>
      <c r="AF10884" s="10"/>
      <c r="AG10884" s="10"/>
      <c r="AH10884" s="10"/>
      <c r="AI10884" s="10"/>
    </row>
    <row r="10885" spans="28:35" ht="15" hidden="1" customHeight="1">
      <c r="AB10885" s="9"/>
      <c r="AC10885" s="9"/>
      <c r="AD10885" s="9"/>
      <c r="AF10885" s="10"/>
      <c r="AG10885" s="10"/>
      <c r="AH10885" s="10"/>
      <c r="AI10885" s="10"/>
    </row>
    <row r="10886" spans="28:35" ht="15" hidden="1" customHeight="1">
      <c r="AB10886" s="9"/>
      <c r="AC10886" s="9"/>
      <c r="AD10886" s="9"/>
      <c r="AF10886" s="10"/>
      <c r="AG10886" s="10"/>
      <c r="AH10886" s="10"/>
      <c r="AI10886" s="10"/>
    </row>
    <row r="10887" spans="28:35" ht="15" hidden="1" customHeight="1">
      <c r="AB10887" s="9"/>
      <c r="AC10887" s="9"/>
      <c r="AD10887" s="9"/>
      <c r="AF10887" s="10"/>
      <c r="AG10887" s="10"/>
      <c r="AH10887" s="10"/>
      <c r="AI10887" s="10"/>
    </row>
    <row r="10888" spans="28:35" ht="15" hidden="1" customHeight="1">
      <c r="AB10888" s="9"/>
      <c r="AC10888" s="9"/>
      <c r="AD10888" s="9"/>
      <c r="AF10888" s="10"/>
      <c r="AG10888" s="10"/>
      <c r="AH10888" s="10"/>
      <c r="AI10888" s="10"/>
    </row>
    <row r="10889" spans="28:35" ht="15" hidden="1" customHeight="1">
      <c r="AB10889" s="9"/>
      <c r="AC10889" s="9"/>
      <c r="AD10889" s="9"/>
      <c r="AF10889" s="10"/>
      <c r="AG10889" s="10"/>
      <c r="AH10889" s="10"/>
      <c r="AI10889" s="10"/>
    </row>
    <row r="10890" spans="28:35" ht="15" hidden="1" customHeight="1">
      <c r="AB10890" s="9"/>
      <c r="AC10890" s="9"/>
      <c r="AD10890" s="9"/>
      <c r="AF10890" s="10"/>
      <c r="AG10890" s="10"/>
      <c r="AH10890" s="10"/>
      <c r="AI10890" s="10"/>
    </row>
    <row r="10891" spans="28:35" ht="15" hidden="1" customHeight="1">
      <c r="AB10891" s="9"/>
      <c r="AC10891" s="9"/>
      <c r="AD10891" s="9"/>
      <c r="AF10891" s="10"/>
      <c r="AG10891" s="10"/>
      <c r="AH10891" s="10"/>
      <c r="AI10891" s="10"/>
    </row>
    <row r="10892" spans="28:35" ht="15" hidden="1" customHeight="1">
      <c r="AB10892" s="9"/>
      <c r="AC10892" s="9"/>
      <c r="AD10892" s="9"/>
      <c r="AF10892" s="10"/>
      <c r="AG10892" s="10"/>
      <c r="AH10892" s="10"/>
      <c r="AI10892" s="10"/>
    </row>
    <row r="10893" spans="28:35" ht="15" hidden="1" customHeight="1">
      <c r="AB10893" s="9"/>
      <c r="AC10893" s="9"/>
      <c r="AD10893" s="9"/>
      <c r="AF10893" s="10"/>
      <c r="AG10893" s="10"/>
      <c r="AH10893" s="10"/>
      <c r="AI10893" s="10"/>
    </row>
    <row r="10894" spans="28:35" ht="15" hidden="1" customHeight="1">
      <c r="AB10894" s="9"/>
      <c r="AC10894" s="9"/>
      <c r="AD10894" s="9"/>
      <c r="AF10894" s="10"/>
      <c r="AG10894" s="10"/>
      <c r="AH10894" s="10"/>
      <c r="AI10894" s="10"/>
    </row>
    <row r="10895" spans="28:35" ht="15" hidden="1" customHeight="1">
      <c r="AB10895" s="9"/>
      <c r="AC10895" s="9"/>
      <c r="AD10895" s="9"/>
      <c r="AF10895" s="10"/>
      <c r="AG10895" s="10"/>
      <c r="AH10895" s="10"/>
      <c r="AI10895" s="10"/>
    </row>
    <row r="10896" spans="28:35" ht="15" hidden="1" customHeight="1">
      <c r="AB10896" s="9"/>
      <c r="AC10896" s="9"/>
      <c r="AD10896" s="9"/>
      <c r="AF10896" s="10"/>
      <c r="AG10896" s="10"/>
      <c r="AH10896" s="10"/>
      <c r="AI10896" s="10"/>
    </row>
    <row r="10897" spans="28:35" ht="15" hidden="1" customHeight="1">
      <c r="AB10897" s="9"/>
      <c r="AC10897" s="9"/>
      <c r="AD10897" s="9"/>
      <c r="AF10897" s="10"/>
      <c r="AG10897" s="10"/>
      <c r="AH10897" s="10"/>
      <c r="AI10897" s="10"/>
    </row>
    <row r="10898" spans="28:35" ht="15" hidden="1" customHeight="1">
      <c r="AB10898" s="9"/>
      <c r="AC10898" s="9"/>
      <c r="AD10898" s="9"/>
      <c r="AF10898" s="10"/>
      <c r="AG10898" s="10"/>
      <c r="AH10898" s="10"/>
      <c r="AI10898" s="10"/>
    </row>
    <row r="10899" spans="28:35" ht="15" hidden="1" customHeight="1">
      <c r="AB10899" s="9"/>
      <c r="AC10899" s="9"/>
      <c r="AD10899" s="9"/>
      <c r="AF10899" s="10"/>
      <c r="AG10899" s="10"/>
      <c r="AH10899" s="10"/>
      <c r="AI10899" s="10"/>
    </row>
    <row r="10900" spans="28:35" ht="15" hidden="1" customHeight="1">
      <c r="AB10900" s="9"/>
      <c r="AC10900" s="9"/>
      <c r="AD10900" s="9"/>
      <c r="AF10900" s="10"/>
      <c r="AG10900" s="10"/>
      <c r="AH10900" s="10"/>
      <c r="AI10900" s="10"/>
    </row>
    <row r="10901" spans="28:35" ht="15" hidden="1" customHeight="1">
      <c r="AB10901" s="9"/>
      <c r="AC10901" s="9"/>
      <c r="AD10901" s="9"/>
      <c r="AF10901" s="10"/>
      <c r="AG10901" s="10"/>
      <c r="AH10901" s="10"/>
      <c r="AI10901" s="10"/>
    </row>
    <row r="10902" spans="28:35" ht="15" hidden="1" customHeight="1">
      <c r="AB10902" s="9"/>
      <c r="AC10902" s="9"/>
      <c r="AD10902" s="9"/>
      <c r="AF10902" s="10"/>
      <c r="AG10902" s="10"/>
      <c r="AH10902" s="10"/>
      <c r="AI10902" s="10"/>
    </row>
    <row r="10903" spans="28:35" ht="15" hidden="1" customHeight="1">
      <c r="AB10903" s="9"/>
      <c r="AC10903" s="9"/>
      <c r="AD10903" s="9"/>
      <c r="AF10903" s="10"/>
      <c r="AG10903" s="10"/>
      <c r="AH10903" s="10"/>
      <c r="AI10903" s="10"/>
    </row>
    <row r="10904" spans="28:35" ht="15" hidden="1" customHeight="1">
      <c r="AB10904" s="9"/>
      <c r="AC10904" s="9"/>
      <c r="AD10904" s="9"/>
      <c r="AF10904" s="10"/>
      <c r="AG10904" s="10"/>
      <c r="AH10904" s="10"/>
      <c r="AI10904" s="10"/>
    </row>
    <row r="10905" spans="28:35" ht="15" hidden="1" customHeight="1">
      <c r="AB10905" s="9"/>
      <c r="AC10905" s="9"/>
      <c r="AD10905" s="9"/>
      <c r="AF10905" s="10"/>
      <c r="AG10905" s="10"/>
      <c r="AH10905" s="10"/>
      <c r="AI10905" s="10"/>
    </row>
    <row r="10906" spans="28:35" ht="15" hidden="1" customHeight="1">
      <c r="AB10906" s="9"/>
      <c r="AC10906" s="9"/>
      <c r="AD10906" s="9"/>
      <c r="AF10906" s="10"/>
      <c r="AG10906" s="10"/>
      <c r="AH10906" s="10"/>
      <c r="AI10906" s="10"/>
    </row>
    <row r="10907" spans="28:35" ht="15" hidden="1" customHeight="1">
      <c r="AB10907" s="9"/>
      <c r="AC10907" s="9"/>
      <c r="AD10907" s="9"/>
      <c r="AF10907" s="10"/>
      <c r="AG10907" s="10"/>
      <c r="AH10907" s="10"/>
      <c r="AI10907" s="10"/>
    </row>
    <row r="10908" spans="28:35" ht="15" hidden="1" customHeight="1">
      <c r="AB10908" s="9"/>
      <c r="AC10908" s="9"/>
      <c r="AD10908" s="9"/>
      <c r="AF10908" s="10"/>
      <c r="AG10908" s="10"/>
      <c r="AH10908" s="10"/>
      <c r="AI10908" s="10"/>
    </row>
    <row r="10909" spans="28:35" ht="15" hidden="1" customHeight="1">
      <c r="AB10909" s="9"/>
      <c r="AC10909" s="9"/>
      <c r="AD10909" s="9"/>
      <c r="AF10909" s="10"/>
      <c r="AG10909" s="10"/>
      <c r="AH10909" s="10"/>
      <c r="AI10909" s="10"/>
    </row>
    <row r="10910" spans="28:35" ht="15" hidden="1" customHeight="1">
      <c r="AB10910" s="9"/>
      <c r="AC10910" s="9"/>
      <c r="AD10910" s="9"/>
      <c r="AF10910" s="10"/>
      <c r="AG10910" s="10"/>
      <c r="AH10910" s="10"/>
      <c r="AI10910" s="10"/>
    </row>
    <row r="10911" spans="28:35" ht="15" hidden="1" customHeight="1">
      <c r="AB10911" s="9"/>
      <c r="AC10911" s="9"/>
      <c r="AD10911" s="9"/>
      <c r="AF10911" s="10"/>
      <c r="AG10911" s="10"/>
      <c r="AH10911" s="10"/>
      <c r="AI10911" s="10"/>
    </row>
    <row r="10912" spans="28:35" ht="15" hidden="1" customHeight="1">
      <c r="AB10912" s="9"/>
      <c r="AC10912" s="9"/>
      <c r="AD10912" s="9"/>
      <c r="AF10912" s="10"/>
      <c r="AG10912" s="10"/>
      <c r="AH10912" s="10"/>
      <c r="AI10912" s="10"/>
    </row>
    <row r="10913" spans="28:35" ht="15" hidden="1" customHeight="1">
      <c r="AB10913" s="9"/>
      <c r="AC10913" s="9"/>
      <c r="AD10913" s="9"/>
      <c r="AF10913" s="10"/>
      <c r="AG10913" s="10"/>
      <c r="AH10913" s="10"/>
      <c r="AI10913" s="10"/>
    </row>
    <row r="10914" spans="28:35" ht="15" hidden="1" customHeight="1">
      <c r="AB10914" s="9"/>
      <c r="AC10914" s="9"/>
      <c r="AD10914" s="9"/>
      <c r="AF10914" s="10"/>
      <c r="AG10914" s="10"/>
      <c r="AH10914" s="10"/>
      <c r="AI10914" s="10"/>
    </row>
    <row r="10915" spans="28:35" ht="15" hidden="1" customHeight="1">
      <c r="AB10915" s="9"/>
      <c r="AC10915" s="9"/>
      <c r="AD10915" s="9"/>
      <c r="AF10915" s="10"/>
      <c r="AG10915" s="10"/>
      <c r="AH10915" s="10"/>
      <c r="AI10915" s="10"/>
    </row>
    <row r="10916" spans="28:35" ht="15" hidden="1" customHeight="1">
      <c r="AB10916" s="9"/>
      <c r="AC10916" s="9"/>
      <c r="AD10916" s="9"/>
      <c r="AF10916" s="10"/>
      <c r="AG10916" s="10"/>
      <c r="AH10916" s="10"/>
      <c r="AI10916" s="10"/>
    </row>
    <row r="10917" spans="28:35" ht="15" hidden="1" customHeight="1">
      <c r="AB10917" s="9"/>
      <c r="AC10917" s="9"/>
      <c r="AD10917" s="9"/>
      <c r="AF10917" s="10"/>
      <c r="AG10917" s="10"/>
      <c r="AH10917" s="10"/>
      <c r="AI10917" s="10"/>
    </row>
    <row r="10918" spans="28:35" ht="15" hidden="1" customHeight="1">
      <c r="AB10918" s="9"/>
      <c r="AC10918" s="9"/>
      <c r="AD10918" s="9"/>
      <c r="AF10918" s="10"/>
      <c r="AG10918" s="10"/>
      <c r="AH10918" s="10"/>
      <c r="AI10918" s="10"/>
    </row>
    <row r="10919" spans="28:35" ht="15" hidden="1" customHeight="1">
      <c r="AB10919" s="9"/>
      <c r="AC10919" s="9"/>
      <c r="AD10919" s="9"/>
      <c r="AF10919" s="10"/>
      <c r="AG10919" s="10"/>
      <c r="AH10919" s="10"/>
      <c r="AI10919" s="10"/>
    </row>
    <row r="10920" spans="28:35" ht="15" hidden="1" customHeight="1">
      <c r="AB10920" s="9"/>
      <c r="AC10920" s="9"/>
      <c r="AD10920" s="9"/>
      <c r="AF10920" s="10"/>
      <c r="AG10920" s="10"/>
      <c r="AH10920" s="10"/>
      <c r="AI10920" s="10"/>
    </row>
    <row r="10921" spans="28:35" ht="15" hidden="1" customHeight="1">
      <c r="AB10921" s="9"/>
      <c r="AC10921" s="9"/>
      <c r="AD10921" s="9"/>
      <c r="AF10921" s="10"/>
      <c r="AG10921" s="10"/>
      <c r="AH10921" s="10"/>
      <c r="AI10921" s="10"/>
    </row>
    <row r="10922" spans="28:35" ht="15" hidden="1" customHeight="1">
      <c r="AB10922" s="9"/>
      <c r="AC10922" s="9"/>
      <c r="AD10922" s="9"/>
      <c r="AF10922" s="10"/>
      <c r="AG10922" s="10"/>
      <c r="AH10922" s="10"/>
      <c r="AI10922" s="10"/>
    </row>
    <row r="10923" spans="28:35" ht="15" hidden="1" customHeight="1">
      <c r="AB10923" s="9"/>
      <c r="AC10923" s="9"/>
      <c r="AD10923" s="9"/>
      <c r="AF10923" s="10"/>
      <c r="AG10923" s="10"/>
      <c r="AH10923" s="10"/>
      <c r="AI10923" s="10"/>
    </row>
    <row r="10924" spans="28:35" ht="15" hidden="1" customHeight="1">
      <c r="AB10924" s="9"/>
      <c r="AC10924" s="9"/>
      <c r="AD10924" s="9"/>
      <c r="AF10924" s="10"/>
      <c r="AG10924" s="10"/>
      <c r="AH10924" s="10"/>
      <c r="AI10924" s="10"/>
    </row>
    <row r="10925" spans="28:35" ht="15" hidden="1" customHeight="1">
      <c r="AB10925" s="9"/>
      <c r="AC10925" s="9"/>
      <c r="AD10925" s="9"/>
      <c r="AF10925" s="10"/>
      <c r="AG10925" s="10"/>
      <c r="AH10925" s="10"/>
      <c r="AI10925" s="10"/>
    </row>
    <row r="10926" spans="28:35" ht="15" hidden="1" customHeight="1">
      <c r="AB10926" s="9"/>
      <c r="AC10926" s="9"/>
      <c r="AD10926" s="9"/>
      <c r="AF10926" s="10"/>
      <c r="AG10926" s="10"/>
      <c r="AH10926" s="10"/>
      <c r="AI10926" s="10"/>
    </row>
    <row r="10927" spans="28:35" ht="15" hidden="1" customHeight="1">
      <c r="AB10927" s="9"/>
      <c r="AC10927" s="9"/>
      <c r="AD10927" s="9"/>
      <c r="AF10927" s="10"/>
      <c r="AG10927" s="10"/>
      <c r="AH10927" s="10"/>
      <c r="AI10927" s="10"/>
    </row>
    <row r="10928" spans="28:35" ht="15" hidden="1" customHeight="1">
      <c r="AB10928" s="9"/>
      <c r="AC10928" s="9"/>
      <c r="AD10928" s="9"/>
      <c r="AF10928" s="10"/>
      <c r="AG10928" s="10"/>
      <c r="AH10928" s="10"/>
      <c r="AI10928" s="10"/>
    </row>
    <row r="10929" spans="28:35" ht="15" hidden="1" customHeight="1">
      <c r="AB10929" s="9"/>
      <c r="AC10929" s="9"/>
      <c r="AD10929" s="9"/>
      <c r="AF10929" s="10"/>
      <c r="AG10929" s="10"/>
      <c r="AH10929" s="10"/>
      <c r="AI10929" s="10"/>
    </row>
    <row r="10930" spans="28:35" ht="15" hidden="1" customHeight="1">
      <c r="AB10930" s="9"/>
      <c r="AC10930" s="9"/>
      <c r="AD10930" s="9"/>
      <c r="AF10930" s="10"/>
      <c r="AG10930" s="10"/>
      <c r="AH10930" s="10"/>
      <c r="AI10930" s="10"/>
    </row>
    <row r="10931" spans="28:35" ht="15" hidden="1" customHeight="1">
      <c r="AB10931" s="9"/>
      <c r="AC10931" s="9"/>
      <c r="AD10931" s="9"/>
      <c r="AF10931" s="10"/>
      <c r="AG10931" s="10"/>
      <c r="AH10931" s="10"/>
      <c r="AI10931" s="10"/>
    </row>
    <row r="10932" spans="28:35" ht="15" hidden="1" customHeight="1">
      <c r="AB10932" s="9"/>
      <c r="AC10932" s="9"/>
      <c r="AD10932" s="9"/>
      <c r="AF10932" s="10"/>
      <c r="AG10932" s="10"/>
      <c r="AH10932" s="10"/>
      <c r="AI10932" s="10"/>
    </row>
    <row r="10933" spans="28:35" ht="15" hidden="1" customHeight="1">
      <c r="AB10933" s="9"/>
      <c r="AC10933" s="9"/>
      <c r="AD10933" s="9"/>
      <c r="AF10933" s="10"/>
      <c r="AG10933" s="10"/>
      <c r="AH10933" s="10"/>
      <c r="AI10933" s="10"/>
    </row>
    <row r="10934" spans="28:35" ht="15" hidden="1" customHeight="1">
      <c r="AB10934" s="9"/>
      <c r="AC10934" s="9"/>
      <c r="AD10934" s="9"/>
      <c r="AF10934" s="10"/>
      <c r="AG10934" s="10"/>
      <c r="AH10934" s="10"/>
      <c r="AI10934" s="10"/>
    </row>
    <row r="10935" spans="28:35" ht="15" hidden="1" customHeight="1">
      <c r="AB10935" s="9"/>
      <c r="AC10935" s="9"/>
      <c r="AD10935" s="9"/>
      <c r="AF10935" s="10"/>
      <c r="AG10935" s="10"/>
      <c r="AH10935" s="10"/>
      <c r="AI10935" s="10"/>
    </row>
    <row r="10936" spans="28:35" ht="15" hidden="1" customHeight="1">
      <c r="AB10936" s="9"/>
      <c r="AC10936" s="9"/>
      <c r="AD10936" s="9"/>
      <c r="AF10936" s="10"/>
      <c r="AG10936" s="10"/>
      <c r="AH10936" s="10"/>
      <c r="AI10936" s="10"/>
    </row>
    <row r="10937" spans="28:35" ht="15" hidden="1" customHeight="1">
      <c r="AB10937" s="9"/>
      <c r="AC10937" s="9"/>
      <c r="AD10937" s="9"/>
      <c r="AF10937" s="10"/>
      <c r="AG10937" s="10"/>
      <c r="AH10937" s="10"/>
      <c r="AI10937" s="10"/>
    </row>
    <row r="10938" spans="28:35" ht="15" hidden="1" customHeight="1">
      <c r="AB10938" s="9"/>
      <c r="AC10938" s="9"/>
      <c r="AD10938" s="9"/>
      <c r="AF10938" s="10"/>
      <c r="AG10938" s="10"/>
      <c r="AH10938" s="10"/>
      <c r="AI10938" s="10"/>
    </row>
    <row r="10939" spans="28:35" ht="15" hidden="1" customHeight="1">
      <c r="AB10939" s="9"/>
      <c r="AC10939" s="9"/>
      <c r="AD10939" s="9"/>
      <c r="AF10939" s="10"/>
      <c r="AG10939" s="10"/>
      <c r="AH10939" s="10"/>
      <c r="AI10939" s="10"/>
    </row>
    <row r="10940" spans="28:35" ht="15" hidden="1" customHeight="1">
      <c r="AB10940" s="9"/>
      <c r="AC10940" s="9"/>
      <c r="AD10940" s="9"/>
      <c r="AF10940" s="10"/>
      <c r="AG10940" s="10"/>
      <c r="AH10940" s="10"/>
      <c r="AI10940" s="10"/>
    </row>
    <row r="10941" spans="28:35" ht="15" hidden="1" customHeight="1">
      <c r="AB10941" s="9"/>
      <c r="AC10941" s="9"/>
      <c r="AD10941" s="9"/>
      <c r="AF10941" s="10"/>
      <c r="AG10941" s="10"/>
      <c r="AH10941" s="10"/>
      <c r="AI10941" s="10"/>
    </row>
    <row r="10942" spans="28:35" ht="15" hidden="1" customHeight="1">
      <c r="AB10942" s="9"/>
      <c r="AC10942" s="9"/>
      <c r="AD10942" s="9"/>
      <c r="AF10942" s="10"/>
      <c r="AG10942" s="10"/>
      <c r="AH10942" s="10"/>
      <c r="AI10942" s="10"/>
    </row>
    <row r="10943" spans="28:35" ht="15" hidden="1" customHeight="1">
      <c r="AB10943" s="9"/>
      <c r="AC10943" s="9"/>
      <c r="AD10943" s="9"/>
      <c r="AF10943" s="10"/>
      <c r="AG10943" s="10"/>
      <c r="AH10943" s="10"/>
      <c r="AI10943" s="10"/>
    </row>
    <row r="10944" spans="28:35" ht="15" hidden="1" customHeight="1">
      <c r="AB10944" s="9"/>
      <c r="AC10944" s="9"/>
      <c r="AD10944" s="9"/>
      <c r="AF10944" s="10"/>
      <c r="AG10944" s="10"/>
      <c r="AH10944" s="10"/>
      <c r="AI10944" s="10"/>
    </row>
    <row r="10945" spans="28:35" ht="15" hidden="1" customHeight="1">
      <c r="AB10945" s="9"/>
      <c r="AC10945" s="9"/>
      <c r="AD10945" s="9"/>
      <c r="AF10945" s="10"/>
      <c r="AG10945" s="10"/>
      <c r="AH10945" s="10"/>
      <c r="AI10945" s="10"/>
    </row>
    <row r="10946" spans="28:35" ht="15" hidden="1" customHeight="1">
      <c r="AB10946" s="9"/>
      <c r="AC10946" s="9"/>
      <c r="AD10946" s="9"/>
      <c r="AF10946" s="10"/>
      <c r="AG10946" s="10"/>
      <c r="AH10946" s="10"/>
      <c r="AI10946" s="10"/>
    </row>
    <row r="10947" spans="28:35" ht="15" hidden="1" customHeight="1">
      <c r="AB10947" s="9"/>
      <c r="AC10947" s="9"/>
      <c r="AD10947" s="9"/>
      <c r="AF10947" s="10"/>
      <c r="AG10947" s="10"/>
      <c r="AH10947" s="10"/>
      <c r="AI10947" s="10"/>
    </row>
    <row r="10948" spans="28:35" ht="15" hidden="1" customHeight="1">
      <c r="AB10948" s="9"/>
      <c r="AC10948" s="9"/>
      <c r="AD10948" s="9"/>
      <c r="AF10948" s="10"/>
      <c r="AG10948" s="10"/>
      <c r="AH10948" s="10"/>
      <c r="AI10948" s="10"/>
    </row>
    <row r="10949" spans="28:35" ht="15" hidden="1" customHeight="1">
      <c r="AB10949" s="9"/>
      <c r="AC10949" s="9"/>
      <c r="AD10949" s="9"/>
      <c r="AF10949" s="10"/>
      <c r="AG10949" s="10"/>
      <c r="AH10949" s="10"/>
      <c r="AI10949" s="10"/>
    </row>
    <row r="10950" spans="28:35" ht="15" hidden="1" customHeight="1">
      <c r="AB10950" s="9"/>
      <c r="AC10950" s="9"/>
      <c r="AD10950" s="9"/>
      <c r="AF10950" s="10"/>
      <c r="AG10950" s="10"/>
      <c r="AH10950" s="10"/>
      <c r="AI10950" s="10"/>
    </row>
    <row r="10951" spans="28:35" ht="15" hidden="1" customHeight="1">
      <c r="AB10951" s="9"/>
      <c r="AC10951" s="9"/>
      <c r="AD10951" s="9"/>
      <c r="AF10951" s="10"/>
      <c r="AG10951" s="10"/>
      <c r="AH10951" s="10"/>
      <c r="AI10951" s="10"/>
    </row>
    <row r="10952" spans="28:35" ht="15" hidden="1" customHeight="1">
      <c r="AB10952" s="9"/>
      <c r="AC10952" s="9"/>
      <c r="AD10952" s="9"/>
      <c r="AF10952" s="10"/>
      <c r="AG10952" s="10"/>
      <c r="AH10952" s="10"/>
      <c r="AI10952" s="10"/>
    </row>
    <row r="10953" spans="28:35" ht="15" hidden="1" customHeight="1">
      <c r="AB10953" s="9"/>
      <c r="AC10953" s="9"/>
      <c r="AD10953" s="9"/>
      <c r="AF10953" s="10"/>
      <c r="AG10953" s="10"/>
      <c r="AH10953" s="10"/>
      <c r="AI10953" s="10"/>
    </row>
    <row r="10954" spans="28:35" ht="15" hidden="1" customHeight="1">
      <c r="AB10954" s="9"/>
      <c r="AC10954" s="9"/>
      <c r="AD10954" s="9"/>
      <c r="AF10954" s="10"/>
      <c r="AG10954" s="10"/>
      <c r="AH10954" s="10"/>
      <c r="AI10954" s="10"/>
    </row>
    <row r="10955" spans="28:35" ht="15" hidden="1" customHeight="1">
      <c r="AB10955" s="9"/>
      <c r="AC10955" s="9"/>
      <c r="AD10955" s="9"/>
      <c r="AF10955" s="10"/>
      <c r="AG10955" s="10"/>
      <c r="AH10955" s="10"/>
      <c r="AI10955" s="10"/>
    </row>
    <row r="10956" spans="28:35" ht="15" hidden="1" customHeight="1">
      <c r="AB10956" s="9"/>
      <c r="AC10956" s="9"/>
      <c r="AD10956" s="9"/>
      <c r="AF10956" s="10"/>
      <c r="AG10956" s="10"/>
      <c r="AH10956" s="10"/>
      <c r="AI10956" s="10"/>
    </row>
    <row r="10957" spans="28:35" ht="15" hidden="1" customHeight="1">
      <c r="AB10957" s="9"/>
      <c r="AC10957" s="9"/>
      <c r="AD10957" s="9"/>
      <c r="AF10957" s="10"/>
      <c r="AG10957" s="10"/>
      <c r="AH10957" s="10"/>
      <c r="AI10957" s="10"/>
    </row>
    <row r="10958" spans="28:35" ht="15" hidden="1" customHeight="1">
      <c r="AB10958" s="9"/>
      <c r="AC10958" s="9"/>
      <c r="AD10958" s="9"/>
      <c r="AF10958" s="10"/>
      <c r="AG10958" s="10"/>
      <c r="AH10958" s="10"/>
      <c r="AI10958" s="10"/>
    </row>
    <row r="10959" spans="28:35" ht="15" hidden="1" customHeight="1">
      <c r="AB10959" s="9"/>
      <c r="AC10959" s="9"/>
      <c r="AD10959" s="9"/>
      <c r="AF10959" s="10"/>
      <c r="AG10959" s="10"/>
      <c r="AH10959" s="10"/>
      <c r="AI10959" s="10"/>
    </row>
    <row r="10960" spans="28:35" ht="15" hidden="1" customHeight="1">
      <c r="AB10960" s="9"/>
      <c r="AC10960" s="9"/>
      <c r="AD10960" s="9"/>
      <c r="AF10960" s="10"/>
      <c r="AG10960" s="10"/>
      <c r="AH10960" s="10"/>
      <c r="AI10960" s="10"/>
    </row>
    <row r="10961" spans="28:35" ht="15" hidden="1" customHeight="1">
      <c r="AB10961" s="9"/>
      <c r="AC10961" s="9"/>
      <c r="AD10961" s="9"/>
      <c r="AF10961" s="10"/>
      <c r="AG10961" s="10"/>
      <c r="AH10961" s="10"/>
      <c r="AI10961" s="10"/>
    </row>
    <row r="10962" spans="28:35" ht="15" hidden="1" customHeight="1">
      <c r="AB10962" s="9"/>
      <c r="AC10962" s="9"/>
      <c r="AD10962" s="9"/>
      <c r="AF10962" s="10"/>
      <c r="AG10962" s="10"/>
      <c r="AH10962" s="10"/>
      <c r="AI10962" s="10"/>
    </row>
    <row r="10963" spans="28:35" ht="15" hidden="1" customHeight="1">
      <c r="AB10963" s="9"/>
      <c r="AC10963" s="9"/>
      <c r="AD10963" s="9"/>
      <c r="AF10963" s="10"/>
      <c r="AG10963" s="10"/>
      <c r="AH10963" s="10"/>
      <c r="AI10963" s="10"/>
    </row>
    <row r="10964" spans="28:35" ht="15" hidden="1" customHeight="1">
      <c r="AB10964" s="9"/>
      <c r="AC10964" s="9"/>
      <c r="AD10964" s="9"/>
      <c r="AF10964" s="10"/>
      <c r="AG10964" s="10"/>
      <c r="AH10964" s="10"/>
      <c r="AI10964" s="10"/>
    </row>
    <row r="10965" spans="28:35" ht="15" hidden="1" customHeight="1">
      <c r="AB10965" s="9"/>
      <c r="AC10965" s="9"/>
      <c r="AD10965" s="9"/>
      <c r="AF10965" s="10"/>
      <c r="AG10965" s="10"/>
      <c r="AH10965" s="10"/>
      <c r="AI10965" s="10"/>
    </row>
    <row r="10966" spans="28:35" ht="15" hidden="1" customHeight="1">
      <c r="AB10966" s="9"/>
      <c r="AC10966" s="9"/>
      <c r="AD10966" s="9"/>
      <c r="AF10966" s="10"/>
      <c r="AG10966" s="10"/>
      <c r="AH10966" s="10"/>
      <c r="AI10966" s="10"/>
    </row>
    <row r="10967" spans="28:35" ht="15" hidden="1" customHeight="1">
      <c r="AB10967" s="9"/>
      <c r="AC10967" s="9"/>
      <c r="AD10967" s="9"/>
      <c r="AF10967" s="10"/>
      <c r="AG10967" s="10"/>
      <c r="AH10967" s="10"/>
      <c r="AI10967" s="10"/>
    </row>
    <row r="10968" spans="28:35" ht="15" hidden="1" customHeight="1">
      <c r="AB10968" s="9"/>
      <c r="AC10968" s="9"/>
      <c r="AD10968" s="9"/>
      <c r="AF10968" s="10"/>
      <c r="AG10968" s="10"/>
      <c r="AH10968" s="10"/>
      <c r="AI10968" s="10"/>
    </row>
    <row r="10969" spans="28:35" ht="15" hidden="1" customHeight="1">
      <c r="AB10969" s="9"/>
      <c r="AC10969" s="9"/>
      <c r="AD10969" s="9"/>
      <c r="AF10969" s="10"/>
      <c r="AG10969" s="10"/>
      <c r="AH10969" s="10"/>
      <c r="AI10969" s="10"/>
    </row>
    <row r="10970" spans="28:35" ht="15" hidden="1" customHeight="1">
      <c r="AB10970" s="9"/>
      <c r="AC10970" s="9"/>
      <c r="AD10970" s="9"/>
      <c r="AF10970" s="10"/>
      <c r="AG10970" s="10"/>
      <c r="AH10970" s="10"/>
      <c r="AI10970" s="10"/>
    </row>
    <row r="10971" spans="28:35" ht="15" hidden="1" customHeight="1">
      <c r="AB10971" s="9"/>
      <c r="AC10971" s="9"/>
      <c r="AD10971" s="9"/>
      <c r="AF10971" s="10"/>
      <c r="AG10971" s="10"/>
      <c r="AH10971" s="10"/>
      <c r="AI10971" s="10"/>
    </row>
    <row r="10972" spans="28:35" ht="15" hidden="1" customHeight="1">
      <c r="AB10972" s="9"/>
      <c r="AC10972" s="9"/>
      <c r="AD10972" s="9"/>
      <c r="AF10972" s="10"/>
      <c r="AG10972" s="10"/>
      <c r="AH10972" s="10"/>
      <c r="AI10972" s="10"/>
    </row>
    <row r="10973" spans="28:35" ht="15" hidden="1" customHeight="1">
      <c r="AB10973" s="9"/>
      <c r="AC10973" s="9"/>
      <c r="AD10973" s="9"/>
      <c r="AF10973" s="10"/>
      <c r="AG10973" s="10"/>
      <c r="AH10973" s="10"/>
      <c r="AI10973" s="10"/>
    </row>
    <row r="10974" spans="28:35" ht="15" hidden="1" customHeight="1">
      <c r="AB10974" s="9"/>
      <c r="AC10974" s="9"/>
      <c r="AD10974" s="9"/>
      <c r="AF10974" s="10"/>
      <c r="AG10974" s="10"/>
      <c r="AH10974" s="10"/>
      <c r="AI10974" s="10"/>
    </row>
    <row r="10975" spans="28:35" ht="15" hidden="1" customHeight="1">
      <c r="AB10975" s="9"/>
      <c r="AC10975" s="9"/>
      <c r="AD10975" s="9"/>
      <c r="AF10975" s="10"/>
      <c r="AG10975" s="10"/>
      <c r="AH10975" s="10"/>
      <c r="AI10975" s="10"/>
    </row>
    <row r="10976" spans="28:35" ht="15" hidden="1" customHeight="1">
      <c r="AB10976" s="9"/>
      <c r="AC10976" s="9"/>
      <c r="AD10976" s="9"/>
      <c r="AF10976" s="10"/>
      <c r="AG10976" s="10"/>
      <c r="AH10976" s="10"/>
      <c r="AI10976" s="10"/>
    </row>
    <row r="10977" spans="28:35" ht="15" hidden="1" customHeight="1">
      <c r="AB10977" s="9"/>
      <c r="AC10977" s="9"/>
      <c r="AD10977" s="9"/>
      <c r="AF10977" s="10"/>
      <c r="AG10977" s="10"/>
      <c r="AH10977" s="10"/>
      <c r="AI10977" s="10"/>
    </row>
    <row r="10978" spans="28:35" ht="15" hidden="1" customHeight="1">
      <c r="AB10978" s="9"/>
      <c r="AC10978" s="9"/>
      <c r="AD10978" s="9"/>
      <c r="AF10978" s="10"/>
      <c r="AG10978" s="10"/>
      <c r="AH10978" s="10"/>
      <c r="AI10978" s="10"/>
    </row>
    <row r="10979" spans="28:35" ht="15" hidden="1" customHeight="1">
      <c r="AB10979" s="9"/>
      <c r="AC10979" s="9"/>
      <c r="AD10979" s="9"/>
      <c r="AF10979" s="10"/>
      <c r="AG10979" s="10"/>
      <c r="AH10979" s="10"/>
      <c r="AI10979" s="10"/>
    </row>
    <row r="10980" spans="28:35" ht="15" hidden="1" customHeight="1">
      <c r="AB10980" s="9"/>
      <c r="AC10980" s="9"/>
      <c r="AD10980" s="9"/>
      <c r="AF10980" s="10"/>
      <c r="AG10980" s="10"/>
      <c r="AH10980" s="10"/>
      <c r="AI10980" s="10"/>
    </row>
    <row r="10981" spans="28:35" ht="15" hidden="1" customHeight="1">
      <c r="AB10981" s="9"/>
      <c r="AC10981" s="9"/>
      <c r="AD10981" s="9"/>
      <c r="AF10981" s="10"/>
      <c r="AG10981" s="10"/>
      <c r="AH10981" s="10"/>
      <c r="AI10981" s="10"/>
    </row>
    <row r="10982" spans="28:35" ht="15" hidden="1" customHeight="1">
      <c r="AB10982" s="9"/>
      <c r="AC10982" s="9"/>
      <c r="AD10982" s="9"/>
      <c r="AF10982" s="10"/>
      <c r="AG10982" s="10"/>
      <c r="AH10982" s="10"/>
      <c r="AI10982" s="10"/>
    </row>
    <row r="10983" spans="28:35" ht="15" hidden="1" customHeight="1">
      <c r="AB10983" s="9"/>
      <c r="AC10983" s="9"/>
      <c r="AD10983" s="9"/>
      <c r="AF10983" s="10"/>
      <c r="AG10983" s="10"/>
      <c r="AH10983" s="10"/>
      <c r="AI10983" s="10"/>
    </row>
    <row r="10984" spans="28:35" ht="15" hidden="1" customHeight="1">
      <c r="AB10984" s="9"/>
      <c r="AC10984" s="9"/>
      <c r="AD10984" s="9"/>
      <c r="AF10984" s="10"/>
      <c r="AG10984" s="10"/>
      <c r="AH10984" s="10"/>
      <c r="AI10984" s="10"/>
    </row>
    <row r="10985" spans="28:35" ht="15" hidden="1" customHeight="1">
      <c r="AB10985" s="9"/>
      <c r="AC10985" s="9"/>
      <c r="AD10985" s="9"/>
      <c r="AF10985" s="10"/>
      <c r="AG10985" s="10"/>
      <c r="AH10985" s="10"/>
      <c r="AI10985" s="10"/>
    </row>
    <row r="10986" spans="28:35" ht="15" hidden="1" customHeight="1">
      <c r="AB10986" s="9"/>
      <c r="AC10986" s="9"/>
      <c r="AD10986" s="9"/>
      <c r="AF10986" s="10"/>
      <c r="AG10986" s="10"/>
      <c r="AH10986" s="10"/>
      <c r="AI10986" s="10"/>
    </row>
    <row r="10987" spans="28:35" ht="15" hidden="1" customHeight="1">
      <c r="AB10987" s="9"/>
      <c r="AC10987" s="9"/>
      <c r="AD10987" s="9"/>
      <c r="AF10987" s="10"/>
      <c r="AG10987" s="10"/>
      <c r="AH10987" s="10"/>
      <c r="AI10987" s="10"/>
    </row>
    <row r="10988" spans="28:35" ht="15" hidden="1" customHeight="1">
      <c r="AB10988" s="9"/>
      <c r="AC10988" s="9"/>
      <c r="AD10988" s="9"/>
      <c r="AF10988" s="10"/>
      <c r="AG10988" s="10"/>
      <c r="AH10988" s="10"/>
      <c r="AI10988" s="10"/>
    </row>
    <row r="10989" spans="28:35" ht="15" hidden="1" customHeight="1">
      <c r="AB10989" s="9"/>
      <c r="AC10989" s="9"/>
      <c r="AD10989" s="9"/>
      <c r="AF10989" s="10"/>
      <c r="AG10989" s="10"/>
      <c r="AH10989" s="10"/>
      <c r="AI10989" s="10"/>
    </row>
    <row r="10990" spans="28:35" ht="15" hidden="1" customHeight="1">
      <c r="AB10990" s="9"/>
      <c r="AC10990" s="9"/>
      <c r="AD10990" s="9"/>
      <c r="AF10990" s="10"/>
      <c r="AG10990" s="10"/>
      <c r="AH10990" s="10"/>
      <c r="AI10990" s="10"/>
    </row>
    <row r="10991" spans="28:35" ht="15" hidden="1" customHeight="1">
      <c r="AB10991" s="9"/>
      <c r="AC10991" s="9"/>
      <c r="AD10991" s="9"/>
      <c r="AF10991" s="10"/>
      <c r="AG10991" s="10"/>
      <c r="AH10991" s="10"/>
      <c r="AI10991" s="10"/>
    </row>
    <row r="10992" spans="28:35" ht="15" hidden="1" customHeight="1">
      <c r="AB10992" s="9"/>
      <c r="AC10992" s="9"/>
      <c r="AD10992" s="9"/>
      <c r="AF10992" s="10"/>
      <c r="AG10992" s="10"/>
      <c r="AH10992" s="10"/>
      <c r="AI10992" s="10"/>
    </row>
    <row r="10993" spans="28:35" ht="15" hidden="1" customHeight="1">
      <c r="AB10993" s="9"/>
      <c r="AC10993" s="9"/>
      <c r="AD10993" s="9"/>
      <c r="AF10993" s="10"/>
      <c r="AG10993" s="10"/>
      <c r="AH10993" s="10"/>
      <c r="AI10993" s="10"/>
    </row>
    <row r="10994" spans="28:35" ht="15" hidden="1" customHeight="1">
      <c r="AB10994" s="9"/>
      <c r="AC10994" s="9"/>
      <c r="AD10994" s="9"/>
      <c r="AF10994" s="10"/>
      <c r="AG10994" s="10"/>
      <c r="AH10994" s="10"/>
      <c r="AI10994" s="10"/>
    </row>
    <row r="10995" spans="28:35" ht="15" hidden="1" customHeight="1">
      <c r="AB10995" s="9"/>
      <c r="AC10995" s="9"/>
      <c r="AD10995" s="9"/>
      <c r="AF10995" s="10"/>
      <c r="AG10995" s="10"/>
      <c r="AH10995" s="10"/>
      <c r="AI10995" s="10"/>
    </row>
    <row r="10996" spans="28:35" ht="15" hidden="1" customHeight="1">
      <c r="AB10996" s="9"/>
      <c r="AC10996" s="9"/>
      <c r="AD10996" s="9"/>
      <c r="AF10996" s="10"/>
      <c r="AG10996" s="10"/>
      <c r="AH10996" s="10"/>
      <c r="AI10996" s="10"/>
    </row>
    <row r="10997" spans="28:35" ht="15" hidden="1" customHeight="1">
      <c r="AB10997" s="9"/>
      <c r="AC10997" s="9"/>
      <c r="AD10997" s="9"/>
      <c r="AF10997" s="10"/>
      <c r="AG10997" s="10"/>
      <c r="AH10997" s="10"/>
      <c r="AI10997" s="10"/>
    </row>
    <row r="10998" spans="28:35" ht="15" hidden="1" customHeight="1">
      <c r="AB10998" s="9"/>
      <c r="AC10998" s="9"/>
      <c r="AD10998" s="9"/>
      <c r="AF10998" s="10"/>
      <c r="AG10998" s="10"/>
      <c r="AH10998" s="10"/>
      <c r="AI10998" s="10"/>
    </row>
    <row r="10999" spans="28:35" ht="15" hidden="1" customHeight="1">
      <c r="AB10999" s="9"/>
      <c r="AC10999" s="9"/>
      <c r="AD10999" s="9"/>
      <c r="AF10999" s="10"/>
      <c r="AG10999" s="10"/>
      <c r="AH10999" s="10"/>
      <c r="AI10999" s="10"/>
    </row>
    <row r="11000" spans="28:35" ht="15" hidden="1" customHeight="1">
      <c r="AB11000" s="9"/>
      <c r="AC11000" s="9"/>
      <c r="AD11000" s="9"/>
      <c r="AF11000" s="10"/>
      <c r="AG11000" s="10"/>
      <c r="AH11000" s="10"/>
      <c r="AI11000" s="10"/>
    </row>
    <row r="11001" spans="28:35" ht="15" hidden="1" customHeight="1">
      <c r="AB11001" s="9"/>
      <c r="AC11001" s="9"/>
      <c r="AD11001" s="9"/>
      <c r="AF11001" s="10"/>
      <c r="AG11001" s="10"/>
      <c r="AH11001" s="10"/>
      <c r="AI11001" s="10"/>
    </row>
    <row r="11002" spans="28:35" ht="15" hidden="1" customHeight="1">
      <c r="AB11002" s="9"/>
      <c r="AC11002" s="9"/>
      <c r="AD11002" s="9"/>
      <c r="AF11002" s="10"/>
      <c r="AG11002" s="10"/>
      <c r="AH11002" s="10"/>
      <c r="AI11002" s="10"/>
    </row>
    <row r="11003" spans="28:35" ht="15" hidden="1" customHeight="1">
      <c r="AB11003" s="9"/>
      <c r="AC11003" s="9"/>
      <c r="AD11003" s="9"/>
      <c r="AF11003" s="10"/>
      <c r="AG11003" s="10"/>
      <c r="AH11003" s="10"/>
      <c r="AI11003" s="10"/>
    </row>
    <row r="11004" spans="28:35" ht="15" hidden="1" customHeight="1">
      <c r="AB11004" s="9"/>
      <c r="AC11004" s="9"/>
      <c r="AD11004" s="9"/>
      <c r="AF11004" s="10"/>
      <c r="AG11004" s="10"/>
      <c r="AH11004" s="10"/>
      <c r="AI11004" s="10"/>
    </row>
    <row r="11005" spans="28:35" ht="15" hidden="1" customHeight="1">
      <c r="AB11005" s="9"/>
      <c r="AC11005" s="9"/>
      <c r="AD11005" s="9"/>
      <c r="AF11005" s="10"/>
      <c r="AG11005" s="10"/>
      <c r="AH11005" s="10"/>
      <c r="AI11005" s="10"/>
    </row>
    <row r="11006" spans="28:35" ht="15" hidden="1" customHeight="1">
      <c r="AB11006" s="9"/>
      <c r="AC11006" s="9"/>
      <c r="AD11006" s="9"/>
      <c r="AF11006" s="10"/>
      <c r="AG11006" s="10"/>
      <c r="AH11006" s="10"/>
      <c r="AI11006" s="10"/>
    </row>
    <row r="11007" spans="28:35" ht="15" hidden="1" customHeight="1">
      <c r="AB11007" s="9"/>
      <c r="AC11007" s="9"/>
      <c r="AD11007" s="9"/>
      <c r="AF11007" s="10"/>
      <c r="AG11007" s="10"/>
      <c r="AH11007" s="10"/>
      <c r="AI11007" s="10"/>
    </row>
    <row r="11008" spans="28:35" ht="15" hidden="1" customHeight="1">
      <c r="AB11008" s="9"/>
      <c r="AC11008" s="9"/>
      <c r="AD11008" s="9"/>
      <c r="AF11008" s="10"/>
      <c r="AG11008" s="10"/>
      <c r="AH11008" s="10"/>
      <c r="AI11008" s="10"/>
    </row>
    <row r="11009" spans="28:35" ht="15" hidden="1" customHeight="1">
      <c r="AB11009" s="9"/>
      <c r="AC11009" s="9"/>
      <c r="AD11009" s="9"/>
      <c r="AF11009" s="10"/>
      <c r="AG11009" s="10"/>
      <c r="AH11009" s="10"/>
      <c r="AI11009" s="10"/>
    </row>
    <row r="11010" spans="28:35" ht="15" hidden="1" customHeight="1">
      <c r="AB11010" s="9"/>
      <c r="AC11010" s="9"/>
      <c r="AD11010" s="9"/>
      <c r="AF11010" s="10"/>
      <c r="AG11010" s="10"/>
      <c r="AH11010" s="10"/>
      <c r="AI11010" s="10"/>
    </row>
    <row r="11011" spans="28:35" ht="15" hidden="1" customHeight="1">
      <c r="AB11011" s="9"/>
      <c r="AC11011" s="9"/>
      <c r="AD11011" s="9"/>
      <c r="AF11011" s="10"/>
      <c r="AG11011" s="10"/>
      <c r="AH11011" s="10"/>
      <c r="AI11011" s="10"/>
    </row>
    <row r="11012" spans="28:35" ht="15" hidden="1" customHeight="1">
      <c r="AB11012" s="9"/>
      <c r="AC11012" s="9"/>
      <c r="AD11012" s="9"/>
      <c r="AF11012" s="10"/>
      <c r="AG11012" s="10"/>
      <c r="AH11012" s="10"/>
      <c r="AI11012" s="10"/>
    </row>
    <row r="11013" spans="28:35" ht="15" hidden="1" customHeight="1">
      <c r="AB11013" s="9"/>
      <c r="AC11013" s="9"/>
      <c r="AD11013" s="9"/>
      <c r="AF11013" s="10"/>
      <c r="AG11013" s="10"/>
      <c r="AH11013" s="10"/>
      <c r="AI11013" s="10"/>
    </row>
    <row r="11014" spans="28:35" ht="15" hidden="1" customHeight="1">
      <c r="AB11014" s="9"/>
      <c r="AC11014" s="9"/>
      <c r="AD11014" s="9"/>
      <c r="AF11014" s="10"/>
      <c r="AG11014" s="10"/>
      <c r="AH11014" s="10"/>
      <c r="AI11014" s="10"/>
    </row>
    <row r="11015" spans="28:35" ht="15" hidden="1" customHeight="1">
      <c r="AB11015" s="9"/>
      <c r="AC11015" s="9"/>
      <c r="AD11015" s="9"/>
      <c r="AF11015" s="10"/>
      <c r="AG11015" s="10"/>
      <c r="AH11015" s="10"/>
      <c r="AI11015" s="10"/>
    </row>
    <row r="11016" spans="28:35" ht="15" hidden="1" customHeight="1">
      <c r="AB11016" s="9"/>
      <c r="AC11016" s="9"/>
      <c r="AD11016" s="9"/>
      <c r="AF11016" s="10"/>
      <c r="AG11016" s="10"/>
      <c r="AH11016" s="10"/>
      <c r="AI11016" s="10"/>
    </row>
    <row r="11017" spans="28:35" ht="15" hidden="1" customHeight="1">
      <c r="AB11017" s="9"/>
      <c r="AC11017" s="9"/>
      <c r="AD11017" s="9"/>
      <c r="AF11017" s="10"/>
      <c r="AG11017" s="10"/>
      <c r="AH11017" s="10"/>
      <c r="AI11017" s="10"/>
    </row>
    <row r="11018" spans="28:35" ht="15" hidden="1" customHeight="1">
      <c r="AB11018" s="9"/>
      <c r="AC11018" s="9"/>
      <c r="AD11018" s="9"/>
      <c r="AF11018" s="10"/>
      <c r="AG11018" s="10"/>
      <c r="AH11018" s="10"/>
      <c r="AI11018" s="10"/>
    </row>
    <row r="11019" spans="28:35" ht="15" hidden="1" customHeight="1">
      <c r="AB11019" s="9"/>
      <c r="AC11019" s="9"/>
      <c r="AD11019" s="9"/>
      <c r="AF11019" s="10"/>
      <c r="AG11019" s="10"/>
      <c r="AH11019" s="10"/>
      <c r="AI11019" s="10"/>
    </row>
    <row r="11020" spans="28:35" ht="15" hidden="1" customHeight="1">
      <c r="AB11020" s="9"/>
      <c r="AC11020" s="9"/>
      <c r="AD11020" s="9"/>
      <c r="AF11020" s="10"/>
      <c r="AG11020" s="10"/>
      <c r="AH11020" s="10"/>
      <c r="AI11020" s="10"/>
    </row>
    <row r="11021" spans="28:35" ht="15" hidden="1" customHeight="1">
      <c r="AB11021" s="9"/>
      <c r="AC11021" s="9"/>
      <c r="AD11021" s="9"/>
      <c r="AF11021" s="10"/>
      <c r="AG11021" s="10"/>
      <c r="AH11021" s="10"/>
      <c r="AI11021" s="10"/>
    </row>
    <row r="11022" spans="28:35" ht="15" hidden="1" customHeight="1">
      <c r="AB11022" s="9"/>
      <c r="AC11022" s="9"/>
      <c r="AD11022" s="9"/>
      <c r="AF11022" s="10"/>
      <c r="AG11022" s="10"/>
      <c r="AH11022" s="10"/>
      <c r="AI11022" s="10"/>
    </row>
    <row r="11023" spans="28:35" ht="15" hidden="1" customHeight="1">
      <c r="AB11023" s="9"/>
      <c r="AC11023" s="9"/>
      <c r="AD11023" s="9"/>
      <c r="AF11023" s="10"/>
      <c r="AG11023" s="10"/>
      <c r="AH11023" s="10"/>
      <c r="AI11023" s="10"/>
    </row>
    <row r="11024" spans="28:35" ht="15" hidden="1" customHeight="1">
      <c r="AB11024" s="9"/>
      <c r="AC11024" s="9"/>
      <c r="AD11024" s="9"/>
      <c r="AF11024" s="10"/>
      <c r="AG11024" s="10"/>
      <c r="AH11024" s="10"/>
      <c r="AI11024" s="10"/>
    </row>
    <row r="11025" spans="28:35" ht="15" hidden="1" customHeight="1">
      <c r="AB11025" s="9"/>
      <c r="AC11025" s="9"/>
      <c r="AD11025" s="9"/>
      <c r="AF11025" s="10"/>
      <c r="AG11025" s="10"/>
      <c r="AH11025" s="10"/>
      <c r="AI11025" s="10"/>
    </row>
    <row r="11026" spans="28:35" ht="15" hidden="1" customHeight="1">
      <c r="AB11026" s="9"/>
      <c r="AC11026" s="9"/>
      <c r="AD11026" s="9"/>
      <c r="AF11026" s="10"/>
      <c r="AG11026" s="10"/>
      <c r="AH11026" s="10"/>
      <c r="AI11026" s="10"/>
    </row>
    <row r="11027" spans="28:35" ht="15" hidden="1" customHeight="1">
      <c r="AB11027" s="9"/>
      <c r="AC11027" s="9"/>
      <c r="AD11027" s="9"/>
      <c r="AF11027" s="10"/>
      <c r="AG11027" s="10"/>
      <c r="AH11027" s="10"/>
      <c r="AI11027" s="10"/>
    </row>
    <row r="11028" spans="28:35" ht="15" hidden="1" customHeight="1">
      <c r="AB11028" s="9"/>
      <c r="AC11028" s="9"/>
      <c r="AD11028" s="9"/>
      <c r="AF11028" s="10"/>
      <c r="AG11028" s="10"/>
      <c r="AH11028" s="10"/>
      <c r="AI11028" s="10"/>
    </row>
    <row r="11029" spans="28:35" ht="15" hidden="1" customHeight="1">
      <c r="AB11029" s="9"/>
      <c r="AC11029" s="9"/>
      <c r="AD11029" s="9"/>
      <c r="AF11029" s="10"/>
      <c r="AG11029" s="10"/>
      <c r="AH11029" s="10"/>
      <c r="AI11029" s="10"/>
    </row>
    <row r="11030" spans="28:35" ht="15" hidden="1" customHeight="1">
      <c r="AB11030" s="9"/>
      <c r="AC11030" s="9"/>
      <c r="AD11030" s="9"/>
      <c r="AF11030" s="10"/>
      <c r="AG11030" s="10"/>
      <c r="AH11030" s="10"/>
      <c r="AI11030" s="10"/>
    </row>
    <row r="11031" spans="28:35" ht="15" hidden="1" customHeight="1">
      <c r="AB11031" s="9"/>
      <c r="AC11031" s="9"/>
      <c r="AD11031" s="9"/>
      <c r="AF11031" s="10"/>
      <c r="AG11031" s="10"/>
      <c r="AH11031" s="10"/>
      <c r="AI11031" s="10"/>
    </row>
    <row r="11032" spans="28:35" ht="15" hidden="1" customHeight="1">
      <c r="AB11032" s="9"/>
      <c r="AC11032" s="9"/>
      <c r="AD11032" s="9"/>
      <c r="AF11032" s="10"/>
      <c r="AG11032" s="10"/>
      <c r="AH11032" s="10"/>
      <c r="AI11032" s="10"/>
    </row>
    <row r="11033" spans="28:35" ht="15" hidden="1" customHeight="1">
      <c r="AB11033" s="9"/>
      <c r="AC11033" s="9"/>
      <c r="AD11033" s="9"/>
      <c r="AF11033" s="10"/>
      <c r="AG11033" s="10"/>
      <c r="AH11033" s="10"/>
      <c r="AI11033" s="10"/>
    </row>
    <row r="11034" spans="28:35" ht="15" hidden="1" customHeight="1">
      <c r="AB11034" s="9"/>
      <c r="AC11034" s="9"/>
      <c r="AD11034" s="9"/>
      <c r="AF11034" s="10"/>
      <c r="AG11034" s="10"/>
      <c r="AH11034" s="10"/>
      <c r="AI11034" s="10"/>
    </row>
    <row r="11035" spans="28:35" ht="15" hidden="1" customHeight="1">
      <c r="AB11035" s="9"/>
      <c r="AC11035" s="9"/>
      <c r="AD11035" s="9"/>
      <c r="AF11035" s="10"/>
      <c r="AG11035" s="10"/>
      <c r="AH11035" s="10"/>
      <c r="AI11035" s="10"/>
    </row>
    <row r="11036" spans="28:35" ht="15" hidden="1" customHeight="1">
      <c r="AB11036" s="9"/>
      <c r="AC11036" s="9"/>
      <c r="AD11036" s="9"/>
      <c r="AF11036" s="10"/>
      <c r="AG11036" s="10"/>
      <c r="AH11036" s="10"/>
      <c r="AI11036" s="10"/>
    </row>
    <row r="11037" spans="28:35" ht="15" hidden="1" customHeight="1">
      <c r="AB11037" s="9"/>
      <c r="AC11037" s="9"/>
      <c r="AD11037" s="9"/>
      <c r="AF11037" s="10"/>
      <c r="AG11037" s="10"/>
      <c r="AH11037" s="10"/>
      <c r="AI11037" s="10"/>
    </row>
    <row r="11038" spans="28:35" ht="15" hidden="1" customHeight="1">
      <c r="AB11038" s="9"/>
      <c r="AC11038" s="9"/>
      <c r="AD11038" s="9"/>
      <c r="AF11038" s="10"/>
      <c r="AG11038" s="10"/>
      <c r="AH11038" s="10"/>
      <c r="AI11038" s="10"/>
    </row>
    <row r="11039" spans="28:35" ht="15" hidden="1" customHeight="1">
      <c r="AB11039" s="9"/>
      <c r="AC11039" s="9"/>
      <c r="AD11039" s="9"/>
      <c r="AF11039" s="10"/>
      <c r="AG11039" s="10"/>
      <c r="AH11039" s="10"/>
      <c r="AI11039" s="10"/>
    </row>
    <row r="11040" spans="28:35" ht="15" hidden="1" customHeight="1">
      <c r="AB11040" s="9"/>
      <c r="AC11040" s="9"/>
      <c r="AD11040" s="9"/>
      <c r="AF11040" s="10"/>
      <c r="AG11040" s="10"/>
      <c r="AH11040" s="10"/>
      <c r="AI11040" s="10"/>
    </row>
    <row r="11041" spans="28:35" ht="15" hidden="1" customHeight="1">
      <c r="AB11041" s="9"/>
      <c r="AC11041" s="9"/>
      <c r="AD11041" s="9"/>
      <c r="AF11041" s="10"/>
      <c r="AG11041" s="10"/>
      <c r="AH11041" s="10"/>
      <c r="AI11041" s="10"/>
    </row>
    <row r="11042" spans="28:35" ht="15" hidden="1" customHeight="1">
      <c r="AB11042" s="9"/>
      <c r="AC11042" s="9"/>
      <c r="AD11042" s="9"/>
      <c r="AF11042" s="10"/>
      <c r="AG11042" s="10"/>
      <c r="AH11042" s="10"/>
      <c r="AI11042" s="10"/>
    </row>
    <row r="11043" spans="28:35" ht="15" hidden="1" customHeight="1">
      <c r="AB11043" s="9"/>
      <c r="AC11043" s="9"/>
      <c r="AD11043" s="9"/>
      <c r="AF11043" s="10"/>
      <c r="AG11043" s="10"/>
      <c r="AH11043" s="10"/>
      <c r="AI11043" s="10"/>
    </row>
    <row r="11044" spans="28:35" ht="15" hidden="1" customHeight="1">
      <c r="AB11044" s="9"/>
      <c r="AC11044" s="9"/>
      <c r="AD11044" s="9"/>
      <c r="AF11044" s="10"/>
      <c r="AG11044" s="10"/>
      <c r="AH11044" s="10"/>
      <c r="AI11044" s="10"/>
    </row>
    <row r="11045" spans="28:35" ht="15" hidden="1" customHeight="1">
      <c r="AB11045" s="9"/>
      <c r="AC11045" s="9"/>
      <c r="AD11045" s="9"/>
      <c r="AF11045" s="10"/>
      <c r="AG11045" s="10"/>
      <c r="AH11045" s="10"/>
      <c r="AI11045" s="10"/>
    </row>
    <row r="11046" spans="28:35" ht="15" hidden="1" customHeight="1">
      <c r="AB11046" s="9"/>
      <c r="AC11046" s="9"/>
      <c r="AD11046" s="9"/>
      <c r="AF11046" s="10"/>
      <c r="AG11046" s="10"/>
      <c r="AH11046" s="10"/>
      <c r="AI11046" s="10"/>
    </row>
    <row r="11047" spans="28:35" ht="15" hidden="1" customHeight="1">
      <c r="AB11047" s="9"/>
      <c r="AC11047" s="9"/>
      <c r="AD11047" s="9"/>
      <c r="AF11047" s="10"/>
      <c r="AG11047" s="10"/>
      <c r="AH11047" s="10"/>
      <c r="AI11047" s="10"/>
    </row>
    <row r="11048" spans="28:35" ht="15" hidden="1" customHeight="1">
      <c r="AB11048" s="9"/>
      <c r="AC11048" s="9"/>
      <c r="AD11048" s="9"/>
      <c r="AF11048" s="10"/>
      <c r="AG11048" s="10"/>
      <c r="AH11048" s="10"/>
      <c r="AI11048" s="10"/>
    </row>
    <row r="11049" spans="28:35" ht="15" hidden="1" customHeight="1">
      <c r="AB11049" s="9"/>
      <c r="AC11049" s="9"/>
      <c r="AD11049" s="9"/>
      <c r="AF11049" s="10"/>
      <c r="AG11049" s="10"/>
      <c r="AH11049" s="10"/>
      <c r="AI11049" s="10"/>
    </row>
    <row r="11050" spans="28:35" ht="15" hidden="1" customHeight="1">
      <c r="AB11050" s="9"/>
      <c r="AC11050" s="9"/>
      <c r="AD11050" s="9"/>
      <c r="AF11050" s="10"/>
      <c r="AG11050" s="10"/>
      <c r="AH11050" s="10"/>
      <c r="AI11050" s="10"/>
    </row>
    <row r="11051" spans="28:35" ht="15" hidden="1" customHeight="1">
      <c r="AB11051" s="9"/>
      <c r="AC11051" s="9"/>
      <c r="AD11051" s="9"/>
      <c r="AF11051" s="10"/>
      <c r="AG11051" s="10"/>
      <c r="AH11051" s="10"/>
      <c r="AI11051" s="10"/>
    </row>
    <row r="11052" spans="28:35" ht="15" hidden="1" customHeight="1">
      <c r="AB11052" s="9"/>
      <c r="AC11052" s="9"/>
      <c r="AD11052" s="9"/>
      <c r="AF11052" s="10"/>
      <c r="AG11052" s="10"/>
      <c r="AH11052" s="10"/>
      <c r="AI11052" s="10"/>
    </row>
    <row r="11053" spans="28:35" ht="15" hidden="1" customHeight="1">
      <c r="AB11053" s="9"/>
      <c r="AC11053" s="9"/>
      <c r="AD11053" s="9"/>
      <c r="AF11053" s="10"/>
      <c r="AG11053" s="10"/>
      <c r="AH11053" s="10"/>
      <c r="AI11053" s="10"/>
    </row>
    <row r="11054" spans="28:35" ht="15" hidden="1" customHeight="1">
      <c r="AB11054" s="9"/>
      <c r="AC11054" s="9"/>
      <c r="AD11054" s="9"/>
      <c r="AF11054" s="10"/>
      <c r="AG11054" s="10"/>
      <c r="AH11054" s="10"/>
      <c r="AI11054" s="10"/>
    </row>
    <row r="11055" spans="28:35" ht="15" hidden="1" customHeight="1">
      <c r="AB11055" s="9"/>
      <c r="AC11055" s="9"/>
      <c r="AD11055" s="9"/>
      <c r="AF11055" s="10"/>
      <c r="AG11055" s="10"/>
      <c r="AH11055" s="10"/>
      <c r="AI11055" s="10"/>
    </row>
    <row r="11056" spans="28:35" ht="15" hidden="1" customHeight="1">
      <c r="AB11056" s="9"/>
      <c r="AC11056" s="9"/>
      <c r="AD11056" s="9"/>
      <c r="AF11056" s="10"/>
      <c r="AG11056" s="10"/>
      <c r="AH11056" s="10"/>
      <c r="AI11056" s="10"/>
    </row>
    <row r="11057" spans="28:35" ht="15" hidden="1" customHeight="1">
      <c r="AB11057" s="9"/>
      <c r="AC11057" s="9"/>
      <c r="AD11057" s="9"/>
      <c r="AF11057" s="10"/>
      <c r="AG11057" s="10"/>
      <c r="AH11057" s="10"/>
      <c r="AI11057" s="10"/>
    </row>
    <row r="11058" spans="28:35" ht="15" hidden="1" customHeight="1">
      <c r="AB11058" s="9"/>
      <c r="AC11058" s="9"/>
      <c r="AD11058" s="9"/>
      <c r="AF11058" s="10"/>
      <c r="AG11058" s="10"/>
      <c r="AH11058" s="10"/>
      <c r="AI11058" s="10"/>
    </row>
    <row r="11059" spans="28:35" ht="15" hidden="1" customHeight="1">
      <c r="AB11059" s="9"/>
      <c r="AC11059" s="9"/>
      <c r="AD11059" s="9"/>
      <c r="AF11059" s="10"/>
      <c r="AG11059" s="10"/>
      <c r="AH11059" s="10"/>
      <c r="AI11059" s="10"/>
    </row>
    <row r="11060" spans="28:35" ht="15" hidden="1" customHeight="1">
      <c r="AB11060" s="9"/>
      <c r="AC11060" s="9"/>
      <c r="AD11060" s="9"/>
      <c r="AF11060" s="10"/>
      <c r="AG11060" s="10"/>
      <c r="AH11060" s="10"/>
      <c r="AI11060" s="10"/>
    </row>
    <row r="11061" spans="28:35" ht="15" hidden="1" customHeight="1">
      <c r="AB11061" s="9"/>
      <c r="AC11061" s="9"/>
      <c r="AD11061" s="9"/>
      <c r="AF11061" s="10"/>
      <c r="AG11061" s="10"/>
      <c r="AH11061" s="10"/>
      <c r="AI11061" s="10"/>
    </row>
    <row r="11062" spans="28:35" ht="15" hidden="1" customHeight="1">
      <c r="AB11062" s="9"/>
      <c r="AC11062" s="9"/>
      <c r="AD11062" s="9"/>
      <c r="AF11062" s="10"/>
      <c r="AG11062" s="10"/>
      <c r="AH11062" s="10"/>
      <c r="AI11062" s="10"/>
    </row>
    <row r="11063" spans="28:35" ht="15" hidden="1" customHeight="1">
      <c r="AB11063" s="9"/>
      <c r="AC11063" s="9"/>
      <c r="AD11063" s="9"/>
      <c r="AF11063" s="10"/>
      <c r="AG11063" s="10"/>
      <c r="AH11063" s="10"/>
      <c r="AI11063" s="10"/>
    </row>
    <row r="11064" spans="28:35" ht="15" hidden="1" customHeight="1">
      <c r="AB11064" s="9"/>
      <c r="AC11064" s="9"/>
      <c r="AD11064" s="9"/>
      <c r="AF11064" s="10"/>
      <c r="AG11064" s="10"/>
      <c r="AH11064" s="10"/>
      <c r="AI11064" s="10"/>
    </row>
    <row r="11065" spans="28:35" ht="15" hidden="1" customHeight="1">
      <c r="AB11065" s="9"/>
      <c r="AC11065" s="9"/>
      <c r="AD11065" s="9"/>
      <c r="AF11065" s="10"/>
      <c r="AG11065" s="10"/>
      <c r="AH11065" s="10"/>
      <c r="AI11065" s="10"/>
    </row>
    <row r="11066" spans="28:35" ht="15" hidden="1" customHeight="1">
      <c r="AB11066" s="9"/>
      <c r="AC11066" s="9"/>
      <c r="AD11066" s="9"/>
      <c r="AF11066" s="10"/>
      <c r="AG11066" s="10"/>
      <c r="AH11066" s="10"/>
      <c r="AI11066" s="10"/>
    </row>
    <row r="11067" spans="28:35" ht="15" hidden="1" customHeight="1">
      <c r="AB11067" s="9"/>
      <c r="AC11067" s="9"/>
      <c r="AD11067" s="9"/>
      <c r="AF11067" s="10"/>
      <c r="AG11067" s="10"/>
      <c r="AH11067" s="10"/>
      <c r="AI11067" s="10"/>
    </row>
    <row r="11068" spans="28:35" ht="15" hidden="1" customHeight="1">
      <c r="AB11068" s="9"/>
      <c r="AC11068" s="9"/>
      <c r="AD11068" s="9"/>
      <c r="AF11068" s="10"/>
      <c r="AG11068" s="10"/>
      <c r="AH11068" s="10"/>
      <c r="AI11068" s="10"/>
    </row>
    <row r="11069" spans="28:35" ht="15" hidden="1" customHeight="1">
      <c r="AB11069" s="9"/>
      <c r="AC11069" s="9"/>
      <c r="AD11069" s="9"/>
      <c r="AF11069" s="10"/>
      <c r="AG11069" s="10"/>
      <c r="AH11069" s="10"/>
      <c r="AI11069" s="10"/>
    </row>
    <row r="11070" spans="28:35" ht="15" hidden="1" customHeight="1">
      <c r="AB11070" s="9"/>
      <c r="AC11070" s="9"/>
      <c r="AD11070" s="9"/>
      <c r="AF11070" s="10"/>
      <c r="AG11070" s="10"/>
      <c r="AH11070" s="10"/>
      <c r="AI11070" s="10"/>
    </row>
    <row r="11071" spans="28:35" ht="15" hidden="1" customHeight="1">
      <c r="AB11071" s="9"/>
      <c r="AC11071" s="9"/>
      <c r="AD11071" s="9"/>
      <c r="AF11071" s="10"/>
      <c r="AG11071" s="10"/>
      <c r="AH11071" s="10"/>
      <c r="AI11071" s="10"/>
    </row>
    <row r="11072" spans="28:35" ht="15" hidden="1" customHeight="1">
      <c r="AB11072" s="9"/>
      <c r="AC11072" s="9"/>
      <c r="AD11072" s="9"/>
      <c r="AF11072" s="10"/>
      <c r="AG11072" s="10"/>
      <c r="AH11072" s="10"/>
      <c r="AI11072" s="10"/>
    </row>
    <row r="11073" spans="28:35" ht="15" hidden="1" customHeight="1">
      <c r="AB11073" s="9"/>
      <c r="AC11073" s="9"/>
      <c r="AD11073" s="9"/>
      <c r="AF11073" s="10"/>
      <c r="AG11073" s="10"/>
      <c r="AH11073" s="10"/>
      <c r="AI11073" s="10"/>
    </row>
    <row r="11074" spans="28:35" ht="15" hidden="1" customHeight="1">
      <c r="AB11074" s="9"/>
      <c r="AC11074" s="9"/>
      <c r="AD11074" s="9"/>
      <c r="AF11074" s="10"/>
      <c r="AG11074" s="10"/>
      <c r="AH11074" s="10"/>
      <c r="AI11074" s="10"/>
    </row>
    <row r="11075" spans="28:35" ht="15" hidden="1" customHeight="1">
      <c r="AB11075" s="9"/>
      <c r="AC11075" s="9"/>
      <c r="AD11075" s="9"/>
      <c r="AF11075" s="10"/>
      <c r="AG11075" s="10"/>
      <c r="AH11075" s="10"/>
      <c r="AI11075" s="10"/>
    </row>
    <row r="11076" spans="28:35" ht="15" hidden="1" customHeight="1">
      <c r="AB11076" s="9"/>
      <c r="AC11076" s="9"/>
      <c r="AD11076" s="9"/>
      <c r="AF11076" s="10"/>
      <c r="AG11076" s="10"/>
      <c r="AH11076" s="10"/>
      <c r="AI11076" s="10"/>
    </row>
    <row r="11077" spans="28:35" ht="15" hidden="1" customHeight="1">
      <c r="AB11077" s="9"/>
      <c r="AC11077" s="9"/>
      <c r="AD11077" s="9"/>
      <c r="AF11077" s="10"/>
      <c r="AG11077" s="10"/>
      <c r="AH11077" s="10"/>
      <c r="AI11077" s="10"/>
    </row>
    <row r="11078" spans="28:35" ht="15" hidden="1" customHeight="1">
      <c r="AB11078" s="9"/>
      <c r="AC11078" s="9"/>
      <c r="AD11078" s="9"/>
      <c r="AF11078" s="10"/>
      <c r="AG11078" s="10"/>
      <c r="AH11078" s="10"/>
      <c r="AI11078" s="10"/>
    </row>
    <row r="11079" spans="28:35" ht="15" hidden="1" customHeight="1">
      <c r="AB11079" s="9"/>
      <c r="AC11079" s="9"/>
      <c r="AD11079" s="9"/>
      <c r="AF11079" s="10"/>
      <c r="AG11079" s="10"/>
      <c r="AH11079" s="10"/>
      <c r="AI11079" s="10"/>
    </row>
    <row r="11080" spans="28:35" ht="15" hidden="1" customHeight="1">
      <c r="AB11080" s="9"/>
      <c r="AC11080" s="9"/>
      <c r="AD11080" s="9"/>
      <c r="AF11080" s="10"/>
      <c r="AG11080" s="10"/>
      <c r="AH11080" s="10"/>
      <c r="AI11080" s="10"/>
    </row>
    <row r="11081" spans="28:35" ht="15" hidden="1" customHeight="1">
      <c r="AB11081" s="9"/>
      <c r="AC11081" s="9"/>
      <c r="AD11081" s="9"/>
      <c r="AF11081" s="10"/>
      <c r="AG11081" s="10"/>
      <c r="AH11081" s="10"/>
      <c r="AI11081" s="10"/>
    </row>
    <row r="11082" spans="28:35" ht="15" hidden="1" customHeight="1">
      <c r="AB11082" s="9"/>
      <c r="AC11082" s="9"/>
      <c r="AD11082" s="9"/>
      <c r="AF11082" s="10"/>
      <c r="AG11082" s="10"/>
      <c r="AH11082" s="10"/>
      <c r="AI11082" s="10"/>
    </row>
    <row r="11083" spans="28:35" ht="15" hidden="1" customHeight="1">
      <c r="AB11083" s="9"/>
      <c r="AC11083" s="9"/>
      <c r="AD11083" s="9"/>
      <c r="AF11083" s="10"/>
      <c r="AG11083" s="10"/>
      <c r="AH11083" s="10"/>
      <c r="AI11083" s="10"/>
    </row>
    <row r="11084" spans="28:35" ht="15" hidden="1" customHeight="1">
      <c r="AB11084" s="9"/>
      <c r="AC11084" s="9"/>
      <c r="AD11084" s="9"/>
      <c r="AF11084" s="10"/>
      <c r="AG11084" s="10"/>
      <c r="AH11084" s="10"/>
      <c r="AI11084" s="10"/>
    </row>
    <row r="11085" spans="28:35" ht="15" hidden="1" customHeight="1">
      <c r="AB11085" s="9"/>
      <c r="AC11085" s="9"/>
      <c r="AD11085" s="9"/>
      <c r="AF11085" s="10"/>
      <c r="AG11085" s="10"/>
      <c r="AH11085" s="10"/>
      <c r="AI11085" s="10"/>
    </row>
    <row r="11086" spans="28:35" ht="15" hidden="1" customHeight="1">
      <c r="AB11086" s="9"/>
      <c r="AC11086" s="9"/>
      <c r="AD11086" s="9"/>
      <c r="AF11086" s="10"/>
      <c r="AG11086" s="10"/>
      <c r="AH11086" s="10"/>
      <c r="AI11086" s="10"/>
    </row>
    <row r="11087" spans="28:35" ht="15" hidden="1" customHeight="1">
      <c r="AB11087" s="9"/>
      <c r="AC11087" s="9"/>
      <c r="AD11087" s="9"/>
      <c r="AF11087" s="10"/>
      <c r="AG11087" s="10"/>
      <c r="AH11087" s="10"/>
      <c r="AI11087" s="10"/>
    </row>
    <row r="11088" spans="28:35" ht="15" hidden="1" customHeight="1">
      <c r="AB11088" s="9"/>
      <c r="AC11088" s="9"/>
      <c r="AD11088" s="9"/>
      <c r="AF11088" s="10"/>
      <c r="AG11088" s="10"/>
      <c r="AH11088" s="10"/>
      <c r="AI11088" s="10"/>
    </row>
    <row r="11089" spans="28:35" ht="15" hidden="1" customHeight="1">
      <c r="AB11089" s="9"/>
      <c r="AC11089" s="9"/>
      <c r="AD11089" s="9"/>
      <c r="AF11089" s="10"/>
      <c r="AG11089" s="10"/>
      <c r="AH11089" s="10"/>
      <c r="AI11089" s="10"/>
    </row>
    <row r="11090" spans="28:35" ht="15" hidden="1" customHeight="1">
      <c r="AB11090" s="9"/>
      <c r="AC11090" s="9"/>
      <c r="AD11090" s="9"/>
      <c r="AF11090" s="10"/>
      <c r="AG11090" s="10"/>
      <c r="AH11090" s="10"/>
      <c r="AI11090" s="10"/>
    </row>
    <row r="11091" spans="28:35" ht="15" hidden="1" customHeight="1">
      <c r="AB11091" s="9"/>
      <c r="AC11091" s="9"/>
      <c r="AD11091" s="9"/>
      <c r="AF11091" s="10"/>
      <c r="AG11091" s="10"/>
      <c r="AH11091" s="10"/>
      <c r="AI11091" s="10"/>
    </row>
    <row r="11092" spans="28:35" ht="15" hidden="1" customHeight="1">
      <c r="AB11092" s="9"/>
      <c r="AC11092" s="9"/>
      <c r="AD11092" s="9"/>
      <c r="AF11092" s="10"/>
      <c r="AG11092" s="10"/>
      <c r="AH11092" s="10"/>
      <c r="AI11092" s="10"/>
    </row>
    <row r="11093" spans="28:35" ht="15" hidden="1" customHeight="1">
      <c r="AB11093" s="9"/>
      <c r="AC11093" s="9"/>
      <c r="AD11093" s="9"/>
      <c r="AF11093" s="10"/>
      <c r="AG11093" s="10"/>
      <c r="AH11093" s="10"/>
      <c r="AI11093" s="10"/>
    </row>
    <row r="11094" spans="28:35" ht="15" hidden="1" customHeight="1">
      <c r="AB11094" s="9"/>
      <c r="AC11094" s="9"/>
      <c r="AD11094" s="9"/>
      <c r="AF11094" s="10"/>
      <c r="AG11094" s="10"/>
      <c r="AH11094" s="10"/>
      <c r="AI11094" s="10"/>
    </row>
    <row r="11095" spans="28:35" ht="15" hidden="1" customHeight="1">
      <c r="AB11095" s="9"/>
      <c r="AC11095" s="9"/>
      <c r="AD11095" s="9"/>
      <c r="AF11095" s="10"/>
      <c r="AG11095" s="10"/>
      <c r="AH11095" s="10"/>
      <c r="AI11095" s="10"/>
    </row>
    <row r="11096" spans="28:35" ht="15" hidden="1" customHeight="1">
      <c r="AB11096" s="9"/>
      <c r="AC11096" s="9"/>
      <c r="AD11096" s="9"/>
      <c r="AF11096" s="10"/>
      <c r="AG11096" s="10"/>
      <c r="AH11096" s="10"/>
      <c r="AI11096" s="10"/>
    </row>
    <row r="11097" spans="28:35" ht="15" hidden="1" customHeight="1">
      <c r="AB11097" s="9"/>
      <c r="AC11097" s="9"/>
      <c r="AD11097" s="9"/>
      <c r="AF11097" s="10"/>
      <c r="AG11097" s="10"/>
      <c r="AH11097" s="10"/>
      <c r="AI11097" s="10"/>
    </row>
    <row r="11098" spans="28:35" ht="15" hidden="1" customHeight="1">
      <c r="AB11098" s="9"/>
      <c r="AC11098" s="9"/>
      <c r="AD11098" s="9"/>
      <c r="AF11098" s="10"/>
      <c r="AG11098" s="10"/>
      <c r="AH11098" s="10"/>
      <c r="AI11098" s="10"/>
    </row>
    <row r="11099" spans="28:35" ht="15" hidden="1" customHeight="1">
      <c r="AB11099" s="9"/>
      <c r="AC11099" s="9"/>
      <c r="AD11099" s="9"/>
      <c r="AF11099" s="10"/>
      <c r="AG11099" s="10"/>
      <c r="AH11099" s="10"/>
      <c r="AI11099" s="10"/>
    </row>
    <row r="11100" spans="28:35" ht="15" hidden="1" customHeight="1">
      <c r="AB11100" s="9"/>
      <c r="AC11100" s="9"/>
      <c r="AD11100" s="9"/>
      <c r="AF11100" s="10"/>
      <c r="AG11100" s="10"/>
      <c r="AH11100" s="10"/>
      <c r="AI11100" s="10"/>
    </row>
    <row r="11101" spans="28:35" ht="15" hidden="1" customHeight="1">
      <c r="AB11101" s="9"/>
      <c r="AC11101" s="9"/>
      <c r="AD11101" s="9"/>
      <c r="AF11101" s="10"/>
      <c r="AG11101" s="10"/>
      <c r="AH11101" s="10"/>
      <c r="AI11101" s="10"/>
    </row>
    <row r="11102" spans="28:35" ht="15" hidden="1" customHeight="1">
      <c r="AB11102" s="9"/>
      <c r="AC11102" s="9"/>
      <c r="AD11102" s="9"/>
      <c r="AF11102" s="10"/>
      <c r="AG11102" s="10"/>
      <c r="AH11102" s="10"/>
      <c r="AI11102" s="10"/>
    </row>
    <row r="11103" spans="28:35" ht="15" hidden="1" customHeight="1">
      <c r="AB11103" s="9"/>
      <c r="AC11103" s="9"/>
      <c r="AD11103" s="9"/>
      <c r="AF11103" s="10"/>
      <c r="AG11103" s="10"/>
      <c r="AH11103" s="10"/>
      <c r="AI11103" s="10"/>
    </row>
    <row r="11104" spans="28:35" ht="15" hidden="1" customHeight="1">
      <c r="AB11104" s="9"/>
      <c r="AC11104" s="9"/>
      <c r="AD11104" s="9"/>
      <c r="AF11104" s="10"/>
      <c r="AG11104" s="10"/>
      <c r="AH11104" s="10"/>
      <c r="AI11104" s="10"/>
    </row>
    <row r="11105" spans="28:35" ht="15" hidden="1" customHeight="1">
      <c r="AB11105" s="9"/>
      <c r="AC11105" s="9"/>
      <c r="AD11105" s="9"/>
      <c r="AF11105" s="10"/>
      <c r="AG11105" s="10"/>
      <c r="AH11105" s="10"/>
      <c r="AI11105" s="10"/>
    </row>
    <row r="11106" spans="28:35" ht="15" hidden="1" customHeight="1">
      <c r="AB11106" s="9"/>
      <c r="AC11106" s="9"/>
      <c r="AD11106" s="9"/>
      <c r="AF11106" s="10"/>
      <c r="AG11106" s="10"/>
      <c r="AH11106" s="10"/>
      <c r="AI11106" s="10"/>
    </row>
    <row r="11107" spans="28:35" ht="15" hidden="1" customHeight="1">
      <c r="AB11107" s="9"/>
      <c r="AC11107" s="9"/>
      <c r="AD11107" s="9"/>
      <c r="AF11107" s="10"/>
      <c r="AG11107" s="10"/>
      <c r="AH11107" s="10"/>
      <c r="AI11107" s="10"/>
    </row>
    <row r="11108" spans="28:35" ht="15" hidden="1" customHeight="1">
      <c r="AB11108" s="9"/>
      <c r="AC11108" s="9"/>
      <c r="AD11108" s="9"/>
      <c r="AF11108" s="10"/>
      <c r="AG11108" s="10"/>
      <c r="AH11108" s="10"/>
      <c r="AI11108" s="10"/>
    </row>
    <row r="11109" spans="28:35" ht="15" hidden="1" customHeight="1">
      <c r="AB11109" s="9"/>
      <c r="AC11109" s="9"/>
      <c r="AD11109" s="9"/>
      <c r="AF11109" s="10"/>
      <c r="AG11109" s="10"/>
      <c r="AH11109" s="10"/>
      <c r="AI11109" s="10"/>
    </row>
    <row r="11110" spans="28:35" ht="15" hidden="1" customHeight="1">
      <c r="AB11110" s="9"/>
      <c r="AC11110" s="9"/>
      <c r="AD11110" s="9"/>
      <c r="AF11110" s="10"/>
      <c r="AG11110" s="10"/>
      <c r="AH11110" s="10"/>
      <c r="AI11110" s="10"/>
    </row>
    <row r="11111" spans="28:35" ht="15" hidden="1" customHeight="1">
      <c r="AB11111" s="9"/>
      <c r="AC11111" s="9"/>
      <c r="AD11111" s="9"/>
      <c r="AF11111" s="10"/>
      <c r="AG11111" s="10"/>
      <c r="AH11111" s="10"/>
      <c r="AI11111" s="10"/>
    </row>
    <row r="11112" spans="28:35" ht="15" hidden="1" customHeight="1">
      <c r="AB11112" s="9"/>
      <c r="AC11112" s="9"/>
      <c r="AD11112" s="9"/>
      <c r="AF11112" s="10"/>
      <c r="AG11112" s="10"/>
      <c r="AH11112" s="10"/>
      <c r="AI11112" s="10"/>
    </row>
    <row r="11113" spans="28:35" ht="15" hidden="1" customHeight="1">
      <c r="AB11113" s="9"/>
      <c r="AC11113" s="9"/>
      <c r="AD11113" s="9"/>
      <c r="AF11113" s="10"/>
      <c r="AG11113" s="10"/>
      <c r="AH11113" s="10"/>
      <c r="AI11113" s="10"/>
    </row>
    <row r="11114" spans="28:35" ht="15" hidden="1" customHeight="1">
      <c r="AB11114" s="9"/>
      <c r="AC11114" s="9"/>
      <c r="AD11114" s="9"/>
      <c r="AF11114" s="10"/>
      <c r="AG11114" s="10"/>
      <c r="AH11114" s="10"/>
      <c r="AI11114" s="10"/>
    </row>
    <row r="11115" spans="28:35" ht="15" hidden="1" customHeight="1">
      <c r="AB11115" s="9"/>
      <c r="AC11115" s="9"/>
      <c r="AD11115" s="9"/>
      <c r="AF11115" s="10"/>
      <c r="AG11115" s="10"/>
      <c r="AH11115" s="10"/>
      <c r="AI11115" s="10"/>
    </row>
    <row r="11116" spans="28:35" ht="15" hidden="1" customHeight="1">
      <c r="AB11116" s="9"/>
      <c r="AC11116" s="9"/>
      <c r="AD11116" s="9"/>
      <c r="AF11116" s="10"/>
      <c r="AG11116" s="10"/>
      <c r="AH11116" s="10"/>
      <c r="AI11116" s="10"/>
    </row>
    <row r="11117" spans="28:35" ht="15" hidden="1" customHeight="1">
      <c r="AB11117" s="9"/>
      <c r="AC11117" s="9"/>
      <c r="AD11117" s="9"/>
      <c r="AF11117" s="10"/>
      <c r="AG11117" s="10"/>
      <c r="AH11117" s="10"/>
      <c r="AI11117" s="10"/>
    </row>
    <row r="11118" spans="28:35" ht="15" hidden="1" customHeight="1">
      <c r="AB11118" s="9"/>
      <c r="AC11118" s="9"/>
      <c r="AD11118" s="9"/>
      <c r="AF11118" s="10"/>
      <c r="AG11118" s="10"/>
      <c r="AH11118" s="10"/>
      <c r="AI11118" s="10"/>
    </row>
    <row r="11119" spans="28:35" ht="15" hidden="1" customHeight="1">
      <c r="AB11119" s="9"/>
      <c r="AC11119" s="9"/>
      <c r="AD11119" s="9"/>
      <c r="AF11119" s="10"/>
      <c r="AG11119" s="10"/>
      <c r="AH11119" s="10"/>
      <c r="AI11119" s="10"/>
    </row>
    <row r="11120" spans="28:35" ht="15" hidden="1" customHeight="1">
      <c r="AB11120" s="9"/>
      <c r="AC11120" s="9"/>
      <c r="AD11120" s="9"/>
      <c r="AF11120" s="10"/>
      <c r="AG11120" s="10"/>
      <c r="AH11120" s="10"/>
      <c r="AI11120" s="10"/>
    </row>
    <row r="11121" spans="28:35" ht="15" hidden="1" customHeight="1">
      <c r="AB11121" s="9"/>
      <c r="AC11121" s="9"/>
      <c r="AD11121" s="9"/>
      <c r="AF11121" s="10"/>
      <c r="AG11121" s="10"/>
      <c r="AH11121" s="10"/>
      <c r="AI11121" s="10"/>
    </row>
    <row r="11122" spans="28:35" ht="15" hidden="1" customHeight="1">
      <c r="AB11122" s="9"/>
      <c r="AC11122" s="9"/>
      <c r="AD11122" s="9"/>
      <c r="AF11122" s="10"/>
      <c r="AG11122" s="10"/>
      <c r="AH11122" s="10"/>
      <c r="AI11122" s="10"/>
    </row>
    <row r="11123" spans="28:35" ht="15" hidden="1" customHeight="1">
      <c r="AB11123" s="9"/>
      <c r="AC11123" s="9"/>
      <c r="AD11123" s="9"/>
      <c r="AF11123" s="10"/>
      <c r="AG11123" s="10"/>
      <c r="AH11123" s="10"/>
      <c r="AI11123" s="10"/>
    </row>
    <row r="11124" spans="28:35" ht="15" hidden="1" customHeight="1">
      <c r="AB11124" s="9"/>
      <c r="AC11124" s="9"/>
      <c r="AD11124" s="9"/>
      <c r="AF11124" s="10"/>
      <c r="AG11124" s="10"/>
      <c r="AH11124" s="10"/>
      <c r="AI11124" s="10"/>
    </row>
    <row r="11125" spans="28:35" ht="15" hidden="1" customHeight="1">
      <c r="AB11125" s="9"/>
      <c r="AC11125" s="9"/>
      <c r="AD11125" s="9"/>
      <c r="AF11125" s="10"/>
      <c r="AG11125" s="10"/>
      <c r="AH11125" s="10"/>
      <c r="AI11125" s="10"/>
    </row>
    <row r="11126" spans="28:35" ht="15" hidden="1" customHeight="1">
      <c r="AB11126" s="9"/>
      <c r="AC11126" s="9"/>
      <c r="AD11126" s="9"/>
      <c r="AF11126" s="10"/>
      <c r="AG11126" s="10"/>
      <c r="AH11126" s="10"/>
      <c r="AI11126" s="10"/>
    </row>
    <row r="11127" spans="28:35" ht="15" hidden="1" customHeight="1">
      <c r="AB11127" s="9"/>
      <c r="AC11127" s="9"/>
      <c r="AD11127" s="9"/>
      <c r="AF11127" s="10"/>
      <c r="AG11127" s="10"/>
      <c r="AH11127" s="10"/>
      <c r="AI11127" s="10"/>
    </row>
    <row r="11128" spans="28:35" ht="15" hidden="1" customHeight="1">
      <c r="AB11128" s="9"/>
      <c r="AC11128" s="9"/>
      <c r="AD11128" s="9"/>
      <c r="AF11128" s="10"/>
      <c r="AG11128" s="10"/>
      <c r="AH11128" s="10"/>
      <c r="AI11128" s="10"/>
    </row>
    <row r="11129" spans="28:35" ht="15" hidden="1" customHeight="1">
      <c r="AB11129" s="9"/>
      <c r="AC11129" s="9"/>
      <c r="AD11129" s="9"/>
      <c r="AF11129" s="10"/>
      <c r="AG11129" s="10"/>
      <c r="AH11129" s="10"/>
      <c r="AI11129" s="10"/>
    </row>
    <row r="11130" spans="28:35" ht="15" hidden="1" customHeight="1">
      <c r="AB11130" s="9"/>
      <c r="AC11130" s="9"/>
      <c r="AD11130" s="9"/>
      <c r="AF11130" s="10"/>
      <c r="AG11130" s="10"/>
      <c r="AH11130" s="10"/>
      <c r="AI11130" s="10"/>
    </row>
    <row r="11131" spans="28:35" ht="15" hidden="1" customHeight="1">
      <c r="AB11131" s="9"/>
      <c r="AC11131" s="9"/>
      <c r="AD11131" s="9"/>
      <c r="AF11131" s="10"/>
      <c r="AG11131" s="10"/>
      <c r="AH11131" s="10"/>
      <c r="AI11131" s="10"/>
    </row>
    <row r="11132" spans="28:35" ht="15" hidden="1" customHeight="1">
      <c r="AB11132" s="9"/>
      <c r="AC11132" s="9"/>
      <c r="AD11132" s="9"/>
      <c r="AF11132" s="10"/>
      <c r="AG11132" s="10"/>
      <c r="AH11132" s="10"/>
      <c r="AI11132" s="10"/>
    </row>
    <row r="11133" spans="28:35" ht="15" hidden="1" customHeight="1">
      <c r="AB11133" s="9"/>
      <c r="AC11133" s="9"/>
      <c r="AD11133" s="9"/>
      <c r="AF11133" s="10"/>
      <c r="AG11133" s="10"/>
      <c r="AH11133" s="10"/>
      <c r="AI11133" s="10"/>
    </row>
    <row r="11134" spans="28:35" ht="15" hidden="1" customHeight="1">
      <c r="AB11134" s="9"/>
      <c r="AC11134" s="9"/>
      <c r="AD11134" s="9"/>
      <c r="AF11134" s="10"/>
      <c r="AG11134" s="10"/>
      <c r="AH11134" s="10"/>
      <c r="AI11134" s="10"/>
    </row>
    <row r="11135" spans="28:35" ht="15" hidden="1" customHeight="1">
      <c r="AB11135" s="9"/>
      <c r="AC11135" s="9"/>
      <c r="AD11135" s="9"/>
      <c r="AF11135" s="10"/>
      <c r="AG11135" s="10"/>
      <c r="AH11135" s="10"/>
      <c r="AI11135" s="10"/>
    </row>
    <row r="11136" spans="28:35" ht="15" hidden="1" customHeight="1">
      <c r="AB11136" s="9"/>
      <c r="AC11136" s="9"/>
      <c r="AD11136" s="9"/>
      <c r="AF11136" s="10"/>
      <c r="AG11136" s="10"/>
      <c r="AH11136" s="10"/>
      <c r="AI11136" s="10"/>
    </row>
    <row r="11137" spans="28:35" ht="15" hidden="1" customHeight="1">
      <c r="AB11137" s="9"/>
      <c r="AC11137" s="9"/>
      <c r="AD11137" s="9"/>
      <c r="AF11137" s="10"/>
      <c r="AG11137" s="10"/>
      <c r="AH11137" s="10"/>
      <c r="AI11137" s="10"/>
    </row>
    <row r="11138" spans="28:35" ht="15" hidden="1" customHeight="1">
      <c r="AB11138" s="9"/>
      <c r="AC11138" s="9"/>
      <c r="AD11138" s="9"/>
      <c r="AF11138" s="10"/>
      <c r="AG11138" s="10"/>
      <c r="AH11138" s="10"/>
      <c r="AI11138" s="10"/>
    </row>
    <row r="11139" spans="28:35" ht="15" hidden="1" customHeight="1">
      <c r="AB11139" s="9"/>
      <c r="AC11139" s="9"/>
      <c r="AD11139" s="9"/>
      <c r="AF11139" s="10"/>
      <c r="AG11139" s="10"/>
      <c r="AH11139" s="10"/>
      <c r="AI11139" s="10"/>
    </row>
    <row r="11140" spans="28:35" ht="15" hidden="1" customHeight="1">
      <c r="AB11140" s="9"/>
      <c r="AC11140" s="9"/>
      <c r="AD11140" s="9"/>
      <c r="AF11140" s="10"/>
      <c r="AG11140" s="10"/>
      <c r="AH11140" s="10"/>
      <c r="AI11140" s="10"/>
    </row>
    <row r="11141" spans="28:35" ht="15" hidden="1" customHeight="1">
      <c r="AB11141" s="9"/>
      <c r="AC11141" s="9"/>
      <c r="AD11141" s="9"/>
      <c r="AF11141" s="10"/>
      <c r="AG11141" s="10"/>
      <c r="AH11141" s="10"/>
      <c r="AI11141" s="10"/>
    </row>
    <row r="11142" spans="28:35" ht="15" hidden="1" customHeight="1">
      <c r="AB11142" s="9"/>
      <c r="AC11142" s="9"/>
      <c r="AD11142" s="9"/>
      <c r="AF11142" s="10"/>
      <c r="AG11142" s="10"/>
      <c r="AH11142" s="10"/>
      <c r="AI11142" s="10"/>
    </row>
    <row r="11143" spans="28:35" ht="15" hidden="1" customHeight="1">
      <c r="AB11143" s="9"/>
      <c r="AC11143" s="9"/>
      <c r="AD11143" s="9"/>
      <c r="AF11143" s="10"/>
      <c r="AG11143" s="10"/>
      <c r="AH11143" s="10"/>
      <c r="AI11143" s="10"/>
    </row>
    <row r="11144" spans="28:35" ht="15" hidden="1" customHeight="1">
      <c r="AB11144" s="9"/>
      <c r="AC11144" s="9"/>
      <c r="AD11144" s="9"/>
      <c r="AF11144" s="10"/>
      <c r="AG11144" s="10"/>
      <c r="AH11144" s="10"/>
      <c r="AI11144" s="10"/>
    </row>
    <row r="11145" spans="28:35" ht="15" hidden="1" customHeight="1">
      <c r="AB11145" s="9"/>
      <c r="AC11145" s="9"/>
      <c r="AD11145" s="9"/>
      <c r="AF11145" s="10"/>
      <c r="AG11145" s="10"/>
      <c r="AH11145" s="10"/>
      <c r="AI11145" s="10"/>
    </row>
    <row r="11146" spans="28:35" ht="15" hidden="1" customHeight="1">
      <c r="AB11146" s="9"/>
      <c r="AC11146" s="9"/>
      <c r="AD11146" s="9"/>
      <c r="AF11146" s="10"/>
      <c r="AG11146" s="10"/>
      <c r="AH11146" s="10"/>
      <c r="AI11146" s="10"/>
    </row>
    <row r="11147" spans="28:35" ht="15" hidden="1" customHeight="1">
      <c r="AB11147" s="9"/>
      <c r="AC11147" s="9"/>
      <c r="AD11147" s="9"/>
      <c r="AF11147" s="10"/>
      <c r="AG11147" s="10"/>
      <c r="AH11147" s="10"/>
      <c r="AI11147" s="10"/>
    </row>
    <row r="11148" spans="28:35" ht="15" hidden="1" customHeight="1">
      <c r="AB11148" s="9"/>
      <c r="AC11148" s="9"/>
      <c r="AD11148" s="9"/>
      <c r="AF11148" s="10"/>
      <c r="AG11148" s="10"/>
      <c r="AH11148" s="10"/>
      <c r="AI11148" s="10"/>
    </row>
    <row r="11149" spans="28:35" ht="15" hidden="1" customHeight="1">
      <c r="AB11149" s="9"/>
      <c r="AC11149" s="9"/>
      <c r="AD11149" s="9"/>
      <c r="AF11149" s="10"/>
      <c r="AG11149" s="10"/>
      <c r="AH11149" s="10"/>
      <c r="AI11149" s="10"/>
    </row>
    <row r="11150" spans="28:35" ht="15" hidden="1" customHeight="1">
      <c r="AB11150" s="9"/>
      <c r="AC11150" s="9"/>
      <c r="AD11150" s="9"/>
      <c r="AF11150" s="10"/>
      <c r="AG11150" s="10"/>
      <c r="AH11150" s="10"/>
      <c r="AI11150" s="10"/>
    </row>
    <row r="11151" spans="28:35" ht="15" hidden="1" customHeight="1">
      <c r="AB11151" s="9"/>
      <c r="AC11151" s="9"/>
      <c r="AD11151" s="9"/>
      <c r="AF11151" s="10"/>
      <c r="AG11151" s="10"/>
      <c r="AH11151" s="10"/>
      <c r="AI11151" s="10"/>
    </row>
    <row r="11152" spans="28:35" ht="15" hidden="1" customHeight="1">
      <c r="AB11152" s="9"/>
      <c r="AC11152" s="9"/>
      <c r="AD11152" s="9"/>
      <c r="AF11152" s="10"/>
      <c r="AG11152" s="10"/>
      <c r="AH11152" s="10"/>
      <c r="AI11152" s="10"/>
    </row>
    <row r="11153" spans="28:35" ht="15" hidden="1" customHeight="1">
      <c r="AB11153" s="9"/>
      <c r="AC11153" s="9"/>
      <c r="AD11153" s="9"/>
      <c r="AF11153" s="10"/>
      <c r="AG11153" s="10"/>
      <c r="AH11153" s="10"/>
      <c r="AI11153" s="10"/>
    </row>
    <row r="11154" spans="28:35" ht="15" hidden="1" customHeight="1">
      <c r="AB11154" s="9"/>
      <c r="AC11154" s="9"/>
      <c r="AD11154" s="9"/>
      <c r="AF11154" s="10"/>
      <c r="AG11154" s="10"/>
      <c r="AH11154" s="10"/>
      <c r="AI11154" s="10"/>
    </row>
    <row r="11155" spans="28:35" ht="15" hidden="1" customHeight="1">
      <c r="AB11155" s="9"/>
      <c r="AC11155" s="9"/>
      <c r="AD11155" s="9"/>
      <c r="AF11155" s="10"/>
      <c r="AG11155" s="10"/>
      <c r="AH11155" s="10"/>
      <c r="AI11155" s="10"/>
    </row>
    <row r="11156" spans="28:35" ht="15" hidden="1" customHeight="1">
      <c r="AB11156" s="9"/>
      <c r="AC11156" s="9"/>
      <c r="AD11156" s="9"/>
      <c r="AF11156" s="10"/>
      <c r="AG11156" s="10"/>
      <c r="AH11156" s="10"/>
      <c r="AI11156" s="10"/>
    </row>
    <row r="11157" spans="28:35" ht="15" hidden="1" customHeight="1">
      <c r="AB11157" s="9"/>
      <c r="AC11157" s="9"/>
      <c r="AD11157" s="9"/>
      <c r="AF11157" s="10"/>
      <c r="AG11157" s="10"/>
      <c r="AH11157" s="10"/>
      <c r="AI11157" s="10"/>
    </row>
    <row r="11158" spans="28:35" ht="15" hidden="1" customHeight="1">
      <c r="AB11158" s="9"/>
      <c r="AC11158" s="9"/>
      <c r="AD11158" s="9"/>
      <c r="AF11158" s="10"/>
      <c r="AG11158" s="10"/>
      <c r="AH11158" s="10"/>
      <c r="AI11158" s="10"/>
    </row>
    <row r="11159" spans="28:35" ht="15" hidden="1" customHeight="1">
      <c r="AB11159" s="9"/>
      <c r="AC11159" s="9"/>
      <c r="AD11159" s="9"/>
      <c r="AF11159" s="10"/>
      <c r="AG11159" s="10"/>
      <c r="AH11159" s="10"/>
      <c r="AI11159" s="10"/>
    </row>
    <row r="11160" spans="28:35" ht="15" hidden="1" customHeight="1">
      <c r="AB11160" s="9"/>
      <c r="AC11160" s="9"/>
      <c r="AD11160" s="9"/>
      <c r="AF11160" s="10"/>
      <c r="AG11160" s="10"/>
      <c r="AH11160" s="10"/>
      <c r="AI11160" s="10"/>
    </row>
    <row r="11161" spans="28:35" ht="15" hidden="1" customHeight="1">
      <c r="AB11161" s="9"/>
      <c r="AC11161" s="9"/>
      <c r="AD11161" s="9"/>
      <c r="AF11161" s="10"/>
      <c r="AG11161" s="10"/>
      <c r="AH11161" s="10"/>
      <c r="AI11161" s="10"/>
    </row>
    <row r="11162" spans="28:35" ht="15" hidden="1" customHeight="1">
      <c r="AB11162" s="9"/>
      <c r="AC11162" s="9"/>
      <c r="AD11162" s="9"/>
      <c r="AF11162" s="10"/>
      <c r="AG11162" s="10"/>
      <c r="AH11162" s="10"/>
      <c r="AI11162" s="10"/>
    </row>
    <row r="11163" spans="28:35" ht="15" hidden="1" customHeight="1">
      <c r="AB11163" s="9"/>
      <c r="AC11163" s="9"/>
      <c r="AD11163" s="9"/>
      <c r="AF11163" s="10"/>
      <c r="AG11163" s="10"/>
      <c r="AH11163" s="10"/>
      <c r="AI11163" s="10"/>
    </row>
    <row r="11164" spans="28:35" ht="15" hidden="1" customHeight="1">
      <c r="AB11164" s="9"/>
      <c r="AC11164" s="9"/>
      <c r="AD11164" s="9"/>
      <c r="AF11164" s="10"/>
      <c r="AG11164" s="10"/>
      <c r="AH11164" s="10"/>
      <c r="AI11164" s="10"/>
    </row>
    <row r="11165" spans="28:35" ht="15" hidden="1" customHeight="1">
      <c r="AB11165" s="9"/>
      <c r="AC11165" s="9"/>
      <c r="AD11165" s="9"/>
      <c r="AF11165" s="10"/>
      <c r="AG11165" s="10"/>
      <c r="AH11165" s="10"/>
      <c r="AI11165" s="10"/>
    </row>
    <row r="11166" spans="28:35" ht="15" hidden="1" customHeight="1">
      <c r="AB11166" s="9"/>
      <c r="AC11166" s="9"/>
      <c r="AD11166" s="9"/>
      <c r="AF11166" s="10"/>
      <c r="AG11166" s="10"/>
      <c r="AH11166" s="10"/>
      <c r="AI11166" s="10"/>
    </row>
    <row r="11167" spans="28:35" ht="15" hidden="1" customHeight="1">
      <c r="AB11167" s="9"/>
      <c r="AC11167" s="9"/>
      <c r="AD11167" s="9"/>
      <c r="AF11167" s="10"/>
      <c r="AG11167" s="10"/>
      <c r="AH11167" s="10"/>
      <c r="AI11167" s="10"/>
    </row>
    <row r="11168" spans="28:35" ht="15" hidden="1" customHeight="1">
      <c r="AB11168" s="9"/>
      <c r="AC11168" s="9"/>
      <c r="AD11168" s="9"/>
      <c r="AF11168" s="10"/>
      <c r="AG11168" s="10"/>
      <c r="AH11168" s="10"/>
      <c r="AI11168" s="10"/>
    </row>
    <row r="11169" spans="28:35" ht="15" hidden="1" customHeight="1">
      <c r="AB11169" s="9"/>
      <c r="AC11169" s="9"/>
      <c r="AD11169" s="9"/>
      <c r="AF11169" s="10"/>
      <c r="AG11169" s="10"/>
      <c r="AH11169" s="10"/>
      <c r="AI11169" s="10"/>
    </row>
    <row r="11170" spans="28:35" ht="15" hidden="1" customHeight="1">
      <c r="AB11170" s="9"/>
      <c r="AC11170" s="9"/>
      <c r="AD11170" s="9"/>
      <c r="AF11170" s="10"/>
      <c r="AG11170" s="10"/>
      <c r="AH11170" s="10"/>
      <c r="AI11170" s="10"/>
    </row>
    <row r="11171" spans="28:35" ht="15" hidden="1" customHeight="1">
      <c r="AB11171" s="9"/>
      <c r="AC11171" s="9"/>
      <c r="AD11171" s="9"/>
      <c r="AF11171" s="10"/>
      <c r="AG11171" s="10"/>
      <c r="AH11171" s="10"/>
      <c r="AI11171" s="10"/>
    </row>
    <row r="11172" spans="28:35" ht="15" hidden="1" customHeight="1">
      <c r="AB11172" s="9"/>
      <c r="AC11172" s="9"/>
      <c r="AD11172" s="9"/>
      <c r="AF11172" s="10"/>
      <c r="AG11172" s="10"/>
      <c r="AH11172" s="10"/>
      <c r="AI11172" s="10"/>
    </row>
    <row r="11173" spans="28:35" ht="15" hidden="1" customHeight="1">
      <c r="AB11173" s="9"/>
      <c r="AC11173" s="9"/>
      <c r="AD11173" s="9"/>
      <c r="AF11173" s="10"/>
      <c r="AG11173" s="10"/>
      <c r="AH11173" s="10"/>
      <c r="AI11173" s="10"/>
    </row>
    <row r="11174" spans="28:35" ht="15" hidden="1" customHeight="1">
      <c r="AB11174" s="9"/>
      <c r="AC11174" s="9"/>
      <c r="AD11174" s="9"/>
      <c r="AF11174" s="10"/>
      <c r="AG11174" s="10"/>
      <c r="AH11174" s="10"/>
      <c r="AI11174" s="10"/>
    </row>
    <row r="11175" spans="28:35" ht="15" hidden="1" customHeight="1">
      <c r="AB11175" s="9"/>
      <c r="AC11175" s="9"/>
      <c r="AD11175" s="9"/>
      <c r="AF11175" s="10"/>
      <c r="AG11175" s="10"/>
      <c r="AH11175" s="10"/>
      <c r="AI11175" s="10"/>
    </row>
    <row r="11176" spans="28:35" ht="15" hidden="1" customHeight="1">
      <c r="AB11176" s="9"/>
      <c r="AC11176" s="9"/>
      <c r="AD11176" s="9"/>
      <c r="AF11176" s="10"/>
      <c r="AG11176" s="10"/>
      <c r="AH11176" s="10"/>
      <c r="AI11176" s="10"/>
    </row>
    <row r="11177" spans="28:35" ht="15" hidden="1" customHeight="1">
      <c r="AB11177" s="9"/>
      <c r="AC11177" s="9"/>
      <c r="AD11177" s="9"/>
      <c r="AF11177" s="10"/>
      <c r="AG11177" s="10"/>
      <c r="AH11177" s="10"/>
      <c r="AI11177" s="10"/>
    </row>
    <row r="11178" spans="28:35" ht="15" hidden="1" customHeight="1">
      <c r="AB11178" s="9"/>
      <c r="AC11178" s="9"/>
      <c r="AD11178" s="9"/>
      <c r="AF11178" s="10"/>
      <c r="AG11178" s="10"/>
      <c r="AH11178" s="10"/>
      <c r="AI11178" s="10"/>
    </row>
    <row r="11179" spans="28:35" ht="15" hidden="1" customHeight="1">
      <c r="AB11179" s="9"/>
      <c r="AC11179" s="9"/>
      <c r="AD11179" s="9"/>
      <c r="AF11179" s="10"/>
      <c r="AG11179" s="10"/>
      <c r="AH11179" s="10"/>
      <c r="AI11179" s="10"/>
    </row>
    <row r="11180" spans="28:35" ht="15" hidden="1" customHeight="1">
      <c r="AB11180" s="9"/>
      <c r="AC11180" s="9"/>
      <c r="AD11180" s="9"/>
      <c r="AF11180" s="10"/>
      <c r="AG11180" s="10"/>
      <c r="AH11180" s="10"/>
      <c r="AI11180" s="10"/>
    </row>
    <row r="11181" spans="28:35" ht="15" hidden="1" customHeight="1">
      <c r="AB11181" s="9"/>
      <c r="AC11181" s="9"/>
      <c r="AD11181" s="9"/>
      <c r="AF11181" s="10"/>
      <c r="AG11181" s="10"/>
      <c r="AH11181" s="10"/>
      <c r="AI11181" s="10"/>
    </row>
    <row r="11182" spans="28:35" ht="15" hidden="1" customHeight="1">
      <c r="AB11182" s="9"/>
      <c r="AC11182" s="9"/>
      <c r="AD11182" s="9"/>
      <c r="AF11182" s="10"/>
      <c r="AG11182" s="10"/>
      <c r="AH11182" s="10"/>
      <c r="AI11182" s="10"/>
    </row>
    <row r="11183" spans="28:35" ht="15" hidden="1" customHeight="1">
      <c r="AB11183" s="9"/>
      <c r="AC11183" s="9"/>
      <c r="AD11183" s="9"/>
      <c r="AF11183" s="10"/>
      <c r="AG11183" s="10"/>
      <c r="AH11183" s="10"/>
      <c r="AI11183" s="10"/>
    </row>
    <row r="11184" spans="28:35" ht="15" hidden="1" customHeight="1">
      <c r="AB11184" s="9"/>
      <c r="AC11184" s="9"/>
      <c r="AD11184" s="9"/>
      <c r="AF11184" s="10"/>
      <c r="AG11184" s="10"/>
      <c r="AH11184" s="10"/>
      <c r="AI11184" s="10"/>
    </row>
    <row r="11185" spans="28:35" ht="15" hidden="1" customHeight="1">
      <c r="AB11185" s="9"/>
      <c r="AC11185" s="9"/>
      <c r="AD11185" s="9"/>
      <c r="AF11185" s="10"/>
      <c r="AG11185" s="10"/>
      <c r="AH11185" s="10"/>
      <c r="AI11185" s="10"/>
    </row>
    <row r="11186" spans="28:35" ht="15" hidden="1" customHeight="1">
      <c r="AB11186" s="9"/>
      <c r="AC11186" s="9"/>
      <c r="AD11186" s="9"/>
      <c r="AF11186" s="10"/>
      <c r="AG11186" s="10"/>
      <c r="AH11186" s="10"/>
      <c r="AI11186" s="10"/>
    </row>
    <row r="11187" spans="28:35" ht="15" hidden="1" customHeight="1">
      <c r="AB11187" s="9"/>
      <c r="AC11187" s="9"/>
      <c r="AD11187" s="9"/>
      <c r="AF11187" s="10"/>
      <c r="AG11187" s="10"/>
      <c r="AH11187" s="10"/>
      <c r="AI11187" s="10"/>
    </row>
    <row r="11188" spans="28:35" ht="15" hidden="1" customHeight="1">
      <c r="AB11188" s="9"/>
      <c r="AC11188" s="9"/>
      <c r="AD11188" s="9"/>
      <c r="AF11188" s="10"/>
      <c r="AG11188" s="10"/>
      <c r="AH11188" s="10"/>
      <c r="AI11188" s="10"/>
    </row>
    <row r="11189" spans="28:35" ht="15" hidden="1" customHeight="1">
      <c r="AB11189" s="9"/>
      <c r="AC11189" s="9"/>
      <c r="AD11189" s="9"/>
      <c r="AF11189" s="10"/>
      <c r="AG11189" s="10"/>
      <c r="AH11189" s="10"/>
      <c r="AI11189" s="10"/>
    </row>
    <row r="11190" spans="28:35" ht="15" hidden="1" customHeight="1">
      <c r="AB11190" s="9"/>
      <c r="AC11190" s="9"/>
      <c r="AD11190" s="9"/>
      <c r="AF11190" s="10"/>
      <c r="AG11190" s="10"/>
      <c r="AH11190" s="10"/>
      <c r="AI11190" s="10"/>
    </row>
    <row r="11191" spans="28:35" ht="15" hidden="1" customHeight="1">
      <c r="AB11191" s="9"/>
      <c r="AC11191" s="9"/>
      <c r="AD11191" s="9"/>
      <c r="AF11191" s="10"/>
      <c r="AG11191" s="10"/>
      <c r="AH11191" s="10"/>
      <c r="AI11191" s="10"/>
    </row>
    <row r="11192" spans="28:35" ht="15" hidden="1" customHeight="1">
      <c r="AB11192" s="9"/>
      <c r="AC11192" s="9"/>
      <c r="AD11192" s="9"/>
      <c r="AF11192" s="10"/>
      <c r="AG11192" s="10"/>
      <c r="AH11192" s="10"/>
      <c r="AI11192" s="10"/>
    </row>
    <row r="11193" spans="28:35" ht="15" hidden="1" customHeight="1">
      <c r="AB11193" s="9"/>
      <c r="AC11193" s="9"/>
      <c r="AD11193" s="9"/>
      <c r="AF11193" s="10"/>
      <c r="AG11193" s="10"/>
      <c r="AH11193" s="10"/>
      <c r="AI11193" s="10"/>
    </row>
    <row r="11194" spans="28:35" ht="15" hidden="1" customHeight="1">
      <c r="AB11194" s="9"/>
      <c r="AC11194" s="9"/>
      <c r="AD11194" s="9"/>
      <c r="AF11194" s="10"/>
      <c r="AG11194" s="10"/>
      <c r="AH11194" s="10"/>
      <c r="AI11194" s="10"/>
    </row>
    <row r="11195" spans="28:35" ht="15" hidden="1" customHeight="1">
      <c r="AB11195" s="9"/>
      <c r="AC11195" s="9"/>
      <c r="AD11195" s="9"/>
      <c r="AF11195" s="10"/>
      <c r="AG11195" s="10"/>
      <c r="AH11195" s="10"/>
      <c r="AI11195" s="10"/>
    </row>
    <row r="11196" spans="28:35" ht="15" hidden="1" customHeight="1">
      <c r="AB11196" s="9"/>
      <c r="AC11196" s="9"/>
      <c r="AD11196" s="9"/>
      <c r="AF11196" s="10"/>
      <c r="AG11196" s="10"/>
      <c r="AH11196" s="10"/>
      <c r="AI11196" s="10"/>
    </row>
    <row r="11197" spans="28:35" ht="15" hidden="1" customHeight="1">
      <c r="AB11197" s="9"/>
      <c r="AC11197" s="9"/>
      <c r="AD11197" s="9"/>
      <c r="AF11197" s="10"/>
      <c r="AG11197" s="10"/>
      <c r="AH11197" s="10"/>
      <c r="AI11197" s="10"/>
    </row>
    <row r="11198" spans="28:35" ht="15" hidden="1" customHeight="1">
      <c r="AB11198" s="9"/>
      <c r="AC11198" s="9"/>
      <c r="AD11198" s="9"/>
      <c r="AF11198" s="10"/>
      <c r="AG11198" s="10"/>
      <c r="AH11198" s="10"/>
      <c r="AI11198" s="10"/>
    </row>
    <row r="11199" spans="28:35" ht="15" hidden="1" customHeight="1">
      <c r="AB11199" s="9"/>
      <c r="AC11199" s="9"/>
      <c r="AD11199" s="9"/>
      <c r="AF11199" s="10"/>
      <c r="AG11199" s="10"/>
      <c r="AH11199" s="10"/>
      <c r="AI11199" s="10"/>
    </row>
    <row r="11200" spans="28:35" ht="15" hidden="1" customHeight="1">
      <c r="AB11200" s="9"/>
      <c r="AC11200" s="9"/>
      <c r="AD11200" s="9"/>
      <c r="AF11200" s="10"/>
      <c r="AG11200" s="10"/>
      <c r="AH11200" s="10"/>
      <c r="AI11200" s="10"/>
    </row>
    <row r="11201" spans="28:35" ht="15" hidden="1" customHeight="1">
      <c r="AB11201" s="9"/>
      <c r="AC11201" s="9"/>
      <c r="AD11201" s="9"/>
      <c r="AF11201" s="10"/>
      <c r="AG11201" s="10"/>
      <c r="AH11201" s="10"/>
      <c r="AI11201" s="10"/>
    </row>
    <row r="11202" spans="28:35" ht="15" hidden="1" customHeight="1">
      <c r="AB11202" s="9"/>
      <c r="AC11202" s="9"/>
      <c r="AD11202" s="9"/>
      <c r="AF11202" s="10"/>
      <c r="AG11202" s="10"/>
      <c r="AH11202" s="10"/>
      <c r="AI11202" s="10"/>
    </row>
    <row r="11203" spans="28:35" ht="15" hidden="1" customHeight="1">
      <c r="AB11203" s="9"/>
      <c r="AC11203" s="9"/>
      <c r="AD11203" s="9"/>
      <c r="AF11203" s="10"/>
      <c r="AG11203" s="10"/>
      <c r="AH11203" s="10"/>
      <c r="AI11203" s="10"/>
    </row>
    <row r="11204" spans="28:35" ht="15" hidden="1" customHeight="1">
      <c r="AB11204" s="9"/>
      <c r="AC11204" s="9"/>
      <c r="AD11204" s="9"/>
      <c r="AF11204" s="10"/>
      <c r="AG11204" s="10"/>
      <c r="AH11204" s="10"/>
      <c r="AI11204" s="10"/>
    </row>
    <row r="11205" spans="28:35" ht="15" hidden="1" customHeight="1">
      <c r="AB11205" s="9"/>
      <c r="AC11205" s="9"/>
      <c r="AD11205" s="9"/>
      <c r="AF11205" s="10"/>
      <c r="AG11205" s="10"/>
      <c r="AH11205" s="10"/>
      <c r="AI11205" s="10"/>
    </row>
    <row r="11206" spans="28:35" ht="15" hidden="1" customHeight="1">
      <c r="AB11206" s="9"/>
      <c r="AC11206" s="9"/>
      <c r="AD11206" s="9"/>
      <c r="AF11206" s="10"/>
      <c r="AG11206" s="10"/>
      <c r="AH11206" s="10"/>
      <c r="AI11206" s="10"/>
    </row>
    <row r="11207" spans="28:35" ht="15" hidden="1" customHeight="1">
      <c r="AB11207" s="9"/>
      <c r="AC11207" s="9"/>
      <c r="AD11207" s="9"/>
      <c r="AF11207" s="10"/>
      <c r="AG11207" s="10"/>
      <c r="AH11207" s="10"/>
      <c r="AI11207" s="10"/>
    </row>
    <row r="11208" spans="28:35" ht="15" hidden="1" customHeight="1">
      <c r="AB11208" s="9"/>
      <c r="AC11208" s="9"/>
      <c r="AD11208" s="9"/>
      <c r="AF11208" s="10"/>
      <c r="AG11208" s="10"/>
      <c r="AH11208" s="10"/>
      <c r="AI11208" s="10"/>
    </row>
    <row r="11209" spans="28:35" ht="15" hidden="1" customHeight="1">
      <c r="AB11209" s="9"/>
      <c r="AC11209" s="9"/>
      <c r="AD11209" s="9"/>
      <c r="AF11209" s="10"/>
      <c r="AG11209" s="10"/>
      <c r="AH11209" s="10"/>
      <c r="AI11209" s="10"/>
    </row>
    <row r="11210" spans="28:35" ht="15" hidden="1" customHeight="1">
      <c r="AB11210" s="9"/>
      <c r="AC11210" s="9"/>
      <c r="AD11210" s="9"/>
      <c r="AF11210" s="10"/>
      <c r="AG11210" s="10"/>
      <c r="AH11210" s="10"/>
      <c r="AI11210" s="10"/>
    </row>
    <row r="11211" spans="28:35" ht="15" hidden="1" customHeight="1">
      <c r="AB11211" s="9"/>
      <c r="AC11211" s="9"/>
      <c r="AD11211" s="9"/>
      <c r="AF11211" s="10"/>
      <c r="AG11211" s="10"/>
      <c r="AH11211" s="10"/>
      <c r="AI11211" s="10"/>
    </row>
    <row r="11212" spans="28:35" ht="15" hidden="1" customHeight="1">
      <c r="AB11212" s="9"/>
      <c r="AC11212" s="9"/>
      <c r="AD11212" s="9"/>
      <c r="AF11212" s="10"/>
      <c r="AG11212" s="10"/>
      <c r="AH11212" s="10"/>
      <c r="AI11212" s="10"/>
    </row>
    <row r="11213" spans="28:35" ht="15" hidden="1" customHeight="1">
      <c r="AB11213" s="9"/>
      <c r="AC11213" s="9"/>
      <c r="AD11213" s="9"/>
      <c r="AF11213" s="10"/>
      <c r="AG11213" s="10"/>
      <c r="AH11213" s="10"/>
      <c r="AI11213" s="10"/>
    </row>
    <row r="11214" spans="28:35" ht="15" hidden="1" customHeight="1">
      <c r="AB11214" s="9"/>
      <c r="AC11214" s="9"/>
      <c r="AD11214" s="9"/>
      <c r="AF11214" s="10"/>
      <c r="AG11214" s="10"/>
      <c r="AH11214" s="10"/>
      <c r="AI11214" s="10"/>
    </row>
    <row r="11215" spans="28:35" ht="15" hidden="1" customHeight="1">
      <c r="AB11215" s="9"/>
      <c r="AC11215" s="9"/>
      <c r="AD11215" s="9"/>
      <c r="AF11215" s="10"/>
      <c r="AG11215" s="10"/>
      <c r="AH11215" s="10"/>
      <c r="AI11215" s="10"/>
    </row>
    <row r="11216" spans="28:35" ht="15" hidden="1" customHeight="1">
      <c r="AB11216" s="9"/>
      <c r="AC11216" s="9"/>
      <c r="AD11216" s="9"/>
      <c r="AF11216" s="10"/>
      <c r="AG11216" s="10"/>
      <c r="AH11216" s="10"/>
      <c r="AI11216" s="10"/>
    </row>
    <row r="11217" spans="28:35" ht="15" hidden="1" customHeight="1">
      <c r="AB11217" s="9"/>
      <c r="AC11217" s="9"/>
      <c r="AD11217" s="9"/>
      <c r="AF11217" s="10"/>
      <c r="AG11217" s="10"/>
      <c r="AH11217" s="10"/>
      <c r="AI11217" s="10"/>
    </row>
    <row r="11218" spans="28:35" ht="15" hidden="1" customHeight="1">
      <c r="AB11218" s="9"/>
      <c r="AC11218" s="9"/>
      <c r="AD11218" s="9"/>
      <c r="AF11218" s="10"/>
      <c r="AG11218" s="10"/>
      <c r="AH11218" s="10"/>
      <c r="AI11218" s="10"/>
    </row>
    <row r="11219" spans="28:35" ht="15" hidden="1" customHeight="1">
      <c r="AB11219" s="9"/>
      <c r="AC11219" s="9"/>
      <c r="AD11219" s="9"/>
      <c r="AF11219" s="10"/>
      <c r="AG11219" s="10"/>
      <c r="AH11219" s="10"/>
      <c r="AI11219" s="10"/>
    </row>
    <row r="11220" spans="28:35" ht="15" hidden="1" customHeight="1">
      <c r="AB11220" s="9"/>
      <c r="AC11220" s="9"/>
      <c r="AD11220" s="9"/>
      <c r="AF11220" s="10"/>
      <c r="AG11220" s="10"/>
      <c r="AH11220" s="10"/>
      <c r="AI11220" s="10"/>
    </row>
    <row r="11221" spans="28:35" ht="15" hidden="1" customHeight="1">
      <c r="AB11221" s="9"/>
      <c r="AC11221" s="9"/>
      <c r="AD11221" s="9"/>
      <c r="AF11221" s="10"/>
      <c r="AG11221" s="10"/>
      <c r="AH11221" s="10"/>
      <c r="AI11221" s="10"/>
    </row>
    <row r="11222" spans="28:35" ht="15" hidden="1" customHeight="1">
      <c r="AB11222" s="9"/>
      <c r="AC11222" s="9"/>
      <c r="AD11222" s="9"/>
      <c r="AF11222" s="10"/>
      <c r="AG11222" s="10"/>
      <c r="AH11222" s="10"/>
      <c r="AI11222" s="10"/>
    </row>
    <row r="11223" spans="28:35" ht="15" hidden="1" customHeight="1">
      <c r="AB11223" s="9"/>
      <c r="AC11223" s="9"/>
      <c r="AD11223" s="9"/>
      <c r="AF11223" s="10"/>
      <c r="AG11223" s="10"/>
      <c r="AH11223" s="10"/>
      <c r="AI11223" s="10"/>
    </row>
    <row r="11224" spans="28:35" ht="15" hidden="1" customHeight="1">
      <c r="AB11224" s="9"/>
      <c r="AC11224" s="9"/>
      <c r="AD11224" s="9"/>
      <c r="AF11224" s="10"/>
      <c r="AG11224" s="10"/>
      <c r="AH11224" s="10"/>
      <c r="AI11224" s="10"/>
    </row>
    <row r="11225" spans="28:35" ht="15" hidden="1" customHeight="1">
      <c r="AB11225" s="9"/>
      <c r="AC11225" s="9"/>
      <c r="AD11225" s="9"/>
      <c r="AF11225" s="10"/>
      <c r="AG11225" s="10"/>
      <c r="AH11225" s="10"/>
      <c r="AI11225" s="10"/>
    </row>
    <row r="11226" spans="28:35" ht="15" hidden="1" customHeight="1">
      <c r="AB11226" s="9"/>
      <c r="AC11226" s="9"/>
      <c r="AD11226" s="9"/>
      <c r="AF11226" s="10"/>
      <c r="AG11226" s="10"/>
      <c r="AH11226" s="10"/>
      <c r="AI11226" s="10"/>
    </row>
    <row r="11227" spans="28:35" ht="15" hidden="1" customHeight="1">
      <c r="AB11227" s="9"/>
      <c r="AC11227" s="9"/>
      <c r="AD11227" s="9"/>
      <c r="AF11227" s="10"/>
      <c r="AG11227" s="10"/>
      <c r="AH11227" s="10"/>
      <c r="AI11227" s="10"/>
    </row>
    <row r="11228" spans="28:35" ht="15" hidden="1" customHeight="1">
      <c r="AB11228" s="9"/>
      <c r="AC11228" s="9"/>
      <c r="AD11228" s="9"/>
      <c r="AF11228" s="10"/>
      <c r="AG11228" s="10"/>
      <c r="AH11228" s="10"/>
      <c r="AI11228" s="10"/>
    </row>
    <row r="11229" spans="28:35" ht="15" hidden="1" customHeight="1">
      <c r="AB11229" s="9"/>
      <c r="AC11229" s="9"/>
      <c r="AD11229" s="9"/>
      <c r="AF11229" s="10"/>
      <c r="AG11229" s="10"/>
      <c r="AH11229" s="10"/>
      <c r="AI11229" s="10"/>
    </row>
    <row r="11230" spans="28:35" ht="15" hidden="1" customHeight="1">
      <c r="AB11230" s="9"/>
      <c r="AC11230" s="9"/>
      <c r="AD11230" s="9"/>
      <c r="AF11230" s="10"/>
      <c r="AG11230" s="10"/>
      <c r="AH11230" s="10"/>
      <c r="AI11230" s="10"/>
    </row>
    <row r="11231" spans="28:35" ht="15" hidden="1" customHeight="1">
      <c r="AB11231" s="9"/>
      <c r="AC11231" s="9"/>
      <c r="AD11231" s="9"/>
      <c r="AF11231" s="10"/>
      <c r="AG11231" s="10"/>
      <c r="AH11231" s="10"/>
      <c r="AI11231" s="10"/>
    </row>
    <row r="11232" spans="28:35" ht="15" hidden="1" customHeight="1">
      <c r="AB11232" s="9"/>
      <c r="AC11232" s="9"/>
      <c r="AD11232" s="9"/>
      <c r="AF11232" s="10"/>
      <c r="AG11232" s="10"/>
      <c r="AH11232" s="10"/>
      <c r="AI11232" s="10"/>
    </row>
    <row r="11233" spans="28:35" ht="15" hidden="1" customHeight="1">
      <c r="AB11233" s="9"/>
      <c r="AC11233" s="9"/>
      <c r="AD11233" s="9"/>
      <c r="AF11233" s="10"/>
      <c r="AG11233" s="10"/>
      <c r="AH11233" s="10"/>
      <c r="AI11233" s="10"/>
    </row>
    <row r="11234" spans="28:35" ht="15" hidden="1" customHeight="1">
      <c r="AB11234" s="9"/>
      <c r="AC11234" s="9"/>
      <c r="AD11234" s="9"/>
      <c r="AF11234" s="10"/>
      <c r="AG11234" s="10"/>
      <c r="AH11234" s="10"/>
      <c r="AI11234" s="10"/>
    </row>
    <row r="11235" spans="28:35" ht="15" hidden="1" customHeight="1">
      <c r="AB11235" s="9"/>
      <c r="AC11235" s="9"/>
      <c r="AD11235" s="9"/>
      <c r="AF11235" s="10"/>
      <c r="AG11235" s="10"/>
      <c r="AH11235" s="10"/>
      <c r="AI11235" s="10"/>
    </row>
    <row r="11236" spans="28:35" ht="15" hidden="1" customHeight="1">
      <c r="AB11236" s="9"/>
      <c r="AC11236" s="9"/>
      <c r="AD11236" s="9"/>
      <c r="AF11236" s="10"/>
      <c r="AG11236" s="10"/>
      <c r="AH11236" s="10"/>
      <c r="AI11236" s="10"/>
    </row>
    <row r="11237" spans="28:35" ht="15" hidden="1" customHeight="1">
      <c r="AB11237" s="9"/>
      <c r="AC11237" s="9"/>
      <c r="AD11237" s="9"/>
      <c r="AF11237" s="10"/>
      <c r="AG11237" s="10"/>
      <c r="AH11237" s="10"/>
      <c r="AI11237" s="10"/>
    </row>
    <row r="11238" spans="28:35" ht="15" hidden="1" customHeight="1">
      <c r="AB11238" s="9"/>
      <c r="AC11238" s="9"/>
      <c r="AD11238" s="9"/>
      <c r="AF11238" s="10"/>
      <c r="AG11238" s="10"/>
      <c r="AH11238" s="10"/>
      <c r="AI11238" s="10"/>
    </row>
    <row r="11239" spans="28:35" ht="15" hidden="1" customHeight="1">
      <c r="AB11239" s="9"/>
      <c r="AC11239" s="9"/>
      <c r="AD11239" s="9"/>
      <c r="AF11239" s="10"/>
      <c r="AG11239" s="10"/>
      <c r="AH11239" s="10"/>
      <c r="AI11239" s="10"/>
    </row>
    <row r="11240" spans="28:35" ht="15" hidden="1" customHeight="1">
      <c r="AB11240" s="9"/>
      <c r="AC11240" s="9"/>
      <c r="AD11240" s="9"/>
      <c r="AF11240" s="10"/>
      <c r="AG11240" s="10"/>
      <c r="AH11240" s="10"/>
      <c r="AI11240" s="10"/>
    </row>
    <row r="11241" spans="28:35" ht="15" hidden="1" customHeight="1">
      <c r="AB11241" s="9"/>
      <c r="AC11241" s="9"/>
      <c r="AD11241" s="9"/>
      <c r="AF11241" s="10"/>
      <c r="AG11241" s="10"/>
      <c r="AH11241" s="10"/>
      <c r="AI11241" s="10"/>
    </row>
    <row r="11242" spans="28:35" ht="15" hidden="1" customHeight="1">
      <c r="AB11242" s="9"/>
      <c r="AC11242" s="9"/>
      <c r="AD11242" s="9"/>
      <c r="AF11242" s="10"/>
      <c r="AG11242" s="10"/>
      <c r="AH11242" s="10"/>
      <c r="AI11242" s="10"/>
    </row>
    <row r="11243" spans="28:35" ht="15" hidden="1" customHeight="1">
      <c r="AB11243" s="9"/>
      <c r="AC11243" s="9"/>
      <c r="AD11243" s="9"/>
      <c r="AF11243" s="10"/>
      <c r="AG11243" s="10"/>
      <c r="AH11243" s="10"/>
      <c r="AI11243" s="10"/>
    </row>
    <row r="11244" spans="28:35" ht="15" hidden="1" customHeight="1">
      <c r="AB11244" s="9"/>
      <c r="AC11244" s="9"/>
      <c r="AD11244" s="9"/>
      <c r="AF11244" s="10"/>
      <c r="AG11244" s="10"/>
      <c r="AH11244" s="10"/>
      <c r="AI11244" s="10"/>
    </row>
    <row r="11245" spans="28:35" ht="15" hidden="1" customHeight="1">
      <c r="AB11245" s="9"/>
      <c r="AC11245" s="9"/>
      <c r="AD11245" s="9"/>
      <c r="AF11245" s="10"/>
      <c r="AG11245" s="10"/>
      <c r="AH11245" s="10"/>
      <c r="AI11245" s="10"/>
    </row>
    <row r="11246" spans="28:35" ht="15" hidden="1" customHeight="1">
      <c r="AB11246" s="9"/>
      <c r="AC11246" s="9"/>
      <c r="AD11246" s="9"/>
      <c r="AF11246" s="10"/>
      <c r="AG11246" s="10"/>
      <c r="AH11246" s="10"/>
      <c r="AI11246" s="10"/>
    </row>
    <row r="11247" spans="28:35" ht="15" hidden="1" customHeight="1">
      <c r="AB11247" s="9"/>
      <c r="AC11247" s="9"/>
      <c r="AD11247" s="9"/>
      <c r="AF11247" s="10"/>
      <c r="AG11247" s="10"/>
      <c r="AH11247" s="10"/>
      <c r="AI11247" s="10"/>
    </row>
    <row r="11248" spans="28:35" ht="15" hidden="1" customHeight="1">
      <c r="AB11248" s="9"/>
      <c r="AC11248" s="9"/>
      <c r="AD11248" s="9"/>
      <c r="AF11248" s="10"/>
      <c r="AG11248" s="10"/>
      <c r="AH11248" s="10"/>
      <c r="AI11248" s="10"/>
    </row>
    <row r="11249" spans="28:35" ht="15" hidden="1" customHeight="1">
      <c r="AB11249" s="9"/>
      <c r="AC11249" s="9"/>
      <c r="AD11249" s="9"/>
      <c r="AF11249" s="10"/>
      <c r="AG11249" s="10"/>
      <c r="AH11249" s="10"/>
      <c r="AI11249" s="10"/>
    </row>
    <row r="11250" spans="28:35" ht="15" hidden="1" customHeight="1">
      <c r="AB11250" s="9"/>
      <c r="AC11250" s="9"/>
      <c r="AD11250" s="9"/>
      <c r="AF11250" s="10"/>
      <c r="AG11250" s="10"/>
      <c r="AH11250" s="10"/>
      <c r="AI11250" s="10"/>
    </row>
    <row r="11251" spans="28:35" ht="15" hidden="1" customHeight="1">
      <c r="AB11251" s="9"/>
      <c r="AC11251" s="9"/>
      <c r="AD11251" s="9"/>
      <c r="AF11251" s="10"/>
      <c r="AG11251" s="10"/>
      <c r="AH11251" s="10"/>
      <c r="AI11251" s="10"/>
    </row>
    <row r="11252" spans="28:35" ht="15" hidden="1" customHeight="1">
      <c r="AB11252" s="9"/>
      <c r="AC11252" s="9"/>
      <c r="AD11252" s="9"/>
      <c r="AF11252" s="10"/>
      <c r="AG11252" s="10"/>
      <c r="AH11252" s="10"/>
      <c r="AI11252" s="10"/>
    </row>
    <row r="11253" spans="28:35" ht="15" hidden="1" customHeight="1">
      <c r="AB11253" s="9"/>
      <c r="AC11253" s="9"/>
      <c r="AD11253" s="9"/>
      <c r="AF11253" s="10"/>
      <c r="AG11253" s="10"/>
      <c r="AH11253" s="10"/>
      <c r="AI11253" s="10"/>
    </row>
    <row r="11254" spans="28:35" ht="15" hidden="1" customHeight="1">
      <c r="AB11254" s="9"/>
      <c r="AC11254" s="9"/>
      <c r="AD11254" s="9"/>
      <c r="AF11254" s="10"/>
      <c r="AG11254" s="10"/>
      <c r="AH11254" s="10"/>
      <c r="AI11254" s="10"/>
    </row>
    <row r="11255" spans="28:35" ht="15" hidden="1" customHeight="1">
      <c r="AB11255" s="9"/>
      <c r="AC11255" s="9"/>
      <c r="AD11255" s="9"/>
      <c r="AF11255" s="10"/>
      <c r="AG11255" s="10"/>
      <c r="AH11255" s="10"/>
      <c r="AI11255" s="10"/>
    </row>
    <row r="11256" spans="28:35" ht="15" hidden="1" customHeight="1">
      <c r="AB11256" s="9"/>
      <c r="AC11256" s="9"/>
      <c r="AD11256" s="9"/>
      <c r="AF11256" s="10"/>
      <c r="AG11256" s="10"/>
      <c r="AH11256" s="10"/>
      <c r="AI11256" s="10"/>
    </row>
    <row r="11257" spans="28:35" ht="15" hidden="1" customHeight="1">
      <c r="AB11257" s="9"/>
      <c r="AC11257" s="9"/>
      <c r="AD11257" s="9"/>
      <c r="AF11257" s="10"/>
      <c r="AG11257" s="10"/>
      <c r="AH11257" s="10"/>
      <c r="AI11257" s="10"/>
    </row>
    <row r="11258" spans="28:35" ht="15" hidden="1" customHeight="1">
      <c r="AB11258" s="9"/>
      <c r="AC11258" s="9"/>
      <c r="AD11258" s="9"/>
      <c r="AF11258" s="10"/>
      <c r="AG11258" s="10"/>
      <c r="AH11258" s="10"/>
      <c r="AI11258" s="10"/>
    </row>
    <row r="11259" spans="28:35" ht="15" hidden="1" customHeight="1">
      <c r="AB11259" s="9"/>
      <c r="AC11259" s="9"/>
      <c r="AD11259" s="9"/>
      <c r="AF11259" s="10"/>
      <c r="AG11259" s="10"/>
      <c r="AH11259" s="10"/>
      <c r="AI11259" s="10"/>
    </row>
    <row r="11260" spans="28:35" ht="15" hidden="1" customHeight="1">
      <c r="AB11260" s="9"/>
      <c r="AC11260" s="9"/>
      <c r="AD11260" s="9"/>
      <c r="AF11260" s="10"/>
      <c r="AG11260" s="10"/>
      <c r="AH11260" s="10"/>
      <c r="AI11260" s="10"/>
    </row>
    <row r="11261" spans="28:35" ht="15" hidden="1" customHeight="1">
      <c r="AB11261" s="9"/>
      <c r="AC11261" s="9"/>
      <c r="AD11261" s="9"/>
      <c r="AF11261" s="10"/>
      <c r="AG11261" s="10"/>
      <c r="AH11261" s="10"/>
      <c r="AI11261" s="10"/>
    </row>
    <row r="11262" spans="28:35" ht="15" hidden="1" customHeight="1">
      <c r="AB11262" s="9"/>
      <c r="AC11262" s="9"/>
      <c r="AD11262" s="9"/>
      <c r="AF11262" s="10"/>
      <c r="AG11262" s="10"/>
      <c r="AH11262" s="10"/>
      <c r="AI11262" s="10"/>
    </row>
    <row r="11263" spans="28:35" ht="15" hidden="1" customHeight="1">
      <c r="AB11263" s="9"/>
      <c r="AC11263" s="9"/>
      <c r="AD11263" s="9"/>
      <c r="AF11263" s="10"/>
      <c r="AG11263" s="10"/>
      <c r="AH11263" s="10"/>
      <c r="AI11263" s="10"/>
    </row>
    <row r="11264" spans="28:35" ht="15" hidden="1" customHeight="1">
      <c r="AB11264" s="9"/>
      <c r="AC11264" s="9"/>
      <c r="AD11264" s="9"/>
      <c r="AF11264" s="10"/>
      <c r="AG11264" s="10"/>
      <c r="AH11264" s="10"/>
      <c r="AI11264" s="10"/>
    </row>
    <row r="11265" spans="28:35" ht="15" hidden="1" customHeight="1">
      <c r="AB11265" s="9"/>
      <c r="AC11265" s="9"/>
      <c r="AD11265" s="9"/>
      <c r="AF11265" s="10"/>
      <c r="AG11265" s="10"/>
      <c r="AH11265" s="10"/>
      <c r="AI11265" s="10"/>
    </row>
    <row r="11266" spans="28:35" ht="15" hidden="1" customHeight="1">
      <c r="AB11266" s="9"/>
      <c r="AC11266" s="9"/>
      <c r="AD11266" s="9"/>
      <c r="AF11266" s="10"/>
      <c r="AG11266" s="10"/>
      <c r="AH11266" s="10"/>
      <c r="AI11266" s="10"/>
    </row>
    <row r="11267" spans="28:35" ht="15" hidden="1" customHeight="1">
      <c r="AB11267" s="9"/>
      <c r="AC11267" s="9"/>
      <c r="AD11267" s="9"/>
      <c r="AF11267" s="10"/>
      <c r="AG11267" s="10"/>
      <c r="AH11267" s="10"/>
      <c r="AI11267" s="10"/>
    </row>
    <row r="11268" spans="28:35" ht="15" hidden="1" customHeight="1">
      <c r="AB11268" s="9"/>
      <c r="AC11268" s="9"/>
      <c r="AD11268" s="9"/>
      <c r="AF11268" s="10"/>
      <c r="AG11268" s="10"/>
      <c r="AH11268" s="10"/>
      <c r="AI11268" s="10"/>
    </row>
    <row r="11269" spans="28:35" ht="15" hidden="1" customHeight="1">
      <c r="AB11269" s="9"/>
      <c r="AC11269" s="9"/>
      <c r="AD11269" s="9"/>
      <c r="AF11269" s="10"/>
      <c r="AG11269" s="10"/>
      <c r="AH11269" s="10"/>
      <c r="AI11269" s="10"/>
    </row>
    <row r="11270" spans="28:35" ht="15" hidden="1" customHeight="1">
      <c r="AB11270" s="9"/>
      <c r="AC11270" s="9"/>
      <c r="AD11270" s="9"/>
      <c r="AF11270" s="10"/>
      <c r="AG11270" s="10"/>
      <c r="AH11270" s="10"/>
      <c r="AI11270" s="10"/>
    </row>
    <row r="11271" spans="28:35" ht="15" hidden="1" customHeight="1">
      <c r="AB11271" s="9"/>
      <c r="AC11271" s="9"/>
      <c r="AD11271" s="9"/>
      <c r="AF11271" s="10"/>
      <c r="AG11271" s="10"/>
      <c r="AH11271" s="10"/>
      <c r="AI11271" s="10"/>
    </row>
    <row r="11272" spans="28:35" ht="15" hidden="1" customHeight="1">
      <c r="AB11272" s="9"/>
      <c r="AC11272" s="9"/>
      <c r="AD11272" s="9"/>
      <c r="AF11272" s="10"/>
      <c r="AG11272" s="10"/>
      <c r="AH11272" s="10"/>
      <c r="AI11272" s="10"/>
    </row>
    <row r="11273" spans="28:35" ht="15" hidden="1" customHeight="1">
      <c r="AB11273" s="9"/>
      <c r="AC11273" s="9"/>
      <c r="AD11273" s="9"/>
      <c r="AF11273" s="10"/>
      <c r="AG11273" s="10"/>
      <c r="AH11273" s="10"/>
      <c r="AI11273" s="10"/>
    </row>
    <row r="11274" spans="28:35" ht="15" hidden="1" customHeight="1">
      <c r="AB11274" s="9"/>
      <c r="AC11274" s="9"/>
      <c r="AD11274" s="9"/>
      <c r="AF11274" s="10"/>
      <c r="AG11274" s="10"/>
      <c r="AH11274" s="10"/>
      <c r="AI11274" s="10"/>
    </row>
    <row r="11275" spans="28:35" ht="15" hidden="1" customHeight="1">
      <c r="AB11275" s="9"/>
      <c r="AC11275" s="9"/>
      <c r="AD11275" s="9"/>
      <c r="AF11275" s="10"/>
      <c r="AG11275" s="10"/>
      <c r="AH11275" s="10"/>
      <c r="AI11275" s="10"/>
    </row>
    <row r="11276" spans="28:35" ht="15" hidden="1" customHeight="1">
      <c r="AB11276" s="9"/>
      <c r="AC11276" s="9"/>
      <c r="AD11276" s="9"/>
      <c r="AF11276" s="10"/>
      <c r="AG11276" s="10"/>
      <c r="AH11276" s="10"/>
      <c r="AI11276" s="10"/>
    </row>
    <row r="11277" spans="28:35" ht="15" hidden="1" customHeight="1">
      <c r="AB11277" s="9"/>
      <c r="AC11277" s="9"/>
      <c r="AD11277" s="9"/>
      <c r="AF11277" s="10"/>
      <c r="AG11277" s="10"/>
      <c r="AH11277" s="10"/>
      <c r="AI11277" s="10"/>
    </row>
    <row r="11278" spans="28:35" ht="15" hidden="1" customHeight="1">
      <c r="AB11278" s="9"/>
      <c r="AC11278" s="9"/>
      <c r="AD11278" s="9"/>
      <c r="AF11278" s="10"/>
      <c r="AG11278" s="10"/>
      <c r="AH11278" s="10"/>
      <c r="AI11278" s="10"/>
    </row>
    <row r="11279" spans="28:35" ht="15" hidden="1" customHeight="1">
      <c r="AB11279" s="9"/>
      <c r="AC11279" s="9"/>
      <c r="AD11279" s="9"/>
      <c r="AF11279" s="10"/>
      <c r="AG11279" s="10"/>
      <c r="AH11279" s="10"/>
      <c r="AI11279" s="10"/>
    </row>
    <row r="11280" spans="28:35" ht="15" hidden="1" customHeight="1">
      <c r="AB11280" s="9"/>
      <c r="AC11280" s="9"/>
      <c r="AD11280" s="9"/>
      <c r="AF11280" s="10"/>
      <c r="AG11280" s="10"/>
      <c r="AH11280" s="10"/>
      <c r="AI11280" s="10"/>
    </row>
    <row r="11281" spans="28:35" ht="15" hidden="1" customHeight="1">
      <c r="AB11281" s="9"/>
      <c r="AC11281" s="9"/>
      <c r="AD11281" s="9"/>
      <c r="AF11281" s="10"/>
      <c r="AG11281" s="10"/>
      <c r="AH11281" s="10"/>
      <c r="AI11281" s="10"/>
    </row>
    <row r="11282" spans="28:35" ht="15" hidden="1" customHeight="1">
      <c r="AB11282" s="9"/>
      <c r="AC11282" s="9"/>
      <c r="AD11282" s="9"/>
      <c r="AF11282" s="10"/>
      <c r="AG11282" s="10"/>
      <c r="AH11282" s="10"/>
      <c r="AI11282" s="10"/>
    </row>
    <row r="11283" spans="28:35" ht="15" hidden="1" customHeight="1">
      <c r="AB11283" s="9"/>
      <c r="AC11283" s="9"/>
      <c r="AD11283" s="9"/>
      <c r="AF11283" s="10"/>
      <c r="AG11283" s="10"/>
      <c r="AH11283" s="10"/>
      <c r="AI11283" s="10"/>
    </row>
    <row r="11284" spans="28:35" ht="15" hidden="1" customHeight="1">
      <c r="AB11284" s="9"/>
      <c r="AC11284" s="9"/>
      <c r="AD11284" s="9"/>
      <c r="AF11284" s="10"/>
      <c r="AG11284" s="10"/>
      <c r="AH11284" s="10"/>
      <c r="AI11284" s="10"/>
    </row>
    <row r="11285" spans="28:35" ht="15" hidden="1" customHeight="1">
      <c r="AB11285" s="9"/>
      <c r="AC11285" s="9"/>
      <c r="AD11285" s="9"/>
      <c r="AF11285" s="10"/>
      <c r="AG11285" s="10"/>
      <c r="AH11285" s="10"/>
      <c r="AI11285" s="10"/>
    </row>
    <row r="11286" spans="28:35" ht="15" hidden="1" customHeight="1">
      <c r="AB11286" s="9"/>
      <c r="AC11286" s="9"/>
      <c r="AD11286" s="9"/>
      <c r="AF11286" s="10"/>
      <c r="AG11286" s="10"/>
      <c r="AH11286" s="10"/>
      <c r="AI11286" s="10"/>
    </row>
    <row r="11287" spans="28:35" ht="15" hidden="1" customHeight="1">
      <c r="AB11287" s="9"/>
      <c r="AC11287" s="9"/>
      <c r="AD11287" s="9"/>
      <c r="AF11287" s="10"/>
      <c r="AG11287" s="10"/>
      <c r="AH11287" s="10"/>
      <c r="AI11287" s="10"/>
    </row>
    <row r="11288" spans="28:35" ht="15" hidden="1" customHeight="1">
      <c r="AB11288" s="9"/>
      <c r="AC11288" s="9"/>
      <c r="AD11288" s="9"/>
      <c r="AF11288" s="10"/>
      <c r="AG11288" s="10"/>
      <c r="AH11288" s="10"/>
      <c r="AI11288" s="10"/>
    </row>
    <row r="11289" spans="28:35" ht="15" hidden="1" customHeight="1">
      <c r="AB11289" s="9"/>
      <c r="AC11289" s="9"/>
      <c r="AD11289" s="9"/>
      <c r="AF11289" s="10"/>
      <c r="AG11289" s="10"/>
      <c r="AH11289" s="10"/>
      <c r="AI11289" s="10"/>
    </row>
    <row r="11290" spans="28:35" ht="15" hidden="1" customHeight="1">
      <c r="AB11290" s="9"/>
      <c r="AC11290" s="9"/>
      <c r="AD11290" s="9"/>
      <c r="AF11290" s="10"/>
      <c r="AG11290" s="10"/>
      <c r="AH11290" s="10"/>
      <c r="AI11290" s="10"/>
    </row>
    <row r="11291" spans="28:35" ht="15" hidden="1" customHeight="1">
      <c r="AB11291" s="9"/>
      <c r="AC11291" s="9"/>
      <c r="AD11291" s="9"/>
      <c r="AF11291" s="10"/>
      <c r="AG11291" s="10"/>
      <c r="AH11291" s="10"/>
      <c r="AI11291" s="10"/>
    </row>
    <row r="11292" spans="28:35" ht="15" hidden="1" customHeight="1">
      <c r="AB11292" s="9"/>
      <c r="AC11292" s="9"/>
      <c r="AD11292" s="9"/>
      <c r="AF11292" s="10"/>
      <c r="AG11292" s="10"/>
      <c r="AH11292" s="10"/>
      <c r="AI11292" s="10"/>
    </row>
    <row r="11293" spans="28:35" ht="15" hidden="1" customHeight="1">
      <c r="AB11293" s="9"/>
      <c r="AC11293" s="9"/>
      <c r="AD11293" s="9"/>
      <c r="AF11293" s="10"/>
      <c r="AG11293" s="10"/>
      <c r="AH11293" s="10"/>
      <c r="AI11293" s="10"/>
    </row>
    <row r="11294" spans="28:35" ht="15" hidden="1" customHeight="1">
      <c r="AB11294" s="9"/>
      <c r="AC11294" s="9"/>
      <c r="AD11294" s="9"/>
      <c r="AF11294" s="10"/>
      <c r="AG11294" s="10"/>
      <c r="AH11294" s="10"/>
      <c r="AI11294" s="10"/>
    </row>
    <row r="11295" spans="28:35" ht="15" hidden="1" customHeight="1">
      <c r="AB11295" s="9"/>
      <c r="AC11295" s="9"/>
      <c r="AD11295" s="9"/>
      <c r="AF11295" s="10"/>
      <c r="AG11295" s="10"/>
      <c r="AH11295" s="10"/>
      <c r="AI11295" s="10"/>
    </row>
    <row r="11296" spans="28:35" ht="15" hidden="1" customHeight="1">
      <c r="AB11296" s="9"/>
      <c r="AC11296" s="9"/>
      <c r="AD11296" s="9"/>
      <c r="AF11296" s="10"/>
      <c r="AG11296" s="10"/>
      <c r="AH11296" s="10"/>
      <c r="AI11296" s="10"/>
    </row>
    <row r="11297" spans="28:35" ht="15" hidden="1" customHeight="1">
      <c r="AB11297" s="9"/>
      <c r="AC11297" s="9"/>
      <c r="AD11297" s="9"/>
      <c r="AF11297" s="10"/>
      <c r="AG11297" s="10"/>
      <c r="AH11297" s="10"/>
      <c r="AI11297" s="10"/>
    </row>
    <row r="11298" spans="28:35" ht="15" hidden="1" customHeight="1">
      <c r="AB11298" s="9"/>
      <c r="AC11298" s="9"/>
      <c r="AD11298" s="9"/>
      <c r="AF11298" s="10"/>
      <c r="AG11298" s="10"/>
      <c r="AH11298" s="10"/>
      <c r="AI11298" s="10"/>
    </row>
    <row r="11299" spans="28:35" ht="15" hidden="1" customHeight="1">
      <c r="AB11299" s="9"/>
      <c r="AC11299" s="9"/>
      <c r="AD11299" s="9"/>
      <c r="AF11299" s="10"/>
      <c r="AG11299" s="10"/>
      <c r="AH11299" s="10"/>
      <c r="AI11299" s="10"/>
    </row>
    <row r="11300" spans="28:35" ht="15" hidden="1" customHeight="1">
      <c r="AB11300" s="9"/>
      <c r="AC11300" s="9"/>
      <c r="AD11300" s="9"/>
      <c r="AF11300" s="10"/>
      <c r="AG11300" s="10"/>
      <c r="AH11300" s="10"/>
      <c r="AI11300" s="10"/>
    </row>
    <row r="11301" spans="28:35" ht="15" hidden="1" customHeight="1">
      <c r="AB11301" s="9"/>
      <c r="AC11301" s="9"/>
      <c r="AD11301" s="9"/>
      <c r="AF11301" s="10"/>
      <c r="AG11301" s="10"/>
      <c r="AH11301" s="10"/>
      <c r="AI11301" s="10"/>
    </row>
    <row r="11302" spans="28:35" ht="15" hidden="1" customHeight="1">
      <c r="AB11302" s="9"/>
      <c r="AC11302" s="9"/>
      <c r="AD11302" s="9"/>
      <c r="AF11302" s="10"/>
      <c r="AG11302" s="10"/>
      <c r="AH11302" s="10"/>
      <c r="AI11302" s="10"/>
    </row>
    <row r="11303" spans="28:35" ht="15" hidden="1" customHeight="1">
      <c r="AB11303" s="9"/>
      <c r="AC11303" s="9"/>
      <c r="AD11303" s="9"/>
      <c r="AF11303" s="10"/>
      <c r="AG11303" s="10"/>
      <c r="AH11303" s="10"/>
      <c r="AI11303" s="10"/>
    </row>
    <row r="11304" spans="28:35" ht="15" hidden="1" customHeight="1">
      <c r="AB11304" s="9"/>
      <c r="AC11304" s="9"/>
      <c r="AD11304" s="9"/>
      <c r="AF11304" s="10"/>
      <c r="AG11304" s="10"/>
      <c r="AH11304" s="10"/>
      <c r="AI11304" s="10"/>
    </row>
    <row r="11305" spans="28:35" ht="15" hidden="1" customHeight="1">
      <c r="AB11305" s="9"/>
      <c r="AC11305" s="9"/>
      <c r="AD11305" s="9"/>
      <c r="AF11305" s="10"/>
      <c r="AG11305" s="10"/>
      <c r="AH11305" s="10"/>
      <c r="AI11305" s="10"/>
    </row>
    <row r="11306" spans="28:35" ht="15" hidden="1" customHeight="1">
      <c r="AB11306" s="9"/>
      <c r="AC11306" s="9"/>
      <c r="AD11306" s="9"/>
      <c r="AF11306" s="10"/>
      <c r="AG11306" s="10"/>
      <c r="AH11306" s="10"/>
      <c r="AI11306" s="10"/>
    </row>
    <row r="11307" spans="28:35" ht="15" hidden="1" customHeight="1">
      <c r="AB11307" s="9"/>
      <c r="AC11307" s="9"/>
      <c r="AD11307" s="9"/>
      <c r="AF11307" s="10"/>
      <c r="AG11307" s="10"/>
      <c r="AH11307" s="10"/>
      <c r="AI11307" s="10"/>
    </row>
    <row r="11308" spans="28:35" ht="15" hidden="1" customHeight="1">
      <c r="AB11308" s="9"/>
      <c r="AC11308" s="9"/>
      <c r="AD11308" s="9"/>
      <c r="AF11308" s="10"/>
      <c r="AG11308" s="10"/>
      <c r="AH11308" s="10"/>
      <c r="AI11308" s="10"/>
    </row>
    <row r="11309" spans="28:35" ht="15" hidden="1" customHeight="1">
      <c r="AB11309" s="9"/>
      <c r="AC11309" s="9"/>
      <c r="AD11309" s="9"/>
      <c r="AF11309" s="10"/>
      <c r="AG11309" s="10"/>
      <c r="AH11309" s="10"/>
      <c r="AI11309" s="10"/>
    </row>
    <row r="11310" spans="28:35" ht="15" hidden="1" customHeight="1">
      <c r="AB11310" s="9"/>
      <c r="AC11310" s="9"/>
      <c r="AD11310" s="9"/>
      <c r="AF11310" s="10"/>
      <c r="AG11310" s="10"/>
      <c r="AH11310" s="10"/>
      <c r="AI11310" s="10"/>
    </row>
    <row r="11311" spans="28:35" ht="15" hidden="1" customHeight="1">
      <c r="AB11311" s="9"/>
      <c r="AC11311" s="9"/>
      <c r="AD11311" s="9"/>
      <c r="AF11311" s="10"/>
      <c r="AG11311" s="10"/>
      <c r="AH11311" s="10"/>
      <c r="AI11311" s="10"/>
    </row>
    <row r="11312" spans="28:35" ht="15" hidden="1" customHeight="1">
      <c r="AB11312" s="9"/>
      <c r="AC11312" s="9"/>
      <c r="AD11312" s="9"/>
      <c r="AF11312" s="10"/>
      <c r="AG11312" s="10"/>
      <c r="AH11312" s="10"/>
      <c r="AI11312" s="10"/>
    </row>
    <row r="11313" spans="28:35" ht="15" hidden="1" customHeight="1">
      <c r="AB11313" s="9"/>
      <c r="AC11313" s="9"/>
      <c r="AD11313" s="9"/>
      <c r="AF11313" s="10"/>
      <c r="AG11313" s="10"/>
      <c r="AH11313" s="10"/>
      <c r="AI11313" s="10"/>
    </row>
    <row r="11314" spans="28:35" ht="15" hidden="1" customHeight="1">
      <c r="AB11314" s="9"/>
      <c r="AC11314" s="9"/>
      <c r="AD11314" s="9"/>
      <c r="AF11314" s="10"/>
      <c r="AG11314" s="10"/>
      <c r="AH11314" s="10"/>
      <c r="AI11314" s="10"/>
    </row>
    <row r="11315" spans="28:35" ht="15" hidden="1" customHeight="1">
      <c r="AB11315" s="9"/>
      <c r="AC11315" s="9"/>
      <c r="AD11315" s="9"/>
      <c r="AF11315" s="10"/>
      <c r="AG11315" s="10"/>
      <c r="AH11315" s="10"/>
      <c r="AI11315" s="10"/>
    </row>
    <row r="11316" spans="28:35" ht="15" hidden="1" customHeight="1">
      <c r="AB11316" s="9"/>
      <c r="AC11316" s="9"/>
      <c r="AD11316" s="9"/>
      <c r="AF11316" s="10"/>
      <c r="AG11316" s="10"/>
      <c r="AH11316" s="10"/>
      <c r="AI11316" s="10"/>
    </row>
    <row r="11317" spans="28:35" ht="15" hidden="1" customHeight="1">
      <c r="AB11317" s="9"/>
      <c r="AC11317" s="9"/>
      <c r="AD11317" s="9"/>
      <c r="AF11317" s="10"/>
      <c r="AG11317" s="10"/>
      <c r="AH11317" s="10"/>
      <c r="AI11317" s="10"/>
    </row>
    <row r="11318" spans="28:35" ht="15" hidden="1" customHeight="1">
      <c r="AB11318" s="9"/>
      <c r="AC11318" s="9"/>
      <c r="AD11318" s="9"/>
      <c r="AF11318" s="10"/>
      <c r="AG11318" s="10"/>
      <c r="AH11318" s="10"/>
      <c r="AI11318" s="10"/>
    </row>
    <row r="11319" spans="28:35" ht="15" hidden="1" customHeight="1">
      <c r="AB11319" s="9"/>
      <c r="AC11319" s="9"/>
      <c r="AD11319" s="9"/>
      <c r="AF11319" s="10"/>
      <c r="AG11319" s="10"/>
      <c r="AH11319" s="10"/>
      <c r="AI11319" s="10"/>
    </row>
    <row r="11320" spans="28:35" ht="15" hidden="1" customHeight="1">
      <c r="AB11320" s="9"/>
      <c r="AC11320" s="9"/>
      <c r="AD11320" s="9"/>
      <c r="AF11320" s="10"/>
      <c r="AG11320" s="10"/>
      <c r="AH11320" s="10"/>
      <c r="AI11320" s="10"/>
    </row>
    <row r="11321" spans="28:35" ht="15" hidden="1" customHeight="1">
      <c r="AB11321" s="9"/>
      <c r="AC11321" s="9"/>
      <c r="AD11321" s="9"/>
      <c r="AF11321" s="10"/>
      <c r="AG11321" s="10"/>
      <c r="AH11321" s="10"/>
      <c r="AI11321" s="10"/>
    </row>
    <row r="11322" spans="28:35" ht="15" hidden="1" customHeight="1">
      <c r="AB11322" s="9"/>
      <c r="AC11322" s="9"/>
      <c r="AD11322" s="9"/>
      <c r="AF11322" s="10"/>
      <c r="AG11322" s="10"/>
      <c r="AH11322" s="10"/>
      <c r="AI11322" s="10"/>
    </row>
    <row r="11323" spans="28:35" ht="15" hidden="1" customHeight="1">
      <c r="AB11323" s="9"/>
      <c r="AC11323" s="9"/>
      <c r="AD11323" s="9"/>
      <c r="AF11323" s="10"/>
      <c r="AG11323" s="10"/>
      <c r="AH11323" s="10"/>
      <c r="AI11323" s="10"/>
    </row>
    <row r="11324" spans="28:35" ht="15" hidden="1" customHeight="1">
      <c r="AB11324" s="9"/>
      <c r="AC11324" s="9"/>
      <c r="AD11324" s="9"/>
      <c r="AF11324" s="10"/>
      <c r="AG11324" s="10"/>
      <c r="AH11324" s="10"/>
      <c r="AI11324" s="10"/>
    </row>
    <row r="11325" spans="28:35" ht="15" hidden="1" customHeight="1">
      <c r="AB11325" s="9"/>
      <c r="AC11325" s="9"/>
      <c r="AD11325" s="9"/>
      <c r="AF11325" s="10"/>
      <c r="AG11325" s="10"/>
      <c r="AH11325" s="10"/>
      <c r="AI11325" s="10"/>
    </row>
    <row r="11326" spans="28:35" ht="15" hidden="1" customHeight="1">
      <c r="AB11326" s="9"/>
      <c r="AC11326" s="9"/>
      <c r="AD11326" s="9"/>
      <c r="AF11326" s="10"/>
      <c r="AG11326" s="10"/>
      <c r="AH11326" s="10"/>
      <c r="AI11326" s="10"/>
    </row>
    <row r="11327" spans="28:35" ht="15" hidden="1" customHeight="1">
      <c r="AB11327" s="9"/>
      <c r="AC11327" s="9"/>
      <c r="AD11327" s="9"/>
      <c r="AF11327" s="10"/>
      <c r="AG11327" s="10"/>
      <c r="AH11327" s="10"/>
      <c r="AI11327" s="10"/>
    </row>
    <row r="11328" spans="28:35" ht="15" hidden="1" customHeight="1">
      <c r="AB11328" s="9"/>
      <c r="AC11328" s="9"/>
      <c r="AD11328" s="9"/>
      <c r="AF11328" s="10"/>
      <c r="AG11328" s="10"/>
      <c r="AH11328" s="10"/>
      <c r="AI11328" s="10"/>
    </row>
    <row r="11329" spans="28:35" ht="15" hidden="1" customHeight="1">
      <c r="AB11329" s="9"/>
      <c r="AC11329" s="9"/>
      <c r="AD11329" s="9"/>
      <c r="AF11329" s="10"/>
      <c r="AG11329" s="10"/>
      <c r="AH11329" s="10"/>
      <c r="AI11329" s="10"/>
    </row>
    <row r="11330" spans="28:35" ht="15" hidden="1" customHeight="1">
      <c r="AB11330" s="9"/>
      <c r="AC11330" s="9"/>
      <c r="AD11330" s="9"/>
      <c r="AF11330" s="10"/>
      <c r="AG11330" s="10"/>
      <c r="AH11330" s="10"/>
      <c r="AI11330" s="10"/>
    </row>
    <row r="11331" spans="28:35" ht="15" hidden="1" customHeight="1">
      <c r="AB11331" s="9"/>
      <c r="AC11331" s="9"/>
      <c r="AD11331" s="9"/>
      <c r="AF11331" s="10"/>
      <c r="AG11331" s="10"/>
      <c r="AH11331" s="10"/>
      <c r="AI11331" s="10"/>
    </row>
    <row r="11332" spans="28:35" ht="15" hidden="1" customHeight="1">
      <c r="AB11332" s="9"/>
      <c r="AC11332" s="9"/>
      <c r="AD11332" s="9"/>
      <c r="AF11332" s="10"/>
      <c r="AG11332" s="10"/>
      <c r="AH11332" s="10"/>
      <c r="AI11332" s="10"/>
    </row>
    <row r="11333" spans="28:35" ht="15" hidden="1" customHeight="1">
      <c r="AB11333" s="9"/>
      <c r="AC11333" s="9"/>
      <c r="AD11333" s="9"/>
      <c r="AF11333" s="10"/>
      <c r="AG11333" s="10"/>
      <c r="AH11333" s="10"/>
      <c r="AI11333" s="10"/>
    </row>
    <row r="11334" spans="28:35" ht="15" hidden="1" customHeight="1">
      <c r="AB11334" s="9"/>
      <c r="AC11334" s="9"/>
      <c r="AD11334" s="9"/>
      <c r="AF11334" s="10"/>
      <c r="AG11334" s="10"/>
      <c r="AH11334" s="10"/>
      <c r="AI11334" s="10"/>
    </row>
    <row r="11335" spans="28:35" ht="15" hidden="1" customHeight="1">
      <c r="AB11335" s="9"/>
      <c r="AC11335" s="9"/>
      <c r="AD11335" s="9"/>
      <c r="AF11335" s="10"/>
      <c r="AG11335" s="10"/>
      <c r="AH11335" s="10"/>
      <c r="AI11335" s="10"/>
    </row>
    <row r="11336" spans="28:35" ht="15" hidden="1" customHeight="1">
      <c r="AB11336" s="9"/>
      <c r="AC11336" s="9"/>
      <c r="AD11336" s="9"/>
      <c r="AF11336" s="10"/>
      <c r="AG11336" s="10"/>
      <c r="AH11336" s="10"/>
      <c r="AI11336" s="10"/>
    </row>
    <row r="11337" spans="28:35" ht="15" hidden="1" customHeight="1">
      <c r="AB11337" s="9"/>
      <c r="AC11337" s="9"/>
      <c r="AD11337" s="9"/>
      <c r="AF11337" s="10"/>
      <c r="AG11337" s="10"/>
      <c r="AH11337" s="10"/>
      <c r="AI11337" s="10"/>
    </row>
    <row r="11338" spans="28:35" ht="15" hidden="1" customHeight="1">
      <c r="AB11338" s="9"/>
      <c r="AC11338" s="9"/>
      <c r="AD11338" s="9"/>
      <c r="AF11338" s="10"/>
      <c r="AG11338" s="10"/>
      <c r="AH11338" s="10"/>
      <c r="AI11338" s="10"/>
    </row>
    <row r="11339" spans="28:35" ht="15" hidden="1" customHeight="1">
      <c r="AB11339" s="9"/>
      <c r="AC11339" s="9"/>
      <c r="AD11339" s="9"/>
      <c r="AF11339" s="10"/>
      <c r="AG11339" s="10"/>
      <c r="AH11339" s="10"/>
      <c r="AI11339" s="10"/>
    </row>
    <row r="11340" spans="28:35" ht="15" hidden="1" customHeight="1">
      <c r="AB11340" s="9"/>
      <c r="AC11340" s="9"/>
      <c r="AD11340" s="9"/>
      <c r="AF11340" s="10"/>
      <c r="AG11340" s="10"/>
      <c r="AH11340" s="10"/>
      <c r="AI11340" s="10"/>
    </row>
    <row r="11341" spans="28:35" ht="15" hidden="1" customHeight="1">
      <c r="AB11341" s="9"/>
      <c r="AC11341" s="9"/>
      <c r="AD11341" s="9"/>
      <c r="AF11341" s="10"/>
      <c r="AG11341" s="10"/>
      <c r="AH11341" s="10"/>
      <c r="AI11341" s="10"/>
    </row>
    <row r="11342" spans="28:35" ht="15" hidden="1" customHeight="1">
      <c r="AB11342" s="9"/>
      <c r="AC11342" s="9"/>
      <c r="AD11342" s="9"/>
      <c r="AF11342" s="10"/>
      <c r="AG11342" s="10"/>
      <c r="AH11342" s="10"/>
      <c r="AI11342" s="10"/>
    </row>
    <row r="11343" spans="28:35" ht="15" hidden="1" customHeight="1">
      <c r="AB11343" s="9"/>
      <c r="AC11343" s="9"/>
      <c r="AD11343" s="9"/>
      <c r="AF11343" s="10"/>
      <c r="AG11343" s="10"/>
      <c r="AH11343" s="10"/>
      <c r="AI11343" s="10"/>
    </row>
    <row r="11344" spans="28:35" ht="15" hidden="1" customHeight="1">
      <c r="AB11344" s="9"/>
      <c r="AC11344" s="9"/>
      <c r="AD11344" s="9"/>
      <c r="AF11344" s="10"/>
      <c r="AG11344" s="10"/>
      <c r="AH11344" s="10"/>
      <c r="AI11344" s="10"/>
    </row>
    <row r="11345" spans="28:35" ht="15" hidden="1" customHeight="1">
      <c r="AB11345" s="9"/>
      <c r="AC11345" s="9"/>
      <c r="AD11345" s="9"/>
      <c r="AF11345" s="10"/>
      <c r="AG11345" s="10"/>
      <c r="AH11345" s="10"/>
      <c r="AI11345" s="10"/>
    </row>
    <row r="11346" spans="28:35" ht="15" hidden="1" customHeight="1">
      <c r="AB11346" s="9"/>
      <c r="AC11346" s="9"/>
      <c r="AD11346" s="9"/>
      <c r="AF11346" s="10"/>
      <c r="AG11346" s="10"/>
      <c r="AH11346" s="10"/>
      <c r="AI11346" s="10"/>
    </row>
    <row r="11347" spans="28:35" ht="15" hidden="1" customHeight="1">
      <c r="AB11347" s="9"/>
      <c r="AC11347" s="9"/>
      <c r="AD11347" s="9"/>
      <c r="AF11347" s="10"/>
      <c r="AG11347" s="10"/>
      <c r="AH11347" s="10"/>
      <c r="AI11347" s="10"/>
    </row>
    <row r="11348" spans="28:35" ht="15" hidden="1" customHeight="1">
      <c r="AB11348" s="9"/>
      <c r="AC11348" s="9"/>
      <c r="AD11348" s="9"/>
      <c r="AF11348" s="10"/>
      <c r="AG11348" s="10"/>
      <c r="AH11348" s="10"/>
      <c r="AI11348" s="10"/>
    </row>
    <row r="11349" spans="28:35" ht="15" hidden="1" customHeight="1">
      <c r="AB11349" s="9"/>
      <c r="AC11349" s="9"/>
      <c r="AD11349" s="9"/>
      <c r="AF11349" s="10"/>
      <c r="AG11349" s="10"/>
      <c r="AH11349" s="10"/>
      <c r="AI11349" s="10"/>
    </row>
    <row r="11350" spans="28:35" ht="15" hidden="1" customHeight="1">
      <c r="AB11350" s="9"/>
      <c r="AC11350" s="9"/>
      <c r="AD11350" s="9"/>
      <c r="AF11350" s="10"/>
      <c r="AG11350" s="10"/>
      <c r="AH11350" s="10"/>
      <c r="AI11350" s="10"/>
    </row>
    <row r="11351" spans="28:35" ht="15" hidden="1" customHeight="1">
      <c r="AB11351" s="9"/>
      <c r="AC11351" s="9"/>
      <c r="AD11351" s="9"/>
      <c r="AF11351" s="10"/>
      <c r="AG11351" s="10"/>
      <c r="AH11351" s="10"/>
      <c r="AI11351" s="10"/>
    </row>
    <row r="11352" spans="28:35" ht="15" hidden="1" customHeight="1">
      <c r="AB11352" s="9"/>
      <c r="AC11352" s="9"/>
      <c r="AD11352" s="9"/>
      <c r="AF11352" s="10"/>
      <c r="AG11352" s="10"/>
      <c r="AH11352" s="10"/>
      <c r="AI11352" s="10"/>
    </row>
    <row r="11353" spans="28:35" ht="15" hidden="1" customHeight="1">
      <c r="AB11353" s="9"/>
      <c r="AC11353" s="9"/>
      <c r="AD11353" s="9"/>
      <c r="AF11353" s="10"/>
      <c r="AG11353" s="10"/>
      <c r="AH11353" s="10"/>
      <c r="AI11353" s="10"/>
    </row>
    <row r="11354" spans="28:35" ht="15" hidden="1" customHeight="1">
      <c r="AB11354" s="9"/>
      <c r="AC11354" s="9"/>
      <c r="AD11354" s="9"/>
      <c r="AF11354" s="10"/>
      <c r="AG11354" s="10"/>
      <c r="AH11354" s="10"/>
      <c r="AI11354" s="10"/>
    </row>
    <row r="11355" spans="28:35" ht="15" hidden="1" customHeight="1">
      <c r="AB11355" s="9"/>
      <c r="AC11355" s="9"/>
      <c r="AD11355" s="9"/>
      <c r="AF11355" s="10"/>
      <c r="AG11355" s="10"/>
      <c r="AH11355" s="10"/>
      <c r="AI11355" s="10"/>
    </row>
    <row r="11356" spans="28:35" ht="15" hidden="1" customHeight="1">
      <c r="AB11356" s="9"/>
      <c r="AC11356" s="9"/>
      <c r="AD11356" s="9"/>
      <c r="AF11356" s="10"/>
      <c r="AG11356" s="10"/>
      <c r="AH11356" s="10"/>
      <c r="AI11356" s="10"/>
    </row>
    <row r="11357" spans="28:35" ht="15" hidden="1" customHeight="1">
      <c r="AB11357" s="9"/>
      <c r="AC11357" s="9"/>
      <c r="AD11357" s="9"/>
      <c r="AF11357" s="10"/>
      <c r="AG11357" s="10"/>
      <c r="AH11357" s="10"/>
      <c r="AI11357" s="10"/>
    </row>
    <row r="11358" spans="28:35" ht="15" hidden="1" customHeight="1">
      <c r="AB11358" s="9"/>
      <c r="AC11358" s="9"/>
      <c r="AD11358" s="9"/>
      <c r="AF11358" s="10"/>
      <c r="AG11358" s="10"/>
      <c r="AH11358" s="10"/>
      <c r="AI11358" s="10"/>
    </row>
    <row r="11359" spans="28:35" ht="15" hidden="1" customHeight="1">
      <c r="AB11359" s="9"/>
      <c r="AC11359" s="9"/>
      <c r="AD11359" s="9"/>
      <c r="AF11359" s="10"/>
      <c r="AG11359" s="10"/>
      <c r="AH11359" s="10"/>
      <c r="AI11359" s="10"/>
    </row>
    <row r="11360" spans="28:35" ht="15" hidden="1" customHeight="1">
      <c r="AB11360" s="9"/>
      <c r="AC11360" s="9"/>
      <c r="AD11360" s="9"/>
      <c r="AF11360" s="10"/>
      <c r="AG11360" s="10"/>
      <c r="AH11360" s="10"/>
      <c r="AI11360" s="10"/>
    </row>
    <row r="11361" spans="28:35" ht="15" hidden="1" customHeight="1">
      <c r="AB11361" s="9"/>
      <c r="AC11361" s="9"/>
      <c r="AD11361" s="9"/>
      <c r="AF11361" s="10"/>
      <c r="AG11361" s="10"/>
      <c r="AH11361" s="10"/>
      <c r="AI11361" s="10"/>
    </row>
    <row r="11362" spans="28:35" ht="15" hidden="1" customHeight="1">
      <c r="AB11362" s="9"/>
      <c r="AC11362" s="9"/>
      <c r="AD11362" s="9"/>
      <c r="AF11362" s="10"/>
      <c r="AG11362" s="10"/>
      <c r="AH11362" s="10"/>
      <c r="AI11362" s="10"/>
    </row>
    <row r="11363" spans="28:35" ht="15" hidden="1" customHeight="1">
      <c r="AB11363" s="9"/>
      <c r="AC11363" s="9"/>
      <c r="AD11363" s="9"/>
      <c r="AF11363" s="10"/>
      <c r="AG11363" s="10"/>
      <c r="AH11363" s="10"/>
      <c r="AI11363" s="10"/>
    </row>
    <row r="11364" spans="28:35" ht="15" hidden="1" customHeight="1">
      <c r="AB11364" s="9"/>
      <c r="AC11364" s="9"/>
      <c r="AD11364" s="9"/>
      <c r="AF11364" s="10"/>
      <c r="AG11364" s="10"/>
      <c r="AH11364" s="10"/>
      <c r="AI11364" s="10"/>
    </row>
    <row r="11365" spans="28:35" ht="15" hidden="1" customHeight="1">
      <c r="AB11365" s="9"/>
      <c r="AC11365" s="9"/>
      <c r="AD11365" s="9"/>
      <c r="AF11365" s="10"/>
      <c r="AG11365" s="10"/>
      <c r="AH11365" s="10"/>
      <c r="AI11365" s="10"/>
    </row>
    <row r="11366" spans="28:35" ht="15" hidden="1" customHeight="1">
      <c r="AB11366" s="9"/>
      <c r="AC11366" s="9"/>
      <c r="AD11366" s="9"/>
      <c r="AF11366" s="10"/>
      <c r="AG11366" s="10"/>
      <c r="AH11366" s="10"/>
      <c r="AI11366" s="10"/>
    </row>
    <row r="11367" spans="28:35" ht="15" hidden="1" customHeight="1">
      <c r="AB11367" s="9"/>
      <c r="AC11367" s="9"/>
      <c r="AD11367" s="9"/>
      <c r="AF11367" s="10"/>
      <c r="AG11367" s="10"/>
      <c r="AH11367" s="10"/>
      <c r="AI11367" s="10"/>
    </row>
    <row r="11368" spans="28:35" ht="15" hidden="1" customHeight="1">
      <c r="AB11368" s="9"/>
      <c r="AC11368" s="9"/>
      <c r="AD11368" s="9"/>
      <c r="AF11368" s="10"/>
      <c r="AG11368" s="10"/>
      <c r="AH11368" s="10"/>
      <c r="AI11368" s="10"/>
    </row>
    <row r="11369" spans="28:35" ht="15" hidden="1" customHeight="1">
      <c r="AB11369" s="9"/>
      <c r="AC11369" s="9"/>
      <c r="AD11369" s="9"/>
      <c r="AF11369" s="10"/>
      <c r="AG11369" s="10"/>
      <c r="AH11369" s="10"/>
      <c r="AI11369" s="10"/>
    </row>
    <row r="11370" spans="28:35" ht="15" hidden="1" customHeight="1">
      <c r="AB11370" s="9"/>
      <c r="AC11370" s="9"/>
      <c r="AD11370" s="9"/>
      <c r="AF11370" s="10"/>
      <c r="AG11370" s="10"/>
      <c r="AH11370" s="10"/>
      <c r="AI11370" s="10"/>
    </row>
    <row r="11371" spans="28:35" ht="15" hidden="1" customHeight="1">
      <c r="AB11371" s="9"/>
      <c r="AC11371" s="9"/>
      <c r="AD11371" s="9"/>
      <c r="AF11371" s="10"/>
      <c r="AG11371" s="10"/>
      <c r="AH11371" s="10"/>
      <c r="AI11371" s="10"/>
    </row>
    <row r="11372" spans="28:35" ht="15" hidden="1" customHeight="1">
      <c r="AB11372" s="9"/>
      <c r="AC11372" s="9"/>
      <c r="AD11372" s="9"/>
      <c r="AF11372" s="10"/>
      <c r="AG11372" s="10"/>
      <c r="AH11372" s="10"/>
      <c r="AI11372" s="10"/>
    </row>
    <row r="11373" spans="28:35" ht="15" hidden="1" customHeight="1">
      <c r="AB11373" s="9"/>
      <c r="AC11373" s="9"/>
      <c r="AD11373" s="9"/>
      <c r="AF11373" s="10"/>
      <c r="AG11373" s="10"/>
      <c r="AH11373" s="10"/>
      <c r="AI11373" s="10"/>
    </row>
    <row r="11374" spans="28:35" ht="15" hidden="1" customHeight="1">
      <c r="AB11374" s="9"/>
      <c r="AC11374" s="9"/>
      <c r="AD11374" s="9"/>
      <c r="AF11374" s="10"/>
      <c r="AG11374" s="10"/>
      <c r="AH11374" s="10"/>
      <c r="AI11374" s="10"/>
    </row>
    <row r="11375" spans="28:35" ht="15" hidden="1" customHeight="1">
      <c r="AB11375" s="9"/>
      <c r="AC11375" s="9"/>
      <c r="AD11375" s="9"/>
      <c r="AF11375" s="10"/>
      <c r="AG11375" s="10"/>
      <c r="AH11375" s="10"/>
      <c r="AI11375" s="10"/>
    </row>
    <row r="11376" spans="28:35" ht="15" hidden="1" customHeight="1">
      <c r="AB11376" s="9"/>
      <c r="AC11376" s="9"/>
      <c r="AD11376" s="9"/>
      <c r="AF11376" s="10"/>
      <c r="AG11376" s="10"/>
      <c r="AH11376" s="10"/>
      <c r="AI11376" s="10"/>
    </row>
    <row r="11377" spans="28:35" ht="15" hidden="1" customHeight="1">
      <c r="AB11377" s="9"/>
      <c r="AC11377" s="9"/>
      <c r="AD11377" s="9"/>
      <c r="AF11377" s="10"/>
      <c r="AG11377" s="10"/>
      <c r="AH11377" s="10"/>
      <c r="AI11377" s="10"/>
    </row>
    <row r="11378" spans="28:35" ht="15" hidden="1" customHeight="1">
      <c r="AB11378" s="9"/>
      <c r="AC11378" s="9"/>
      <c r="AD11378" s="9"/>
      <c r="AF11378" s="10"/>
      <c r="AG11378" s="10"/>
      <c r="AH11378" s="10"/>
      <c r="AI11378" s="10"/>
    </row>
    <row r="11379" spans="28:35" ht="15" hidden="1" customHeight="1">
      <c r="AB11379" s="9"/>
      <c r="AC11379" s="9"/>
      <c r="AD11379" s="9"/>
      <c r="AF11379" s="10"/>
      <c r="AG11379" s="10"/>
      <c r="AH11379" s="10"/>
      <c r="AI11379" s="10"/>
    </row>
    <row r="11380" spans="28:35" ht="15" hidden="1" customHeight="1">
      <c r="AB11380" s="9"/>
      <c r="AC11380" s="9"/>
      <c r="AD11380" s="9"/>
      <c r="AF11380" s="10"/>
      <c r="AG11380" s="10"/>
      <c r="AH11380" s="10"/>
      <c r="AI11380" s="10"/>
    </row>
    <row r="11381" spans="28:35" ht="15" hidden="1" customHeight="1">
      <c r="AB11381" s="9"/>
      <c r="AC11381" s="9"/>
      <c r="AD11381" s="9"/>
      <c r="AF11381" s="10"/>
      <c r="AG11381" s="10"/>
      <c r="AH11381" s="10"/>
      <c r="AI11381" s="10"/>
    </row>
    <row r="11382" spans="28:35" ht="15" hidden="1" customHeight="1">
      <c r="AB11382" s="9"/>
      <c r="AC11382" s="9"/>
      <c r="AD11382" s="9"/>
      <c r="AF11382" s="10"/>
      <c r="AG11382" s="10"/>
      <c r="AH11382" s="10"/>
      <c r="AI11382" s="10"/>
    </row>
    <row r="11383" spans="28:35" ht="15" hidden="1" customHeight="1">
      <c r="AB11383" s="9"/>
      <c r="AC11383" s="9"/>
      <c r="AD11383" s="9"/>
      <c r="AF11383" s="10"/>
      <c r="AG11383" s="10"/>
      <c r="AH11383" s="10"/>
      <c r="AI11383" s="10"/>
    </row>
    <row r="11384" spans="28:35" ht="15" hidden="1" customHeight="1">
      <c r="AB11384" s="9"/>
      <c r="AC11384" s="9"/>
      <c r="AD11384" s="9"/>
      <c r="AF11384" s="10"/>
      <c r="AG11384" s="10"/>
      <c r="AH11384" s="10"/>
      <c r="AI11384" s="10"/>
    </row>
    <row r="11385" spans="28:35" ht="15" hidden="1" customHeight="1">
      <c r="AB11385" s="9"/>
      <c r="AC11385" s="9"/>
      <c r="AD11385" s="9"/>
      <c r="AF11385" s="10"/>
      <c r="AG11385" s="10"/>
      <c r="AH11385" s="10"/>
      <c r="AI11385" s="10"/>
    </row>
    <row r="11386" spans="28:35" ht="15" hidden="1" customHeight="1">
      <c r="AB11386" s="9"/>
      <c r="AC11386" s="9"/>
      <c r="AD11386" s="9"/>
      <c r="AF11386" s="10"/>
      <c r="AG11386" s="10"/>
      <c r="AH11386" s="10"/>
      <c r="AI11386" s="10"/>
    </row>
    <row r="11387" spans="28:35" ht="15" hidden="1" customHeight="1">
      <c r="AB11387" s="9"/>
      <c r="AC11387" s="9"/>
      <c r="AD11387" s="9"/>
      <c r="AF11387" s="10"/>
      <c r="AG11387" s="10"/>
      <c r="AH11387" s="10"/>
      <c r="AI11387" s="10"/>
    </row>
    <row r="11388" spans="28:35" ht="15" hidden="1" customHeight="1">
      <c r="AB11388" s="9"/>
      <c r="AC11388" s="9"/>
      <c r="AD11388" s="9"/>
      <c r="AF11388" s="10"/>
      <c r="AG11388" s="10"/>
      <c r="AH11388" s="10"/>
      <c r="AI11388" s="10"/>
    </row>
    <row r="11389" spans="28:35" ht="15" hidden="1" customHeight="1">
      <c r="AB11389" s="9"/>
      <c r="AC11389" s="9"/>
      <c r="AD11389" s="9"/>
      <c r="AF11389" s="10"/>
      <c r="AG11389" s="10"/>
      <c r="AH11389" s="10"/>
      <c r="AI11389" s="10"/>
    </row>
    <row r="11390" spans="28:35" ht="15" hidden="1" customHeight="1">
      <c r="AB11390" s="9"/>
      <c r="AC11390" s="9"/>
      <c r="AD11390" s="9"/>
      <c r="AF11390" s="10"/>
      <c r="AG11390" s="10"/>
      <c r="AH11390" s="10"/>
      <c r="AI11390" s="10"/>
    </row>
    <row r="11391" spans="28:35" ht="15" hidden="1" customHeight="1">
      <c r="AB11391" s="9"/>
      <c r="AC11391" s="9"/>
      <c r="AD11391" s="9"/>
      <c r="AF11391" s="10"/>
      <c r="AG11391" s="10"/>
      <c r="AH11391" s="10"/>
      <c r="AI11391" s="10"/>
    </row>
    <row r="11392" spans="28:35" ht="15" hidden="1" customHeight="1">
      <c r="AB11392" s="9"/>
      <c r="AC11392" s="9"/>
      <c r="AD11392" s="9"/>
      <c r="AF11392" s="10"/>
      <c r="AG11392" s="10"/>
      <c r="AH11392" s="10"/>
      <c r="AI11392" s="10"/>
    </row>
    <row r="11393" spans="28:35" ht="15" hidden="1" customHeight="1">
      <c r="AB11393" s="9"/>
      <c r="AC11393" s="9"/>
      <c r="AD11393" s="9"/>
      <c r="AF11393" s="10"/>
      <c r="AG11393" s="10"/>
      <c r="AH11393" s="10"/>
      <c r="AI11393" s="10"/>
    </row>
    <row r="11394" spans="28:35" ht="15" hidden="1" customHeight="1">
      <c r="AB11394" s="9"/>
      <c r="AC11394" s="9"/>
      <c r="AD11394" s="9"/>
      <c r="AF11394" s="10"/>
      <c r="AG11394" s="10"/>
      <c r="AH11394" s="10"/>
      <c r="AI11394" s="10"/>
    </row>
    <row r="11395" spans="28:35" ht="15" hidden="1" customHeight="1">
      <c r="AB11395" s="9"/>
      <c r="AC11395" s="9"/>
      <c r="AD11395" s="9"/>
      <c r="AF11395" s="10"/>
      <c r="AG11395" s="10"/>
      <c r="AH11395" s="10"/>
      <c r="AI11395" s="10"/>
    </row>
    <row r="11396" spans="28:35" ht="15" hidden="1" customHeight="1">
      <c r="AB11396" s="9"/>
      <c r="AC11396" s="9"/>
      <c r="AD11396" s="9"/>
      <c r="AF11396" s="10"/>
      <c r="AG11396" s="10"/>
      <c r="AH11396" s="10"/>
      <c r="AI11396" s="10"/>
    </row>
    <row r="11397" spans="28:35" ht="15" hidden="1" customHeight="1">
      <c r="AB11397" s="9"/>
      <c r="AC11397" s="9"/>
      <c r="AD11397" s="9"/>
      <c r="AF11397" s="10"/>
      <c r="AG11397" s="10"/>
      <c r="AH11397" s="10"/>
      <c r="AI11397" s="10"/>
    </row>
    <row r="11398" spans="28:35" ht="15" hidden="1" customHeight="1">
      <c r="AB11398" s="9"/>
      <c r="AC11398" s="9"/>
      <c r="AD11398" s="9"/>
      <c r="AF11398" s="10"/>
      <c r="AG11398" s="10"/>
      <c r="AH11398" s="10"/>
      <c r="AI11398" s="10"/>
    </row>
    <row r="11399" spans="28:35" ht="15" hidden="1" customHeight="1">
      <c r="AB11399" s="9"/>
      <c r="AC11399" s="9"/>
      <c r="AD11399" s="9"/>
      <c r="AF11399" s="10"/>
      <c r="AG11399" s="10"/>
      <c r="AH11399" s="10"/>
      <c r="AI11399" s="10"/>
    </row>
    <row r="11400" spans="28:35" ht="15" hidden="1" customHeight="1">
      <c r="AB11400" s="9"/>
      <c r="AC11400" s="9"/>
      <c r="AD11400" s="9"/>
      <c r="AF11400" s="10"/>
      <c r="AG11400" s="10"/>
      <c r="AH11400" s="10"/>
      <c r="AI11400" s="10"/>
    </row>
    <row r="11401" spans="28:35" ht="15" hidden="1" customHeight="1">
      <c r="AB11401" s="9"/>
      <c r="AC11401" s="9"/>
      <c r="AD11401" s="9"/>
      <c r="AF11401" s="10"/>
      <c r="AG11401" s="10"/>
      <c r="AH11401" s="10"/>
      <c r="AI11401" s="10"/>
    </row>
    <row r="11402" spans="28:35" ht="15" hidden="1" customHeight="1">
      <c r="AB11402" s="9"/>
      <c r="AC11402" s="9"/>
      <c r="AD11402" s="9"/>
      <c r="AF11402" s="10"/>
      <c r="AG11402" s="10"/>
      <c r="AH11402" s="10"/>
      <c r="AI11402" s="10"/>
    </row>
    <row r="11403" spans="28:35" ht="15" hidden="1" customHeight="1">
      <c r="AB11403" s="9"/>
      <c r="AC11403" s="9"/>
      <c r="AD11403" s="9"/>
      <c r="AF11403" s="10"/>
      <c r="AG11403" s="10"/>
      <c r="AH11403" s="10"/>
      <c r="AI11403" s="10"/>
    </row>
    <row r="11404" spans="28:35" ht="15" hidden="1" customHeight="1">
      <c r="AB11404" s="9"/>
      <c r="AC11404" s="9"/>
      <c r="AD11404" s="9"/>
      <c r="AF11404" s="10"/>
      <c r="AG11404" s="10"/>
      <c r="AH11404" s="10"/>
      <c r="AI11404" s="10"/>
    </row>
    <row r="11405" spans="28:35" ht="15" hidden="1" customHeight="1">
      <c r="AB11405" s="9"/>
      <c r="AC11405" s="9"/>
      <c r="AD11405" s="9"/>
      <c r="AF11405" s="10"/>
      <c r="AG11405" s="10"/>
      <c r="AH11405" s="10"/>
      <c r="AI11405" s="10"/>
    </row>
    <row r="11406" spans="28:35" ht="15" hidden="1" customHeight="1">
      <c r="AB11406" s="9"/>
      <c r="AC11406" s="9"/>
      <c r="AD11406" s="9"/>
      <c r="AF11406" s="10"/>
      <c r="AG11406" s="10"/>
      <c r="AH11406" s="10"/>
      <c r="AI11406" s="10"/>
    </row>
    <row r="11407" spans="28:35" ht="15" hidden="1" customHeight="1">
      <c r="AB11407" s="9"/>
      <c r="AC11407" s="9"/>
      <c r="AD11407" s="9"/>
      <c r="AF11407" s="10"/>
      <c r="AG11407" s="10"/>
      <c r="AH11407" s="10"/>
      <c r="AI11407" s="10"/>
    </row>
    <row r="11408" spans="28:35" ht="15" hidden="1" customHeight="1">
      <c r="AB11408" s="9"/>
      <c r="AC11408" s="9"/>
      <c r="AD11408" s="9"/>
      <c r="AF11408" s="10"/>
      <c r="AG11408" s="10"/>
      <c r="AH11408" s="10"/>
      <c r="AI11408" s="10"/>
    </row>
    <row r="11409" spans="28:35" ht="15" hidden="1" customHeight="1">
      <c r="AB11409" s="9"/>
      <c r="AC11409" s="9"/>
      <c r="AD11409" s="9"/>
      <c r="AF11409" s="10"/>
      <c r="AG11409" s="10"/>
      <c r="AH11409" s="10"/>
      <c r="AI11409" s="10"/>
    </row>
    <row r="11410" spans="28:35" ht="15" hidden="1" customHeight="1">
      <c r="AB11410" s="9"/>
      <c r="AC11410" s="9"/>
      <c r="AD11410" s="9"/>
      <c r="AF11410" s="10"/>
      <c r="AG11410" s="10"/>
      <c r="AH11410" s="10"/>
      <c r="AI11410" s="10"/>
    </row>
    <row r="11411" spans="28:35" ht="15" hidden="1" customHeight="1">
      <c r="AB11411" s="9"/>
      <c r="AC11411" s="9"/>
      <c r="AD11411" s="9"/>
      <c r="AF11411" s="10"/>
      <c r="AG11411" s="10"/>
      <c r="AH11411" s="10"/>
      <c r="AI11411" s="10"/>
    </row>
    <row r="11412" spans="28:35" ht="15" hidden="1" customHeight="1">
      <c r="AB11412" s="9"/>
      <c r="AC11412" s="9"/>
      <c r="AD11412" s="9"/>
      <c r="AF11412" s="10"/>
      <c r="AG11412" s="10"/>
      <c r="AH11412" s="10"/>
      <c r="AI11412" s="10"/>
    </row>
    <row r="11413" spans="28:35" ht="15" hidden="1" customHeight="1">
      <c r="AB11413" s="9"/>
      <c r="AC11413" s="9"/>
      <c r="AD11413" s="9"/>
      <c r="AF11413" s="10"/>
      <c r="AG11413" s="10"/>
      <c r="AH11413" s="10"/>
      <c r="AI11413" s="10"/>
    </row>
    <row r="11414" spans="28:35" ht="15" hidden="1" customHeight="1">
      <c r="AB11414" s="9"/>
      <c r="AC11414" s="9"/>
      <c r="AD11414" s="9"/>
      <c r="AF11414" s="10"/>
      <c r="AG11414" s="10"/>
      <c r="AH11414" s="10"/>
      <c r="AI11414" s="10"/>
    </row>
    <row r="11415" spans="28:35" ht="15" hidden="1" customHeight="1">
      <c r="AB11415" s="9"/>
      <c r="AC11415" s="9"/>
      <c r="AD11415" s="9"/>
      <c r="AF11415" s="10"/>
      <c r="AG11415" s="10"/>
      <c r="AH11415" s="10"/>
      <c r="AI11415" s="10"/>
    </row>
    <row r="11416" spans="28:35" ht="15" hidden="1" customHeight="1">
      <c r="AB11416" s="9"/>
      <c r="AC11416" s="9"/>
      <c r="AD11416" s="9"/>
      <c r="AF11416" s="10"/>
      <c r="AG11416" s="10"/>
      <c r="AH11416" s="10"/>
      <c r="AI11416" s="10"/>
    </row>
    <row r="11417" spans="28:35" ht="15" hidden="1" customHeight="1">
      <c r="AB11417" s="9"/>
      <c r="AC11417" s="9"/>
      <c r="AD11417" s="9"/>
      <c r="AF11417" s="10"/>
      <c r="AG11417" s="10"/>
      <c r="AH11417" s="10"/>
      <c r="AI11417" s="10"/>
    </row>
    <row r="11418" spans="28:35" ht="15" hidden="1" customHeight="1">
      <c r="AB11418" s="9"/>
      <c r="AC11418" s="9"/>
      <c r="AD11418" s="9"/>
      <c r="AF11418" s="10"/>
      <c r="AG11418" s="10"/>
      <c r="AH11418" s="10"/>
      <c r="AI11418" s="10"/>
    </row>
    <row r="11419" spans="28:35" ht="15" hidden="1" customHeight="1">
      <c r="AB11419" s="9"/>
      <c r="AC11419" s="9"/>
      <c r="AD11419" s="9"/>
      <c r="AF11419" s="10"/>
      <c r="AG11419" s="10"/>
      <c r="AH11419" s="10"/>
      <c r="AI11419" s="10"/>
    </row>
    <row r="11420" spans="28:35" ht="15" hidden="1" customHeight="1">
      <c r="AB11420" s="9"/>
      <c r="AC11420" s="9"/>
      <c r="AD11420" s="9"/>
      <c r="AF11420" s="10"/>
      <c r="AG11420" s="10"/>
      <c r="AH11420" s="10"/>
      <c r="AI11420" s="10"/>
    </row>
    <row r="11421" spans="28:35" ht="15" hidden="1" customHeight="1">
      <c r="AB11421" s="9"/>
      <c r="AC11421" s="9"/>
      <c r="AD11421" s="9"/>
      <c r="AF11421" s="10"/>
      <c r="AG11421" s="10"/>
      <c r="AH11421" s="10"/>
      <c r="AI11421" s="10"/>
    </row>
    <row r="11422" spans="28:35" ht="15" hidden="1" customHeight="1">
      <c r="AB11422" s="9"/>
      <c r="AC11422" s="9"/>
      <c r="AD11422" s="9"/>
      <c r="AF11422" s="10"/>
      <c r="AG11422" s="10"/>
      <c r="AH11422" s="10"/>
      <c r="AI11422" s="10"/>
    </row>
    <row r="11423" spans="28:35" ht="15" hidden="1" customHeight="1">
      <c r="AB11423" s="9"/>
      <c r="AC11423" s="9"/>
      <c r="AD11423" s="9"/>
      <c r="AF11423" s="10"/>
      <c r="AG11423" s="10"/>
      <c r="AH11423" s="10"/>
      <c r="AI11423" s="10"/>
    </row>
    <row r="11424" spans="28:35" ht="15" hidden="1" customHeight="1">
      <c r="AB11424" s="9"/>
      <c r="AC11424" s="9"/>
      <c r="AD11424" s="9"/>
      <c r="AF11424" s="10"/>
      <c r="AG11424" s="10"/>
      <c r="AH11424" s="10"/>
      <c r="AI11424" s="10"/>
    </row>
    <row r="11425" spans="28:35" ht="15" hidden="1" customHeight="1">
      <c r="AB11425" s="9"/>
      <c r="AC11425" s="9"/>
      <c r="AD11425" s="9"/>
      <c r="AF11425" s="10"/>
      <c r="AG11425" s="10"/>
      <c r="AH11425" s="10"/>
      <c r="AI11425" s="10"/>
    </row>
    <row r="11426" spans="28:35" ht="15" hidden="1" customHeight="1">
      <c r="AB11426" s="9"/>
      <c r="AC11426" s="9"/>
      <c r="AD11426" s="9"/>
      <c r="AF11426" s="10"/>
      <c r="AG11426" s="10"/>
      <c r="AH11426" s="10"/>
      <c r="AI11426" s="10"/>
    </row>
    <row r="11427" spans="28:35" ht="15" hidden="1" customHeight="1">
      <c r="AB11427" s="9"/>
      <c r="AC11427" s="9"/>
      <c r="AD11427" s="9"/>
      <c r="AF11427" s="10"/>
      <c r="AG11427" s="10"/>
      <c r="AH11427" s="10"/>
      <c r="AI11427" s="10"/>
    </row>
    <row r="11428" spans="28:35" ht="15" hidden="1" customHeight="1">
      <c r="AB11428" s="9"/>
      <c r="AC11428" s="9"/>
      <c r="AD11428" s="9"/>
      <c r="AF11428" s="10"/>
      <c r="AG11428" s="10"/>
      <c r="AH11428" s="10"/>
      <c r="AI11428" s="10"/>
    </row>
    <row r="11429" spans="28:35" ht="15" hidden="1" customHeight="1">
      <c r="AB11429" s="9"/>
      <c r="AC11429" s="9"/>
      <c r="AD11429" s="9"/>
      <c r="AF11429" s="10"/>
      <c r="AG11429" s="10"/>
      <c r="AH11429" s="10"/>
      <c r="AI11429" s="10"/>
    </row>
    <row r="11430" spans="28:35" ht="15" hidden="1" customHeight="1">
      <c r="AB11430" s="9"/>
      <c r="AC11430" s="9"/>
      <c r="AD11430" s="9"/>
      <c r="AF11430" s="10"/>
      <c r="AG11430" s="10"/>
      <c r="AH11430" s="10"/>
      <c r="AI11430" s="10"/>
    </row>
    <row r="11431" spans="28:35" ht="15" hidden="1" customHeight="1">
      <c r="AB11431" s="9"/>
      <c r="AC11431" s="9"/>
      <c r="AD11431" s="9"/>
      <c r="AF11431" s="10"/>
      <c r="AG11431" s="10"/>
      <c r="AH11431" s="10"/>
      <c r="AI11431" s="10"/>
    </row>
    <row r="11432" spans="28:35" ht="15" hidden="1" customHeight="1">
      <c r="AB11432" s="9"/>
      <c r="AC11432" s="9"/>
      <c r="AD11432" s="9"/>
      <c r="AF11432" s="10"/>
      <c r="AG11432" s="10"/>
      <c r="AH11432" s="10"/>
      <c r="AI11432" s="10"/>
    </row>
    <row r="11433" spans="28:35" ht="15" hidden="1" customHeight="1">
      <c r="AB11433" s="9"/>
      <c r="AC11433" s="9"/>
      <c r="AD11433" s="9"/>
      <c r="AF11433" s="10"/>
      <c r="AG11433" s="10"/>
      <c r="AH11433" s="10"/>
      <c r="AI11433" s="10"/>
    </row>
    <row r="11434" spans="28:35" ht="15" hidden="1" customHeight="1">
      <c r="AB11434" s="9"/>
      <c r="AC11434" s="9"/>
      <c r="AD11434" s="9"/>
      <c r="AF11434" s="10"/>
      <c r="AG11434" s="10"/>
      <c r="AH11434" s="10"/>
      <c r="AI11434" s="10"/>
    </row>
    <row r="11435" spans="28:35" ht="15" hidden="1" customHeight="1">
      <c r="AB11435" s="9"/>
      <c r="AC11435" s="9"/>
      <c r="AD11435" s="9"/>
      <c r="AF11435" s="10"/>
      <c r="AG11435" s="10"/>
      <c r="AH11435" s="10"/>
      <c r="AI11435" s="10"/>
    </row>
    <row r="11436" spans="28:35" ht="15" hidden="1" customHeight="1">
      <c r="AB11436" s="9"/>
      <c r="AC11436" s="9"/>
      <c r="AD11436" s="9"/>
      <c r="AF11436" s="10"/>
      <c r="AG11436" s="10"/>
      <c r="AH11436" s="10"/>
      <c r="AI11436" s="10"/>
    </row>
    <row r="11437" spans="28:35" ht="15" hidden="1" customHeight="1">
      <c r="AB11437" s="9"/>
      <c r="AC11437" s="9"/>
      <c r="AD11437" s="9"/>
      <c r="AF11437" s="10"/>
      <c r="AG11437" s="10"/>
      <c r="AH11437" s="10"/>
      <c r="AI11437" s="10"/>
    </row>
    <row r="11438" spans="28:35" ht="15" hidden="1" customHeight="1">
      <c r="AB11438" s="9"/>
      <c r="AC11438" s="9"/>
      <c r="AD11438" s="9"/>
      <c r="AF11438" s="10"/>
      <c r="AG11438" s="10"/>
      <c r="AH11438" s="10"/>
      <c r="AI11438" s="10"/>
    </row>
    <row r="11439" spans="28:35" ht="15" hidden="1" customHeight="1">
      <c r="AB11439" s="9"/>
      <c r="AC11439" s="9"/>
      <c r="AD11439" s="9"/>
      <c r="AF11439" s="10"/>
      <c r="AG11439" s="10"/>
      <c r="AH11439" s="10"/>
      <c r="AI11439" s="10"/>
    </row>
    <row r="11440" spans="28:35" ht="15" hidden="1" customHeight="1">
      <c r="AB11440" s="9"/>
      <c r="AC11440" s="9"/>
      <c r="AD11440" s="9"/>
      <c r="AF11440" s="10"/>
      <c r="AG11440" s="10"/>
      <c r="AH11440" s="10"/>
      <c r="AI11440" s="10"/>
    </row>
    <row r="11441" spans="28:35" ht="15" hidden="1" customHeight="1">
      <c r="AB11441" s="9"/>
      <c r="AC11441" s="9"/>
      <c r="AD11441" s="9"/>
      <c r="AF11441" s="10"/>
      <c r="AG11441" s="10"/>
      <c r="AH11441" s="10"/>
      <c r="AI11441" s="10"/>
    </row>
    <row r="11442" spans="28:35" ht="15" hidden="1" customHeight="1">
      <c r="AB11442" s="9"/>
      <c r="AC11442" s="9"/>
      <c r="AD11442" s="9"/>
      <c r="AF11442" s="10"/>
      <c r="AG11442" s="10"/>
      <c r="AH11442" s="10"/>
      <c r="AI11442" s="10"/>
    </row>
    <row r="11443" spans="28:35" ht="15" hidden="1" customHeight="1">
      <c r="AB11443" s="9"/>
      <c r="AC11443" s="9"/>
      <c r="AD11443" s="9"/>
      <c r="AF11443" s="10"/>
      <c r="AG11443" s="10"/>
      <c r="AH11443" s="10"/>
      <c r="AI11443" s="10"/>
    </row>
    <row r="11444" spans="28:35" ht="15" hidden="1" customHeight="1">
      <c r="AB11444" s="9"/>
      <c r="AC11444" s="9"/>
      <c r="AD11444" s="9"/>
      <c r="AF11444" s="10"/>
      <c r="AG11444" s="10"/>
      <c r="AH11444" s="10"/>
      <c r="AI11444" s="10"/>
    </row>
    <row r="11445" spans="28:35" ht="15" hidden="1" customHeight="1">
      <c r="AB11445" s="9"/>
      <c r="AC11445" s="9"/>
      <c r="AD11445" s="9"/>
      <c r="AF11445" s="10"/>
      <c r="AG11445" s="10"/>
      <c r="AH11445" s="10"/>
      <c r="AI11445" s="10"/>
    </row>
    <row r="11446" spans="28:35" ht="15" hidden="1" customHeight="1">
      <c r="AB11446" s="9"/>
      <c r="AC11446" s="9"/>
      <c r="AD11446" s="9"/>
      <c r="AF11446" s="10"/>
      <c r="AG11446" s="10"/>
      <c r="AH11446" s="10"/>
      <c r="AI11446" s="10"/>
    </row>
    <row r="11447" spans="28:35" ht="15" hidden="1" customHeight="1">
      <c r="AB11447" s="9"/>
      <c r="AC11447" s="9"/>
      <c r="AD11447" s="9"/>
      <c r="AF11447" s="10"/>
      <c r="AG11447" s="10"/>
      <c r="AH11447" s="10"/>
      <c r="AI11447" s="10"/>
    </row>
    <row r="11448" spans="28:35" ht="15" hidden="1" customHeight="1">
      <c r="AB11448" s="9"/>
      <c r="AC11448" s="9"/>
      <c r="AD11448" s="9"/>
      <c r="AF11448" s="10"/>
      <c r="AG11448" s="10"/>
      <c r="AH11448" s="10"/>
      <c r="AI11448" s="10"/>
    </row>
    <row r="11449" spans="28:35" ht="15" hidden="1" customHeight="1">
      <c r="AB11449" s="9"/>
      <c r="AC11449" s="9"/>
      <c r="AD11449" s="9"/>
      <c r="AF11449" s="10"/>
      <c r="AG11449" s="10"/>
      <c r="AH11449" s="10"/>
      <c r="AI11449" s="10"/>
    </row>
    <row r="11450" spans="28:35" ht="15" hidden="1" customHeight="1">
      <c r="AB11450" s="9"/>
      <c r="AC11450" s="9"/>
      <c r="AD11450" s="9"/>
      <c r="AF11450" s="10"/>
      <c r="AG11450" s="10"/>
      <c r="AH11450" s="10"/>
      <c r="AI11450" s="10"/>
    </row>
    <row r="11451" spans="28:35" ht="15" hidden="1" customHeight="1">
      <c r="AB11451" s="9"/>
      <c r="AC11451" s="9"/>
      <c r="AD11451" s="9"/>
      <c r="AF11451" s="10"/>
      <c r="AG11451" s="10"/>
      <c r="AH11451" s="10"/>
      <c r="AI11451" s="10"/>
    </row>
    <row r="11452" spans="28:35" ht="15" hidden="1" customHeight="1">
      <c r="AB11452" s="9"/>
      <c r="AC11452" s="9"/>
      <c r="AD11452" s="9"/>
      <c r="AF11452" s="10"/>
      <c r="AG11452" s="10"/>
      <c r="AH11452" s="10"/>
      <c r="AI11452" s="10"/>
    </row>
    <row r="11453" spans="28:35" ht="15" hidden="1" customHeight="1">
      <c r="AB11453" s="9"/>
      <c r="AC11453" s="9"/>
      <c r="AD11453" s="9"/>
      <c r="AF11453" s="10"/>
      <c r="AG11453" s="10"/>
      <c r="AH11453" s="10"/>
      <c r="AI11453" s="10"/>
    </row>
    <row r="11454" spans="28:35" ht="15" hidden="1" customHeight="1">
      <c r="AB11454" s="9"/>
      <c r="AC11454" s="9"/>
      <c r="AD11454" s="9"/>
      <c r="AF11454" s="10"/>
      <c r="AG11454" s="10"/>
      <c r="AH11454" s="10"/>
      <c r="AI11454" s="10"/>
    </row>
    <row r="11455" spans="28:35" ht="15" hidden="1" customHeight="1">
      <c r="AB11455" s="9"/>
      <c r="AC11455" s="9"/>
      <c r="AD11455" s="9"/>
      <c r="AF11455" s="10"/>
      <c r="AG11455" s="10"/>
      <c r="AH11455" s="10"/>
      <c r="AI11455" s="10"/>
    </row>
    <row r="11456" spans="28:35" ht="15" hidden="1" customHeight="1">
      <c r="AB11456" s="9"/>
      <c r="AC11456" s="9"/>
      <c r="AD11456" s="9"/>
      <c r="AF11456" s="10"/>
      <c r="AG11456" s="10"/>
      <c r="AH11456" s="10"/>
      <c r="AI11456" s="10"/>
    </row>
    <row r="11457" spans="28:35" ht="15" hidden="1" customHeight="1">
      <c r="AB11457" s="9"/>
      <c r="AC11457" s="9"/>
      <c r="AD11457" s="9"/>
      <c r="AF11457" s="10"/>
      <c r="AG11457" s="10"/>
      <c r="AH11457" s="10"/>
      <c r="AI11457" s="10"/>
    </row>
    <row r="11458" spans="28:35" ht="15" hidden="1" customHeight="1">
      <c r="AB11458" s="9"/>
      <c r="AC11458" s="9"/>
      <c r="AD11458" s="9"/>
      <c r="AF11458" s="10"/>
      <c r="AG11458" s="10"/>
      <c r="AH11458" s="10"/>
      <c r="AI11458" s="10"/>
    </row>
    <row r="11459" spans="28:35" ht="15" hidden="1" customHeight="1">
      <c r="AB11459" s="9"/>
      <c r="AC11459" s="9"/>
      <c r="AD11459" s="9"/>
      <c r="AF11459" s="10"/>
      <c r="AG11459" s="10"/>
      <c r="AH11459" s="10"/>
      <c r="AI11459" s="10"/>
    </row>
    <row r="11460" spans="28:35" ht="15" hidden="1" customHeight="1">
      <c r="AB11460" s="9"/>
      <c r="AC11460" s="9"/>
      <c r="AD11460" s="9"/>
      <c r="AF11460" s="10"/>
      <c r="AG11460" s="10"/>
      <c r="AH11460" s="10"/>
      <c r="AI11460" s="10"/>
    </row>
    <row r="11461" spans="28:35" ht="15" hidden="1" customHeight="1">
      <c r="AB11461" s="9"/>
      <c r="AC11461" s="9"/>
      <c r="AD11461" s="9"/>
      <c r="AF11461" s="10"/>
      <c r="AG11461" s="10"/>
      <c r="AH11461" s="10"/>
      <c r="AI11461" s="10"/>
    </row>
    <row r="11462" spans="28:35" ht="15" hidden="1" customHeight="1">
      <c r="AB11462" s="9"/>
      <c r="AC11462" s="9"/>
      <c r="AD11462" s="9"/>
      <c r="AF11462" s="10"/>
      <c r="AG11462" s="10"/>
      <c r="AH11462" s="10"/>
      <c r="AI11462" s="10"/>
    </row>
    <row r="11463" spans="28:35" ht="15" hidden="1" customHeight="1">
      <c r="AB11463" s="9"/>
      <c r="AC11463" s="9"/>
      <c r="AD11463" s="9"/>
      <c r="AF11463" s="10"/>
      <c r="AG11463" s="10"/>
      <c r="AH11463" s="10"/>
      <c r="AI11463" s="10"/>
    </row>
    <row r="11464" spans="28:35" ht="15" hidden="1" customHeight="1">
      <c r="AB11464" s="9"/>
      <c r="AC11464" s="9"/>
      <c r="AD11464" s="9"/>
      <c r="AF11464" s="10"/>
      <c r="AG11464" s="10"/>
      <c r="AH11464" s="10"/>
      <c r="AI11464" s="10"/>
    </row>
    <row r="11465" spans="28:35" ht="15" hidden="1" customHeight="1">
      <c r="AB11465" s="9"/>
      <c r="AC11465" s="9"/>
      <c r="AD11465" s="9"/>
      <c r="AF11465" s="10"/>
      <c r="AG11465" s="10"/>
      <c r="AH11465" s="10"/>
      <c r="AI11465" s="10"/>
    </row>
    <row r="11466" spans="28:35" ht="15" hidden="1" customHeight="1">
      <c r="AB11466" s="9"/>
      <c r="AC11466" s="9"/>
      <c r="AD11466" s="9"/>
      <c r="AF11466" s="10"/>
      <c r="AG11466" s="10"/>
      <c r="AH11466" s="10"/>
      <c r="AI11466" s="10"/>
    </row>
    <row r="11467" spans="28:35" ht="15" hidden="1" customHeight="1">
      <c r="AB11467" s="9"/>
      <c r="AC11467" s="9"/>
      <c r="AD11467" s="9"/>
      <c r="AF11467" s="10"/>
      <c r="AG11467" s="10"/>
      <c r="AH11467" s="10"/>
      <c r="AI11467" s="10"/>
    </row>
    <row r="11468" spans="28:35" ht="15" hidden="1" customHeight="1">
      <c r="AB11468" s="9"/>
      <c r="AC11468" s="9"/>
      <c r="AD11468" s="9"/>
      <c r="AF11468" s="10"/>
      <c r="AG11468" s="10"/>
      <c r="AH11468" s="10"/>
      <c r="AI11468" s="10"/>
    </row>
    <row r="11469" spans="28:35" ht="15" hidden="1" customHeight="1">
      <c r="AB11469" s="9"/>
      <c r="AC11469" s="9"/>
      <c r="AD11469" s="9"/>
      <c r="AF11469" s="10"/>
      <c r="AG11469" s="10"/>
      <c r="AH11469" s="10"/>
      <c r="AI11469" s="10"/>
    </row>
    <row r="11470" spans="28:35" ht="15" hidden="1" customHeight="1">
      <c r="AB11470" s="9"/>
      <c r="AC11470" s="9"/>
      <c r="AD11470" s="9"/>
      <c r="AF11470" s="10"/>
      <c r="AG11470" s="10"/>
      <c r="AH11470" s="10"/>
      <c r="AI11470" s="10"/>
    </row>
    <row r="11471" spans="28:35" ht="15" hidden="1" customHeight="1">
      <c r="AB11471" s="9"/>
      <c r="AC11471" s="9"/>
      <c r="AD11471" s="9"/>
      <c r="AF11471" s="10"/>
      <c r="AG11471" s="10"/>
      <c r="AH11471" s="10"/>
      <c r="AI11471" s="10"/>
    </row>
    <row r="11472" spans="28:35" ht="15" hidden="1" customHeight="1">
      <c r="AB11472" s="9"/>
      <c r="AC11472" s="9"/>
      <c r="AD11472" s="9"/>
      <c r="AF11472" s="10"/>
      <c r="AG11472" s="10"/>
      <c r="AH11472" s="10"/>
      <c r="AI11472" s="10"/>
    </row>
    <row r="11473" spans="28:35" ht="15" hidden="1" customHeight="1">
      <c r="AB11473" s="9"/>
      <c r="AC11473" s="9"/>
      <c r="AD11473" s="9"/>
      <c r="AF11473" s="10"/>
      <c r="AG11473" s="10"/>
      <c r="AH11473" s="10"/>
      <c r="AI11473" s="10"/>
    </row>
    <row r="11474" spans="28:35" ht="15" hidden="1" customHeight="1">
      <c r="AB11474" s="9"/>
      <c r="AC11474" s="9"/>
      <c r="AD11474" s="9"/>
      <c r="AF11474" s="10"/>
      <c r="AG11474" s="10"/>
      <c r="AH11474" s="10"/>
      <c r="AI11474" s="10"/>
    </row>
    <row r="11475" spans="28:35" ht="15" hidden="1" customHeight="1">
      <c r="AB11475" s="9"/>
      <c r="AC11475" s="9"/>
      <c r="AD11475" s="9"/>
      <c r="AF11475" s="10"/>
      <c r="AG11475" s="10"/>
      <c r="AH11475" s="10"/>
      <c r="AI11475" s="10"/>
    </row>
    <row r="11476" spans="28:35" ht="15" hidden="1" customHeight="1">
      <c r="AB11476" s="9"/>
      <c r="AC11476" s="9"/>
      <c r="AD11476" s="9"/>
      <c r="AF11476" s="10"/>
      <c r="AG11476" s="10"/>
      <c r="AH11476" s="10"/>
      <c r="AI11476" s="10"/>
    </row>
    <row r="11477" spans="28:35" ht="15" hidden="1" customHeight="1">
      <c r="AB11477" s="9"/>
      <c r="AC11477" s="9"/>
      <c r="AD11477" s="9"/>
      <c r="AF11477" s="10"/>
      <c r="AG11477" s="10"/>
      <c r="AH11477" s="10"/>
      <c r="AI11477" s="10"/>
    </row>
    <row r="11478" spans="28:35" ht="15" hidden="1" customHeight="1">
      <c r="AB11478" s="9"/>
      <c r="AC11478" s="9"/>
      <c r="AD11478" s="9"/>
      <c r="AF11478" s="10"/>
      <c r="AG11478" s="10"/>
      <c r="AH11478" s="10"/>
      <c r="AI11478" s="10"/>
    </row>
    <row r="11479" spans="28:35" ht="15" hidden="1" customHeight="1">
      <c r="AB11479" s="9"/>
      <c r="AC11479" s="9"/>
      <c r="AD11479" s="9"/>
      <c r="AF11479" s="10"/>
      <c r="AG11479" s="10"/>
      <c r="AH11479" s="10"/>
      <c r="AI11479" s="10"/>
    </row>
    <row r="11480" spans="28:35" ht="15" hidden="1" customHeight="1">
      <c r="AB11480" s="9"/>
      <c r="AC11480" s="9"/>
      <c r="AD11480" s="9"/>
      <c r="AF11480" s="10"/>
      <c r="AG11480" s="10"/>
      <c r="AH11480" s="10"/>
      <c r="AI11480" s="10"/>
    </row>
    <row r="11481" spans="28:35" ht="15" hidden="1" customHeight="1">
      <c r="AB11481" s="9"/>
      <c r="AC11481" s="9"/>
      <c r="AD11481" s="9"/>
      <c r="AF11481" s="10"/>
      <c r="AG11481" s="10"/>
      <c r="AH11481" s="10"/>
      <c r="AI11481" s="10"/>
    </row>
    <row r="11482" spans="28:35" ht="15" hidden="1" customHeight="1">
      <c r="AB11482" s="9"/>
      <c r="AC11482" s="9"/>
      <c r="AD11482" s="9"/>
      <c r="AF11482" s="10"/>
      <c r="AG11482" s="10"/>
      <c r="AH11482" s="10"/>
      <c r="AI11482" s="10"/>
    </row>
    <row r="11483" spans="28:35" ht="15" hidden="1" customHeight="1">
      <c r="AB11483" s="9"/>
      <c r="AC11483" s="9"/>
      <c r="AD11483" s="9"/>
      <c r="AF11483" s="10"/>
      <c r="AG11483" s="10"/>
      <c r="AH11483" s="10"/>
      <c r="AI11483" s="10"/>
    </row>
    <row r="11484" spans="28:35" ht="15" hidden="1" customHeight="1">
      <c r="AB11484" s="9"/>
      <c r="AC11484" s="9"/>
      <c r="AD11484" s="9"/>
      <c r="AF11484" s="10"/>
      <c r="AG11484" s="10"/>
      <c r="AH11484" s="10"/>
      <c r="AI11484" s="10"/>
    </row>
    <row r="11485" spans="28:35" ht="15" hidden="1" customHeight="1">
      <c r="AB11485" s="9"/>
      <c r="AC11485" s="9"/>
      <c r="AD11485" s="9"/>
      <c r="AF11485" s="10"/>
      <c r="AG11485" s="10"/>
      <c r="AH11485" s="10"/>
      <c r="AI11485" s="10"/>
    </row>
    <row r="11486" spans="28:35" ht="15" hidden="1" customHeight="1">
      <c r="AB11486" s="9"/>
      <c r="AC11486" s="9"/>
      <c r="AD11486" s="9"/>
      <c r="AF11486" s="10"/>
      <c r="AG11486" s="10"/>
      <c r="AH11486" s="10"/>
      <c r="AI11486" s="10"/>
    </row>
    <row r="11487" spans="28:35" ht="15" hidden="1" customHeight="1">
      <c r="AB11487" s="9"/>
      <c r="AC11487" s="9"/>
      <c r="AD11487" s="9"/>
      <c r="AF11487" s="10"/>
      <c r="AG11487" s="10"/>
      <c r="AH11487" s="10"/>
      <c r="AI11487" s="10"/>
    </row>
    <row r="11488" spans="28:35" ht="15" hidden="1" customHeight="1">
      <c r="AB11488" s="9"/>
      <c r="AC11488" s="9"/>
      <c r="AD11488" s="9"/>
      <c r="AF11488" s="10"/>
      <c r="AG11488" s="10"/>
      <c r="AH11488" s="10"/>
      <c r="AI11488" s="10"/>
    </row>
    <row r="11489" spans="28:35" ht="15" hidden="1" customHeight="1">
      <c r="AB11489" s="9"/>
      <c r="AC11489" s="9"/>
      <c r="AD11489" s="9"/>
      <c r="AF11489" s="10"/>
      <c r="AG11489" s="10"/>
      <c r="AH11489" s="10"/>
      <c r="AI11489" s="10"/>
    </row>
    <row r="11490" spans="28:35" ht="15" hidden="1" customHeight="1">
      <c r="AB11490" s="9"/>
      <c r="AC11490" s="9"/>
      <c r="AD11490" s="9"/>
      <c r="AF11490" s="10"/>
      <c r="AG11490" s="10"/>
      <c r="AH11490" s="10"/>
      <c r="AI11490" s="10"/>
    </row>
    <row r="11491" spans="28:35" ht="15" hidden="1" customHeight="1">
      <c r="AB11491" s="9"/>
      <c r="AC11491" s="9"/>
      <c r="AD11491" s="9"/>
      <c r="AF11491" s="10"/>
      <c r="AG11491" s="10"/>
      <c r="AH11491" s="10"/>
      <c r="AI11491" s="10"/>
    </row>
    <row r="11492" spans="28:35" ht="15" hidden="1" customHeight="1">
      <c r="AB11492" s="9"/>
      <c r="AC11492" s="9"/>
      <c r="AD11492" s="9"/>
      <c r="AF11492" s="10"/>
      <c r="AG11492" s="10"/>
      <c r="AH11492" s="10"/>
      <c r="AI11492" s="10"/>
    </row>
    <row r="11493" spans="28:35" ht="15" hidden="1" customHeight="1">
      <c r="AB11493" s="9"/>
      <c r="AC11493" s="9"/>
      <c r="AD11493" s="9"/>
      <c r="AF11493" s="10"/>
      <c r="AG11493" s="10"/>
      <c r="AH11493" s="10"/>
      <c r="AI11493" s="10"/>
    </row>
    <row r="11494" spans="28:35" ht="15" hidden="1" customHeight="1">
      <c r="AB11494" s="9"/>
      <c r="AC11494" s="9"/>
      <c r="AD11494" s="9"/>
      <c r="AF11494" s="10"/>
      <c r="AG11494" s="10"/>
      <c r="AH11494" s="10"/>
      <c r="AI11494" s="10"/>
    </row>
    <row r="11495" spans="28:35" ht="15" hidden="1" customHeight="1">
      <c r="AB11495" s="9"/>
      <c r="AC11495" s="9"/>
      <c r="AD11495" s="9"/>
      <c r="AF11495" s="10"/>
      <c r="AG11495" s="10"/>
      <c r="AH11495" s="10"/>
      <c r="AI11495" s="10"/>
    </row>
    <row r="11496" spans="28:35" ht="15" hidden="1" customHeight="1">
      <c r="AB11496" s="9"/>
      <c r="AC11496" s="9"/>
      <c r="AD11496" s="9"/>
      <c r="AF11496" s="10"/>
      <c r="AG11496" s="10"/>
      <c r="AH11496" s="10"/>
      <c r="AI11496" s="10"/>
    </row>
    <row r="11497" spans="28:35" ht="15" hidden="1" customHeight="1">
      <c r="AB11497" s="9"/>
      <c r="AC11497" s="9"/>
      <c r="AD11497" s="9"/>
      <c r="AF11497" s="10"/>
      <c r="AG11497" s="10"/>
      <c r="AH11497" s="10"/>
      <c r="AI11497" s="10"/>
    </row>
    <row r="11498" spans="28:35" ht="15" hidden="1" customHeight="1">
      <c r="AB11498" s="9"/>
      <c r="AC11498" s="9"/>
      <c r="AD11498" s="9"/>
      <c r="AF11498" s="10"/>
      <c r="AG11498" s="10"/>
      <c r="AH11498" s="10"/>
      <c r="AI11498" s="10"/>
    </row>
    <row r="11499" spans="28:35" ht="15" hidden="1" customHeight="1">
      <c r="AB11499" s="9"/>
      <c r="AC11499" s="9"/>
      <c r="AD11499" s="9"/>
      <c r="AF11499" s="10"/>
      <c r="AG11499" s="10"/>
      <c r="AH11499" s="10"/>
      <c r="AI11499" s="10"/>
    </row>
    <row r="11500" spans="28:35" ht="15" hidden="1" customHeight="1">
      <c r="AB11500" s="9"/>
      <c r="AC11500" s="9"/>
      <c r="AD11500" s="9"/>
      <c r="AF11500" s="10"/>
      <c r="AG11500" s="10"/>
      <c r="AH11500" s="10"/>
      <c r="AI11500" s="10"/>
    </row>
    <row r="11501" spans="28:35" ht="15" hidden="1" customHeight="1">
      <c r="AB11501" s="9"/>
      <c r="AC11501" s="9"/>
      <c r="AD11501" s="9"/>
      <c r="AF11501" s="10"/>
      <c r="AG11501" s="10"/>
      <c r="AH11501" s="10"/>
      <c r="AI11501" s="10"/>
    </row>
    <row r="11502" spans="28:35" ht="15" hidden="1" customHeight="1">
      <c r="AB11502" s="9"/>
      <c r="AC11502" s="9"/>
      <c r="AD11502" s="9"/>
      <c r="AF11502" s="10"/>
      <c r="AG11502" s="10"/>
      <c r="AH11502" s="10"/>
      <c r="AI11502" s="10"/>
    </row>
    <row r="11503" spans="28:35" ht="15" hidden="1" customHeight="1">
      <c r="AB11503" s="9"/>
      <c r="AC11503" s="9"/>
      <c r="AD11503" s="9"/>
      <c r="AF11503" s="10"/>
      <c r="AG11503" s="10"/>
      <c r="AH11503" s="10"/>
      <c r="AI11503" s="10"/>
    </row>
    <row r="11504" spans="28:35" ht="15" hidden="1" customHeight="1">
      <c r="AB11504" s="9"/>
      <c r="AC11504" s="9"/>
      <c r="AD11504" s="9"/>
      <c r="AF11504" s="10"/>
      <c r="AG11504" s="10"/>
      <c r="AH11504" s="10"/>
      <c r="AI11504" s="10"/>
    </row>
    <row r="11505" spans="28:35" ht="15" hidden="1" customHeight="1">
      <c r="AB11505" s="9"/>
      <c r="AC11505" s="9"/>
      <c r="AD11505" s="9"/>
      <c r="AF11505" s="10"/>
      <c r="AG11505" s="10"/>
      <c r="AH11505" s="10"/>
      <c r="AI11505" s="10"/>
    </row>
    <row r="11506" spans="28:35" ht="15" hidden="1" customHeight="1">
      <c r="AB11506" s="9"/>
      <c r="AC11506" s="9"/>
      <c r="AD11506" s="9"/>
      <c r="AF11506" s="10"/>
      <c r="AG11506" s="10"/>
      <c r="AH11506" s="10"/>
      <c r="AI11506" s="10"/>
    </row>
    <row r="11507" spans="28:35" ht="15" hidden="1" customHeight="1">
      <c r="AB11507" s="9"/>
      <c r="AC11507" s="9"/>
      <c r="AD11507" s="9"/>
      <c r="AF11507" s="10"/>
      <c r="AG11507" s="10"/>
      <c r="AH11507" s="10"/>
      <c r="AI11507" s="10"/>
    </row>
    <row r="11508" spans="28:35" ht="15" hidden="1" customHeight="1">
      <c r="AB11508" s="9"/>
      <c r="AC11508" s="9"/>
      <c r="AD11508" s="9"/>
      <c r="AF11508" s="10"/>
      <c r="AG11508" s="10"/>
      <c r="AH11508" s="10"/>
      <c r="AI11508" s="10"/>
    </row>
    <row r="11509" spans="28:35" ht="15" hidden="1" customHeight="1">
      <c r="AB11509" s="9"/>
      <c r="AC11509" s="9"/>
      <c r="AD11509" s="9"/>
      <c r="AF11509" s="10"/>
      <c r="AG11509" s="10"/>
      <c r="AH11509" s="10"/>
      <c r="AI11509" s="10"/>
    </row>
    <row r="11510" spans="28:35" ht="15" hidden="1" customHeight="1">
      <c r="AB11510" s="9"/>
      <c r="AC11510" s="9"/>
      <c r="AD11510" s="9"/>
      <c r="AF11510" s="10"/>
      <c r="AG11510" s="10"/>
      <c r="AH11510" s="10"/>
      <c r="AI11510" s="10"/>
    </row>
    <row r="11511" spans="28:35" ht="15" hidden="1" customHeight="1">
      <c r="AB11511" s="9"/>
      <c r="AC11511" s="9"/>
      <c r="AD11511" s="9"/>
      <c r="AF11511" s="10"/>
      <c r="AG11511" s="10"/>
      <c r="AH11511" s="10"/>
      <c r="AI11511" s="10"/>
    </row>
    <row r="11512" spans="28:35" ht="15" hidden="1" customHeight="1">
      <c r="AB11512" s="9"/>
      <c r="AC11512" s="9"/>
      <c r="AD11512" s="9"/>
      <c r="AF11512" s="10"/>
      <c r="AG11512" s="10"/>
      <c r="AH11512" s="10"/>
      <c r="AI11512" s="10"/>
    </row>
    <row r="11513" spans="28:35" ht="15" hidden="1" customHeight="1">
      <c r="AB11513" s="9"/>
      <c r="AC11513" s="9"/>
      <c r="AD11513" s="9"/>
      <c r="AF11513" s="10"/>
      <c r="AG11513" s="10"/>
      <c r="AH11513" s="10"/>
      <c r="AI11513" s="10"/>
    </row>
    <row r="11514" spans="28:35" ht="15" hidden="1" customHeight="1">
      <c r="AB11514" s="9"/>
      <c r="AC11514" s="9"/>
      <c r="AD11514" s="9"/>
      <c r="AF11514" s="10"/>
      <c r="AG11514" s="10"/>
      <c r="AH11514" s="10"/>
      <c r="AI11514" s="10"/>
    </row>
    <row r="11515" spans="28:35" ht="15" hidden="1" customHeight="1">
      <c r="AB11515" s="9"/>
      <c r="AC11515" s="9"/>
      <c r="AD11515" s="9"/>
      <c r="AF11515" s="10"/>
      <c r="AG11515" s="10"/>
      <c r="AH11515" s="10"/>
      <c r="AI11515" s="10"/>
    </row>
    <row r="11516" spans="28:35" ht="15" hidden="1" customHeight="1">
      <c r="AB11516" s="9"/>
      <c r="AC11516" s="9"/>
      <c r="AD11516" s="9"/>
      <c r="AF11516" s="10"/>
      <c r="AG11516" s="10"/>
      <c r="AH11516" s="10"/>
      <c r="AI11516" s="10"/>
    </row>
    <row r="11517" spans="28:35" ht="15" hidden="1" customHeight="1">
      <c r="AB11517" s="9"/>
      <c r="AC11517" s="9"/>
      <c r="AD11517" s="9"/>
      <c r="AF11517" s="10"/>
      <c r="AG11517" s="10"/>
      <c r="AH11517" s="10"/>
      <c r="AI11517" s="10"/>
    </row>
    <row r="11518" spans="28:35" ht="15" hidden="1" customHeight="1">
      <c r="AB11518" s="9"/>
      <c r="AC11518" s="9"/>
      <c r="AD11518" s="9"/>
      <c r="AF11518" s="10"/>
      <c r="AG11518" s="10"/>
      <c r="AH11518" s="10"/>
      <c r="AI11518" s="10"/>
    </row>
    <row r="11519" spans="28:35" ht="15" hidden="1" customHeight="1">
      <c r="AB11519" s="9"/>
      <c r="AC11519" s="9"/>
      <c r="AD11519" s="9"/>
      <c r="AF11519" s="10"/>
      <c r="AG11519" s="10"/>
      <c r="AH11519" s="10"/>
      <c r="AI11519" s="10"/>
    </row>
    <row r="11520" spans="28:35" ht="15" hidden="1" customHeight="1">
      <c r="AB11520" s="9"/>
      <c r="AC11520" s="9"/>
      <c r="AD11520" s="9"/>
      <c r="AF11520" s="10"/>
      <c r="AG11520" s="10"/>
      <c r="AH11520" s="10"/>
      <c r="AI11520" s="10"/>
    </row>
    <row r="11521" spans="28:35" ht="15" hidden="1" customHeight="1">
      <c r="AB11521" s="9"/>
      <c r="AC11521" s="9"/>
      <c r="AD11521" s="9"/>
      <c r="AF11521" s="10"/>
      <c r="AG11521" s="10"/>
      <c r="AH11521" s="10"/>
      <c r="AI11521" s="10"/>
    </row>
    <row r="11522" spans="28:35" ht="15" hidden="1" customHeight="1">
      <c r="AB11522" s="9"/>
      <c r="AC11522" s="9"/>
      <c r="AD11522" s="9"/>
      <c r="AF11522" s="10"/>
      <c r="AG11522" s="10"/>
      <c r="AH11522" s="10"/>
      <c r="AI11522" s="10"/>
    </row>
    <row r="11523" spans="28:35" ht="15" hidden="1" customHeight="1">
      <c r="AB11523" s="9"/>
      <c r="AC11523" s="9"/>
      <c r="AD11523" s="9"/>
      <c r="AF11523" s="10"/>
      <c r="AG11523" s="10"/>
      <c r="AH11523" s="10"/>
      <c r="AI11523" s="10"/>
    </row>
    <row r="11524" spans="28:35" ht="15" hidden="1" customHeight="1">
      <c r="AB11524" s="9"/>
      <c r="AC11524" s="9"/>
      <c r="AD11524" s="9"/>
      <c r="AF11524" s="10"/>
      <c r="AG11524" s="10"/>
      <c r="AH11524" s="10"/>
      <c r="AI11524" s="10"/>
    </row>
    <row r="11525" spans="28:35" ht="15" hidden="1" customHeight="1">
      <c r="AB11525" s="9"/>
      <c r="AC11525" s="9"/>
      <c r="AD11525" s="9"/>
      <c r="AF11525" s="10"/>
      <c r="AG11525" s="10"/>
      <c r="AH11525" s="10"/>
      <c r="AI11525" s="10"/>
    </row>
    <row r="11526" spans="28:35" ht="15" hidden="1" customHeight="1">
      <c r="AB11526" s="9"/>
      <c r="AC11526" s="9"/>
      <c r="AD11526" s="9"/>
      <c r="AF11526" s="10"/>
      <c r="AG11526" s="10"/>
      <c r="AH11526" s="10"/>
      <c r="AI11526" s="10"/>
    </row>
    <row r="11527" spans="28:35" ht="15" hidden="1" customHeight="1">
      <c r="AB11527" s="9"/>
      <c r="AC11527" s="9"/>
      <c r="AD11527" s="9"/>
      <c r="AF11527" s="10"/>
      <c r="AG11527" s="10"/>
      <c r="AH11527" s="10"/>
      <c r="AI11527" s="10"/>
    </row>
    <row r="11528" spans="28:35" ht="15" hidden="1" customHeight="1">
      <c r="AB11528" s="9"/>
      <c r="AC11528" s="9"/>
      <c r="AD11528" s="9"/>
      <c r="AF11528" s="10"/>
      <c r="AG11528" s="10"/>
      <c r="AH11528" s="10"/>
      <c r="AI11528" s="10"/>
    </row>
    <row r="11529" spans="28:35" ht="15" hidden="1" customHeight="1">
      <c r="AB11529" s="9"/>
      <c r="AC11529" s="9"/>
      <c r="AD11529" s="9"/>
      <c r="AF11529" s="10"/>
      <c r="AG11529" s="10"/>
      <c r="AH11529" s="10"/>
      <c r="AI11529" s="10"/>
    </row>
    <row r="11530" spans="28:35" ht="15" hidden="1" customHeight="1">
      <c r="AB11530" s="9"/>
      <c r="AC11530" s="9"/>
      <c r="AD11530" s="9"/>
      <c r="AF11530" s="10"/>
      <c r="AG11530" s="10"/>
      <c r="AH11530" s="10"/>
      <c r="AI11530" s="10"/>
    </row>
    <row r="11531" spans="28:35" ht="15" hidden="1" customHeight="1">
      <c r="AB11531" s="9"/>
      <c r="AC11531" s="9"/>
      <c r="AD11531" s="9"/>
      <c r="AF11531" s="10"/>
      <c r="AG11531" s="10"/>
      <c r="AH11531" s="10"/>
      <c r="AI11531" s="10"/>
    </row>
    <row r="11532" spans="28:35" ht="15" hidden="1" customHeight="1">
      <c r="AB11532" s="9"/>
      <c r="AC11532" s="9"/>
      <c r="AD11532" s="9"/>
      <c r="AF11532" s="10"/>
      <c r="AG11532" s="10"/>
      <c r="AH11532" s="10"/>
      <c r="AI11532" s="10"/>
    </row>
    <row r="11533" spans="28:35" ht="15" hidden="1" customHeight="1">
      <c r="AB11533" s="9"/>
      <c r="AC11533" s="9"/>
      <c r="AD11533" s="9"/>
      <c r="AF11533" s="10"/>
      <c r="AG11533" s="10"/>
      <c r="AH11533" s="10"/>
      <c r="AI11533" s="10"/>
    </row>
    <row r="11534" spans="28:35" ht="15" hidden="1" customHeight="1">
      <c r="AB11534" s="9"/>
      <c r="AC11534" s="9"/>
      <c r="AD11534" s="9"/>
      <c r="AF11534" s="10"/>
      <c r="AG11534" s="10"/>
      <c r="AH11534" s="10"/>
      <c r="AI11534" s="10"/>
    </row>
    <row r="11535" spans="28:35" ht="15" hidden="1" customHeight="1">
      <c r="AB11535" s="9"/>
      <c r="AC11535" s="9"/>
      <c r="AD11535" s="9"/>
      <c r="AF11535" s="10"/>
      <c r="AG11535" s="10"/>
      <c r="AH11535" s="10"/>
      <c r="AI11535" s="10"/>
    </row>
    <row r="11536" spans="28:35" ht="15" hidden="1" customHeight="1">
      <c r="AB11536" s="9"/>
      <c r="AC11536" s="9"/>
      <c r="AD11536" s="9"/>
      <c r="AF11536" s="10"/>
      <c r="AG11536" s="10"/>
      <c r="AH11536" s="10"/>
      <c r="AI11536" s="10"/>
    </row>
    <row r="11537" spans="28:35" ht="15" hidden="1" customHeight="1">
      <c r="AB11537" s="9"/>
      <c r="AC11537" s="9"/>
      <c r="AD11537" s="9"/>
      <c r="AF11537" s="10"/>
      <c r="AG11537" s="10"/>
      <c r="AH11537" s="10"/>
      <c r="AI11537" s="10"/>
    </row>
    <row r="11538" spans="28:35" ht="15" hidden="1" customHeight="1">
      <c r="AB11538" s="9"/>
      <c r="AC11538" s="9"/>
      <c r="AD11538" s="9"/>
      <c r="AF11538" s="10"/>
      <c r="AG11538" s="10"/>
      <c r="AH11538" s="10"/>
      <c r="AI11538" s="10"/>
    </row>
    <row r="11539" spans="28:35" ht="15" hidden="1" customHeight="1">
      <c r="AB11539" s="9"/>
      <c r="AC11539" s="9"/>
      <c r="AD11539" s="9"/>
      <c r="AF11539" s="10"/>
      <c r="AG11539" s="10"/>
      <c r="AH11539" s="10"/>
      <c r="AI11539" s="10"/>
    </row>
    <row r="11540" spans="28:35" ht="15" hidden="1" customHeight="1">
      <c r="AB11540" s="9"/>
      <c r="AC11540" s="9"/>
      <c r="AD11540" s="9"/>
      <c r="AF11540" s="10"/>
      <c r="AG11540" s="10"/>
      <c r="AH11540" s="10"/>
      <c r="AI11540" s="10"/>
    </row>
    <row r="11541" spans="28:35" ht="15" hidden="1" customHeight="1">
      <c r="AB11541" s="9"/>
      <c r="AC11541" s="9"/>
      <c r="AD11541" s="9"/>
      <c r="AF11541" s="10"/>
      <c r="AG11541" s="10"/>
      <c r="AH11541" s="10"/>
      <c r="AI11541" s="10"/>
    </row>
    <row r="11542" spans="28:35" ht="15" hidden="1" customHeight="1">
      <c r="AB11542" s="9"/>
      <c r="AC11542" s="9"/>
      <c r="AD11542" s="9"/>
      <c r="AF11542" s="10"/>
      <c r="AG11542" s="10"/>
      <c r="AH11542" s="10"/>
      <c r="AI11542" s="10"/>
    </row>
    <row r="11543" spans="28:35" ht="15" hidden="1" customHeight="1">
      <c r="AB11543" s="9"/>
      <c r="AC11543" s="9"/>
      <c r="AD11543" s="9"/>
      <c r="AF11543" s="10"/>
      <c r="AG11543" s="10"/>
      <c r="AH11543" s="10"/>
      <c r="AI11543" s="10"/>
    </row>
    <row r="11544" spans="28:35" ht="15" hidden="1" customHeight="1">
      <c r="AB11544" s="9"/>
      <c r="AC11544" s="9"/>
      <c r="AD11544" s="9"/>
      <c r="AF11544" s="10"/>
      <c r="AG11544" s="10"/>
      <c r="AH11544" s="10"/>
      <c r="AI11544" s="10"/>
    </row>
    <row r="11545" spans="28:35" ht="15" hidden="1" customHeight="1">
      <c r="AB11545" s="9"/>
      <c r="AC11545" s="9"/>
      <c r="AD11545" s="9"/>
      <c r="AF11545" s="10"/>
      <c r="AG11545" s="10"/>
      <c r="AH11545" s="10"/>
      <c r="AI11545" s="10"/>
    </row>
    <row r="11546" spans="28:35" ht="15" hidden="1" customHeight="1">
      <c r="AB11546" s="9"/>
      <c r="AC11546" s="9"/>
      <c r="AD11546" s="9"/>
      <c r="AF11546" s="10"/>
      <c r="AG11546" s="10"/>
      <c r="AH11546" s="10"/>
      <c r="AI11546" s="10"/>
    </row>
    <row r="11547" spans="28:35" ht="15" hidden="1" customHeight="1">
      <c r="AB11547" s="9"/>
      <c r="AC11547" s="9"/>
      <c r="AD11547" s="9"/>
      <c r="AF11547" s="10"/>
      <c r="AG11547" s="10"/>
      <c r="AH11547" s="10"/>
      <c r="AI11547" s="10"/>
    </row>
    <row r="11548" spans="28:35" ht="15" hidden="1" customHeight="1">
      <c r="AB11548" s="9"/>
      <c r="AC11548" s="9"/>
      <c r="AD11548" s="9"/>
      <c r="AF11548" s="10"/>
      <c r="AG11548" s="10"/>
      <c r="AH11548" s="10"/>
      <c r="AI11548" s="10"/>
    </row>
    <row r="11549" spans="28:35" ht="15" hidden="1" customHeight="1">
      <c r="AB11549" s="9"/>
      <c r="AC11549" s="9"/>
      <c r="AD11549" s="9"/>
      <c r="AF11549" s="10"/>
      <c r="AG11549" s="10"/>
      <c r="AH11549" s="10"/>
      <c r="AI11549" s="10"/>
    </row>
    <row r="11550" spans="28:35" ht="15" hidden="1" customHeight="1">
      <c r="AB11550" s="9"/>
      <c r="AC11550" s="9"/>
      <c r="AD11550" s="9"/>
      <c r="AF11550" s="10"/>
      <c r="AG11550" s="10"/>
      <c r="AH11550" s="10"/>
      <c r="AI11550" s="10"/>
    </row>
    <row r="11551" spans="28:35" ht="15" hidden="1" customHeight="1">
      <c r="AB11551" s="9"/>
      <c r="AC11551" s="9"/>
      <c r="AD11551" s="9"/>
      <c r="AF11551" s="10"/>
      <c r="AG11551" s="10"/>
      <c r="AH11551" s="10"/>
      <c r="AI11551" s="10"/>
    </row>
    <row r="11552" spans="28:35" ht="15" hidden="1" customHeight="1">
      <c r="AB11552" s="9"/>
      <c r="AC11552" s="9"/>
      <c r="AD11552" s="9"/>
      <c r="AF11552" s="10"/>
      <c r="AG11552" s="10"/>
      <c r="AH11552" s="10"/>
      <c r="AI11552" s="10"/>
    </row>
    <row r="11553" spans="28:35" ht="15" hidden="1" customHeight="1">
      <c r="AB11553" s="9"/>
      <c r="AC11553" s="9"/>
      <c r="AD11553" s="9"/>
      <c r="AF11553" s="10"/>
      <c r="AG11553" s="10"/>
      <c r="AH11553" s="10"/>
      <c r="AI11553" s="10"/>
    </row>
    <row r="11554" spans="28:35" ht="15" hidden="1" customHeight="1">
      <c r="AB11554" s="9"/>
      <c r="AC11554" s="9"/>
      <c r="AD11554" s="9"/>
      <c r="AF11554" s="10"/>
      <c r="AG11554" s="10"/>
      <c r="AH11554" s="10"/>
      <c r="AI11554" s="10"/>
    </row>
    <row r="11555" spans="28:35" ht="15" hidden="1" customHeight="1">
      <c r="AB11555" s="9"/>
      <c r="AC11555" s="9"/>
      <c r="AD11555" s="9"/>
      <c r="AF11555" s="10"/>
      <c r="AG11555" s="10"/>
      <c r="AH11555" s="10"/>
      <c r="AI11555" s="10"/>
    </row>
    <row r="11556" spans="28:35" ht="15" hidden="1" customHeight="1">
      <c r="AB11556" s="9"/>
      <c r="AC11556" s="9"/>
      <c r="AD11556" s="9"/>
      <c r="AF11556" s="10"/>
      <c r="AG11556" s="10"/>
      <c r="AH11556" s="10"/>
      <c r="AI11556" s="10"/>
    </row>
    <row r="11557" spans="28:35" ht="15" hidden="1" customHeight="1">
      <c r="AB11557" s="9"/>
      <c r="AC11557" s="9"/>
      <c r="AD11557" s="9"/>
      <c r="AF11557" s="10"/>
      <c r="AG11557" s="10"/>
      <c r="AH11557" s="10"/>
      <c r="AI11557" s="10"/>
    </row>
    <row r="11558" spans="28:35" ht="15" hidden="1" customHeight="1">
      <c r="AB11558" s="9"/>
      <c r="AC11558" s="9"/>
      <c r="AD11558" s="9"/>
      <c r="AF11558" s="10"/>
      <c r="AG11558" s="10"/>
      <c r="AH11558" s="10"/>
      <c r="AI11558" s="10"/>
    </row>
    <row r="11559" spans="28:35" ht="15" hidden="1" customHeight="1">
      <c r="AB11559" s="9"/>
      <c r="AC11559" s="9"/>
      <c r="AD11559" s="9"/>
      <c r="AF11559" s="10"/>
      <c r="AG11559" s="10"/>
      <c r="AH11559" s="10"/>
      <c r="AI11559" s="10"/>
    </row>
    <row r="11560" spans="28:35" ht="15" hidden="1" customHeight="1">
      <c r="AB11560" s="9"/>
      <c r="AC11560" s="9"/>
      <c r="AD11560" s="9"/>
      <c r="AF11560" s="10"/>
      <c r="AG11560" s="10"/>
      <c r="AH11560" s="10"/>
      <c r="AI11560" s="10"/>
    </row>
    <row r="11561" spans="28:35" ht="15" hidden="1" customHeight="1">
      <c r="AB11561" s="9"/>
      <c r="AC11561" s="9"/>
      <c r="AD11561" s="9"/>
      <c r="AF11561" s="10"/>
      <c r="AG11561" s="10"/>
      <c r="AH11561" s="10"/>
      <c r="AI11561" s="10"/>
    </row>
    <row r="11562" spans="28:35" ht="15" hidden="1" customHeight="1">
      <c r="AB11562" s="9"/>
      <c r="AC11562" s="9"/>
      <c r="AD11562" s="9"/>
      <c r="AF11562" s="10"/>
      <c r="AG11562" s="10"/>
      <c r="AH11562" s="10"/>
      <c r="AI11562" s="10"/>
    </row>
    <row r="11563" spans="28:35" ht="15" hidden="1" customHeight="1">
      <c r="AB11563" s="9"/>
      <c r="AC11563" s="9"/>
      <c r="AD11563" s="9"/>
      <c r="AF11563" s="10"/>
      <c r="AG11563" s="10"/>
      <c r="AH11563" s="10"/>
      <c r="AI11563" s="10"/>
    </row>
    <row r="11564" spans="28:35" ht="15" hidden="1" customHeight="1">
      <c r="AB11564" s="9"/>
      <c r="AC11564" s="9"/>
      <c r="AD11564" s="9"/>
      <c r="AF11564" s="10"/>
      <c r="AG11564" s="10"/>
      <c r="AH11564" s="10"/>
      <c r="AI11564" s="10"/>
    </row>
    <row r="11565" spans="28:35" ht="15" hidden="1" customHeight="1">
      <c r="AB11565" s="9"/>
      <c r="AC11565" s="9"/>
      <c r="AD11565" s="9"/>
      <c r="AF11565" s="10"/>
      <c r="AG11565" s="10"/>
      <c r="AH11565" s="10"/>
      <c r="AI11565" s="10"/>
    </row>
    <row r="11566" spans="28:35" ht="15" hidden="1" customHeight="1">
      <c r="AB11566" s="9"/>
      <c r="AC11566" s="9"/>
      <c r="AD11566" s="9"/>
      <c r="AF11566" s="10"/>
      <c r="AG11566" s="10"/>
      <c r="AH11566" s="10"/>
      <c r="AI11566" s="10"/>
    </row>
    <row r="11567" spans="28:35" ht="15" hidden="1" customHeight="1">
      <c r="AB11567" s="9"/>
      <c r="AC11567" s="9"/>
      <c r="AD11567" s="9"/>
      <c r="AF11567" s="10"/>
      <c r="AG11567" s="10"/>
      <c r="AH11567" s="10"/>
      <c r="AI11567" s="10"/>
    </row>
    <row r="11568" spans="28:35" ht="15" hidden="1" customHeight="1">
      <c r="AB11568" s="9"/>
      <c r="AC11568" s="9"/>
      <c r="AD11568" s="9"/>
      <c r="AF11568" s="10"/>
      <c r="AG11568" s="10"/>
      <c r="AH11568" s="10"/>
      <c r="AI11568" s="10"/>
    </row>
    <row r="11569" spans="28:35" ht="15" hidden="1" customHeight="1">
      <c r="AB11569" s="9"/>
      <c r="AC11569" s="9"/>
      <c r="AD11569" s="9"/>
      <c r="AF11569" s="10"/>
      <c r="AG11569" s="10"/>
      <c r="AH11569" s="10"/>
      <c r="AI11569" s="10"/>
    </row>
    <row r="11570" spans="28:35" ht="15" hidden="1" customHeight="1">
      <c r="AB11570" s="9"/>
      <c r="AC11570" s="9"/>
      <c r="AD11570" s="9"/>
      <c r="AF11570" s="10"/>
      <c r="AG11570" s="10"/>
      <c r="AH11570" s="10"/>
      <c r="AI11570" s="10"/>
    </row>
    <row r="11571" spans="28:35" ht="15" hidden="1" customHeight="1">
      <c r="AB11571" s="9"/>
      <c r="AC11571" s="9"/>
      <c r="AD11571" s="9"/>
      <c r="AF11571" s="10"/>
      <c r="AG11571" s="10"/>
      <c r="AH11571" s="10"/>
      <c r="AI11571" s="10"/>
    </row>
    <row r="11572" spans="28:35" ht="15" hidden="1" customHeight="1">
      <c r="AB11572" s="9"/>
      <c r="AC11572" s="9"/>
      <c r="AD11572" s="9"/>
      <c r="AF11572" s="10"/>
      <c r="AG11572" s="10"/>
      <c r="AH11572" s="10"/>
      <c r="AI11572" s="10"/>
    </row>
    <row r="11573" spans="28:35" ht="15" hidden="1" customHeight="1">
      <c r="AB11573" s="9"/>
      <c r="AC11573" s="9"/>
      <c r="AD11573" s="9"/>
      <c r="AF11573" s="10"/>
      <c r="AG11573" s="10"/>
      <c r="AH11573" s="10"/>
      <c r="AI11573" s="10"/>
    </row>
    <row r="11574" spans="28:35" ht="15" hidden="1" customHeight="1">
      <c r="AB11574" s="9"/>
      <c r="AC11574" s="9"/>
      <c r="AD11574" s="9"/>
      <c r="AF11574" s="10"/>
      <c r="AG11574" s="10"/>
      <c r="AH11574" s="10"/>
      <c r="AI11574" s="10"/>
    </row>
    <row r="11575" spans="28:35" ht="15" hidden="1" customHeight="1">
      <c r="AB11575" s="9"/>
      <c r="AC11575" s="9"/>
      <c r="AD11575" s="9"/>
      <c r="AF11575" s="10"/>
      <c r="AG11575" s="10"/>
      <c r="AH11575" s="10"/>
      <c r="AI11575" s="10"/>
    </row>
    <row r="11576" spans="28:35" ht="15" hidden="1" customHeight="1">
      <c r="AB11576" s="9"/>
      <c r="AC11576" s="9"/>
      <c r="AD11576" s="9"/>
      <c r="AF11576" s="10"/>
      <c r="AG11576" s="10"/>
      <c r="AH11576" s="10"/>
      <c r="AI11576" s="10"/>
    </row>
    <row r="11577" spans="28:35" ht="15" hidden="1" customHeight="1">
      <c r="AB11577" s="9"/>
      <c r="AC11577" s="9"/>
      <c r="AD11577" s="9"/>
      <c r="AF11577" s="10"/>
      <c r="AG11577" s="10"/>
      <c r="AH11577" s="10"/>
      <c r="AI11577" s="10"/>
    </row>
    <row r="11578" spans="28:35" ht="15" hidden="1" customHeight="1">
      <c r="AB11578" s="9"/>
      <c r="AC11578" s="9"/>
      <c r="AD11578" s="9"/>
      <c r="AF11578" s="10"/>
      <c r="AG11578" s="10"/>
      <c r="AH11578" s="10"/>
      <c r="AI11578" s="10"/>
    </row>
    <row r="11579" spans="28:35" ht="15" hidden="1" customHeight="1">
      <c r="AB11579" s="9"/>
      <c r="AC11579" s="9"/>
      <c r="AD11579" s="9"/>
      <c r="AF11579" s="10"/>
      <c r="AG11579" s="10"/>
      <c r="AH11579" s="10"/>
      <c r="AI11579" s="10"/>
    </row>
    <row r="11580" spans="28:35" ht="15" hidden="1" customHeight="1">
      <c r="AB11580" s="9"/>
      <c r="AC11580" s="9"/>
      <c r="AD11580" s="9"/>
      <c r="AF11580" s="10"/>
      <c r="AG11580" s="10"/>
      <c r="AH11580" s="10"/>
      <c r="AI11580" s="10"/>
    </row>
    <row r="11581" spans="28:35" ht="15" hidden="1" customHeight="1">
      <c r="AB11581" s="9"/>
      <c r="AC11581" s="9"/>
      <c r="AD11581" s="9"/>
      <c r="AF11581" s="10"/>
      <c r="AG11581" s="10"/>
      <c r="AH11581" s="10"/>
      <c r="AI11581" s="10"/>
    </row>
    <row r="11582" spans="28:35" ht="15" hidden="1" customHeight="1">
      <c r="AB11582" s="9"/>
      <c r="AC11582" s="9"/>
      <c r="AD11582" s="9"/>
      <c r="AF11582" s="10"/>
      <c r="AG11582" s="10"/>
      <c r="AH11582" s="10"/>
      <c r="AI11582" s="10"/>
    </row>
    <row r="11583" spans="28:35" ht="15" hidden="1" customHeight="1">
      <c r="AB11583" s="9"/>
      <c r="AC11583" s="9"/>
      <c r="AD11583" s="9"/>
      <c r="AF11583" s="10"/>
      <c r="AG11583" s="10"/>
      <c r="AH11583" s="10"/>
      <c r="AI11583" s="10"/>
    </row>
    <row r="11584" spans="28:35" ht="15" hidden="1" customHeight="1">
      <c r="AB11584" s="9"/>
      <c r="AC11584" s="9"/>
      <c r="AD11584" s="9"/>
      <c r="AF11584" s="10"/>
      <c r="AG11584" s="10"/>
      <c r="AH11584" s="10"/>
      <c r="AI11584" s="10"/>
    </row>
    <row r="11585" spans="28:35" ht="15" hidden="1" customHeight="1">
      <c r="AB11585" s="9"/>
      <c r="AC11585" s="9"/>
      <c r="AD11585" s="9"/>
      <c r="AF11585" s="10"/>
      <c r="AG11585" s="10"/>
      <c r="AH11585" s="10"/>
      <c r="AI11585" s="10"/>
    </row>
    <row r="11586" spans="28:35" ht="15" hidden="1" customHeight="1">
      <c r="AB11586" s="9"/>
      <c r="AC11586" s="9"/>
      <c r="AD11586" s="9"/>
      <c r="AF11586" s="10"/>
      <c r="AG11586" s="10"/>
      <c r="AH11586" s="10"/>
      <c r="AI11586" s="10"/>
    </row>
    <row r="11587" spans="28:35" ht="15" hidden="1" customHeight="1">
      <c r="AB11587" s="9"/>
      <c r="AC11587" s="9"/>
      <c r="AD11587" s="9"/>
      <c r="AF11587" s="10"/>
      <c r="AG11587" s="10"/>
      <c r="AH11587" s="10"/>
      <c r="AI11587" s="10"/>
    </row>
    <row r="11588" spans="28:35" ht="15" hidden="1" customHeight="1">
      <c r="AB11588" s="9"/>
      <c r="AC11588" s="9"/>
      <c r="AD11588" s="9"/>
      <c r="AF11588" s="10"/>
      <c r="AG11588" s="10"/>
      <c r="AH11588" s="10"/>
      <c r="AI11588" s="10"/>
    </row>
    <row r="11589" spans="28:35" ht="15" hidden="1" customHeight="1">
      <c r="AB11589" s="9"/>
      <c r="AC11589" s="9"/>
      <c r="AD11589" s="9"/>
      <c r="AF11589" s="10"/>
      <c r="AG11589" s="10"/>
      <c r="AH11589" s="10"/>
      <c r="AI11589" s="10"/>
    </row>
    <row r="11590" spans="28:35" ht="15" hidden="1" customHeight="1">
      <c r="AB11590" s="9"/>
      <c r="AC11590" s="9"/>
      <c r="AD11590" s="9"/>
      <c r="AF11590" s="10"/>
      <c r="AG11590" s="10"/>
      <c r="AH11590" s="10"/>
      <c r="AI11590" s="10"/>
    </row>
    <row r="11591" spans="28:35" ht="15" hidden="1" customHeight="1">
      <c r="AB11591" s="9"/>
      <c r="AC11591" s="9"/>
      <c r="AD11591" s="9"/>
      <c r="AF11591" s="10"/>
      <c r="AG11591" s="10"/>
      <c r="AH11591" s="10"/>
      <c r="AI11591" s="10"/>
    </row>
    <row r="11592" spans="28:35" ht="15" hidden="1" customHeight="1">
      <c r="AB11592" s="9"/>
      <c r="AC11592" s="9"/>
      <c r="AD11592" s="9"/>
      <c r="AF11592" s="10"/>
      <c r="AG11592" s="10"/>
      <c r="AH11592" s="10"/>
      <c r="AI11592" s="10"/>
    </row>
    <row r="11593" spans="28:35" ht="15" hidden="1" customHeight="1">
      <c r="AB11593" s="9"/>
      <c r="AC11593" s="9"/>
      <c r="AD11593" s="9"/>
      <c r="AF11593" s="10"/>
      <c r="AG11593" s="10"/>
      <c r="AH11593" s="10"/>
      <c r="AI11593" s="10"/>
    </row>
    <row r="11594" spans="28:35" ht="15" hidden="1" customHeight="1">
      <c r="AB11594" s="9"/>
      <c r="AC11594" s="9"/>
      <c r="AD11594" s="9"/>
      <c r="AF11594" s="10"/>
      <c r="AG11594" s="10"/>
      <c r="AH11594" s="10"/>
      <c r="AI11594" s="10"/>
    </row>
    <row r="11595" spans="28:35" ht="15" hidden="1" customHeight="1">
      <c r="AB11595" s="9"/>
      <c r="AC11595" s="9"/>
      <c r="AD11595" s="9"/>
      <c r="AF11595" s="10"/>
      <c r="AG11595" s="10"/>
      <c r="AH11595" s="10"/>
      <c r="AI11595" s="10"/>
    </row>
    <row r="11596" spans="28:35" ht="15" hidden="1" customHeight="1">
      <c r="AB11596" s="9"/>
      <c r="AC11596" s="9"/>
      <c r="AD11596" s="9"/>
      <c r="AF11596" s="10"/>
      <c r="AG11596" s="10"/>
      <c r="AH11596" s="10"/>
      <c r="AI11596" s="10"/>
    </row>
    <row r="11597" spans="28:35" ht="15" hidden="1" customHeight="1">
      <c r="AB11597" s="9"/>
      <c r="AC11597" s="9"/>
      <c r="AD11597" s="9"/>
      <c r="AF11597" s="10"/>
      <c r="AG11597" s="10"/>
      <c r="AH11597" s="10"/>
      <c r="AI11597" s="10"/>
    </row>
    <row r="11598" spans="28:35" ht="15" hidden="1" customHeight="1">
      <c r="AB11598" s="9"/>
      <c r="AC11598" s="9"/>
      <c r="AD11598" s="9"/>
      <c r="AF11598" s="10"/>
      <c r="AG11598" s="10"/>
      <c r="AH11598" s="10"/>
      <c r="AI11598" s="10"/>
    </row>
    <row r="11599" spans="28:35" ht="15" hidden="1" customHeight="1">
      <c r="AB11599" s="9"/>
      <c r="AC11599" s="9"/>
      <c r="AD11599" s="9"/>
      <c r="AF11599" s="10"/>
      <c r="AG11599" s="10"/>
      <c r="AH11599" s="10"/>
      <c r="AI11599" s="10"/>
    </row>
    <row r="11600" spans="28:35" ht="15" hidden="1" customHeight="1">
      <c r="AB11600" s="9"/>
      <c r="AC11600" s="9"/>
      <c r="AD11600" s="9"/>
      <c r="AF11600" s="10"/>
      <c r="AG11600" s="10"/>
      <c r="AH11600" s="10"/>
      <c r="AI11600" s="10"/>
    </row>
    <row r="11601" spans="28:35" ht="15" hidden="1" customHeight="1">
      <c r="AB11601" s="9"/>
      <c r="AC11601" s="9"/>
      <c r="AD11601" s="9"/>
      <c r="AF11601" s="10"/>
      <c r="AG11601" s="10"/>
      <c r="AH11601" s="10"/>
      <c r="AI11601" s="10"/>
    </row>
    <row r="11602" spans="28:35" ht="15" hidden="1" customHeight="1">
      <c r="AB11602" s="9"/>
      <c r="AC11602" s="9"/>
      <c r="AD11602" s="9"/>
      <c r="AF11602" s="10"/>
      <c r="AG11602" s="10"/>
      <c r="AH11602" s="10"/>
      <c r="AI11602" s="10"/>
    </row>
    <row r="11603" spans="28:35" ht="15" hidden="1" customHeight="1">
      <c r="AB11603" s="9"/>
      <c r="AC11603" s="9"/>
      <c r="AD11603" s="9"/>
      <c r="AF11603" s="10"/>
      <c r="AG11603" s="10"/>
      <c r="AH11603" s="10"/>
      <c r="AI11603" s="10"/>
    </row>
    <row r="11604" spans="28:35" ht="15" hidden="1" customHeight="1">
      <c r="AB11604" s="9"/>
      <c r="AC11604" s="9"/>
      <c r="AD11604" s="9"/>
      <c r="AF11604" s="10"/>
      <c r="AG11604" s="10"/>
      <c r="AH11604" s="10"/>
      <c r="AI11604" s="10"/>
    </row>
    <row r="11605" spans="28:35" ht="15" hidden="1" customHeight="1">
      <c r="AB11605" s="9"/>
      <c r="AC11605" s="9"/>
      <c r="AD11605" s="9"/>
      <c r="AF11605" s="10"/>
      <c r="AG11605" s="10"/>
      <c r="AH11605" s="10"/>
      <c r="AI11605" s="10"/>
    </row>
    <row r="11606" spans="28:35" ht="15" hidden="1" customHeight="1">
      <c r="AB11606" s="9"/>
      <c r="AC11606" s="9"/>
      <c r="AD11606" s="9"/>
      <c r="AF11606" s="10"/>
      <c r="AG11606" s="10"/>
      <c r="AH11606" s="10"/>
      <c r="AI11606" s="10"/>
    </row>
    <row r="11607" spans="28:35" ht="15" hidden="1" customHeight="1">
      <c r="AB11607" s="9"/>
      <c r="AC11607" s="9"/>
      <c r="AD11607" s="9"/>
      <c r="AF11607" s="10"/>
      <c r="AG11607" s="10"/>
      <c r="AH11607" s="10"/>
      <c r="AI11607" s="10"/>
    </row>
    <row r="11608" spans="28:35" ht="15" hidden="1" customHeight="1">
      <c r="AB11608" s="9"/>
      <c r="AC11608" s="9"/>
      <c r="AD11608" s="9"/>
      <c r="AF11608" s="10"/>
      <c r="AG11608" s="10"/>
      <c r="AH11608" s="10"/>
      <c r="AI11608" s="10"/>
    </row>
    <row r="11609" spans="28:35" ht="15" hidden="1" customHeight="1">
      <c r="AB11609" s="9"/>
      <c r="AC11609" s="9"/>
      <c r="AD11609" s="9"/>
      <c r="AF11609" s="10"/>
      <c r="AG11609" s="10"/>
      <c r="AH11609" s="10"/>
      <c r="AI11609" s="10"/>
    </row>
    <row r="11610" spans="28:35" ht="15" hidden="1" customHeight="1">
      <c r="AB11610" s="9"/>
      <c r="AC11610" s="9"/>
      <c r="AD11610" s="9"/>
      <c r="AF11610" s="10"/>
      <c r="AG11610" s="10"/>
      <c r="AH11610" s="10"/>
      <c r="AI11610" s="10"/>
    </row>
    <row r="11611" spans="28:35" ht="15" hidden="1" customHeight="1">
      <c r="AB11611" s="9"/>
      <c r="AC11611" s="9"/>
      <c r="AD11611" s="9"/>
      <c r="AF11611" s="10"/>
      <c r="AG11611" s="10"/>
      <c r="AH11611" s="10"/>
      <c r="AI11611" s="10"/>
    </row>
    <row r="11612" spans="28:35" ht="15" hidden="1" customHeight="1">
      <c r="AB11612" s="9"/>
      <c r="AC11612" s="9"/>
      <c r="AD11612" s="9"/>
      <c r="AF11612" s="10"/>
      <c r="AG11612" s="10"/>
      <c r="AH11612" s="10"/>
      <c r="AI11612" s="10"/>
    </row>
    <row r="11613" spans="28:35" ht="15" hidden="1" customHeight="1">
      <c r="AB11613" s="9"/>
      <c r="AC11613" s="9"/>
      <c r="AD11613" s="9"/>
      <c r="AF11613" s="10"/>
      <c r="AG11613" s="10"/>
      <c r="AH11613" s="10"/>
      <c r="AI11613" s="10"/>
    </row>
    <row r="11614" spans="28:35" ht="15" hidden="1" customHeight="1">
      <c r="AB11614" s="9"/>
      <c r="AC11614" s="9"/>
      <c r="AD11614" s="9"/>
      <c r="AF11614" s="10"/>
      <c r="AG11614" s="10"/>
      <c r="AH11614" s="10"/>
      <c r="AI11614" s="10"/>
    </row>
    <row r="11615" spans="28:35" ht="15" hidden="1" customHeight="1">
      <c r="AB11615" s="9"/>
      <c r="AC11615" s="9"/>
      <c r="AD11615" s="9"/>
      <c r="AF11615" s="10"/>
      <c r="AG11615" s="10"/>
      <c r="AH11615" s="10"/>
      <c r="AI11615" s="10"/>
    </row>
    <row r="11616" spans="28:35" ht="15" hidden="1" customHeight="1">
      <c r="AB11616" s="9"/>
      <c r="AC11616" s="9"/>
      <c r="AD11616" s="9"/>
      <c r="AF11616" s="10"/>
      <c r="AG11616" s="10"/>
      <c r="AH11616" s="10"/>
      <c r="AI11616" s="10"/>
    </row>
    <row r="11617" spans="28:35" ht="15" hidden="1" customHeight="1">
      <c r="AB11617" s="9"/>
      <c r="AC11617" s="9"/>
      <c r="AD11617" s="9"/>
      <c r="AF11617" s="10"/>
      <c r="AG11617" s="10"/>
      <c r="AH11617" s="10"/>
      <c r="AI11617" s="10"/>
    </row>
    <row r="11618" spans="28:35" ht="15" hidden="1" customHeight="1">
      <c r="AB11618" s="9"/>
      <c r="AC11618" s="9"/>
      <c r="AD11618" s="9"/>
      <c r="AF11618" s="10"/>
      <c r="AG11618" s="10"/>
      <c r="AH11618" s="10"/>
      <c r="AI11618" s="10"/>
    </row>
    <row r="11619" spans="28:35" ht="15" hidden="1" customHeight="1">
      <c r="AB11619" s="9"/>
      <c r="AC11619" s="9"/>
      <c r="AD11619" s="9"/>
      <c r="AF11619" s="10"/>
      <c r="AG11619" s="10"/>
      <c r="AH11619" s="10"/>
      <c r="AI11619" s="10"/>
    </row>
    <row r="11620" spans="28:35" ht="15" hidden="1" customHeight="1">
      <c r="AB11620" s="9"/>
      <c r="AC11620" s="9"/>
      <c r="AD11620" s="9"/>
      <c r="AF11620" s="10"/>
      <c r="AG11620" s="10"/>
      <c r="AH11620" s="10"/>
      <c r="AI11620" s="10"/>
    </row>
    <row r="11621" spans="28:35" ht="15" hidden="1" customHeight="1">
      <c r="AB11621" s="9"/>
      <c r="AC11621" s="9"/>
      <c r="AD11621" s="9"/>
      <c r="AF11621" s="10"/>
      <c r="AG11621" s="10"/>
      <c r="AH11621" s="10"/>
      <c r="AI11621" s="10"/>
    </row>
    <row r="11622" spans="28:35" ht="15" hidden="1" customHeight="1">
      <c r="AB11622" s="9"/>
      <c r="AC11622" s="9"/>
      <c r="AD11622" s="9"/>
      <c r="AF11622" s="10"/>
      <c r="AG11622" s="10"/>
      <c r="AH11622" s="10"/>
      <c r="AI11622" s="10"/>
    </row>
    <row r="11623" spans="28:35" ht="15" hidden="1" customHeight="1">
      <c r="AB11623" s="9"/>
      <c r="AC11623" s="9"/>
      <c r="AD11623" s="9"/>
      <c r="AF11623" s="10"/>
      <c r="AG11623" s="10"/>
      <c r="AH11623" s="10"/>
      <c r="AI11623" s="10"/>
    </row>
    <row r="11624" spans="28:35" ht="15" hidden="1" customHeight="1">
      <c r="AB11624" s="9"/>
      <c r="AC11624" s="9"/>
      <c r="AD11624" s="9"/>
      <c r="AF11624" s="10"/>
      <c r="AG11624" s="10"/>
      <c r="AH11624" s="10"/>
      <c r="AI11624" s="10"/>
    </row>
    <row r="11625" spans="28:35" ht="15" hidden="1" customHeight="1">
      <c r="AB11625" s="9"/>
      <c r="AC11625" s="9"/>
      <c r="AD11625" s="9"/>
      <c r="AF11625" s="10"/>
      <c r="AG11625" s="10"/>
      <c r="AH11625" s="10"/>
      <c r="AI11625" s="10"/>
    </row>
    <row r="11626" spans="28:35" ht="15" hidden="1" customHeight="1">
      <c r="AB11626" s="9"/>
      <c r="AC11626" s="9"/>
      <c r="AD11626" s="9"/>
      <c r="AF11626" s="10"/>
      <c r="AG11626" s="10"/>
      <c r="AH11626" s="10"/>
      <c r="AI11626" s="10"/>
    </row>
    <row r="11627" spans="28:35" ht="15" hidden="1" customHeight="1">
      <c r="AB11627" s="9"/>
      <c r="AC11627" s="9"/>
      <c r="AD11627" s="9"/>
      <c r="AF11627" s="10"/>
      <c r="AG11627" s="10"/>
      <c r="AH11627" s="10"/>
      <c r="AI11627" s="10"/>
    </row>
    <row r="11628" spans="28:35" ht="15" hidden="1" customHeight="1">
      <c r="AB11628" s="9"/>
      <c r="AC11628" s="9"/>
      <c r="AD11628" s="9"/>
      <c r="AF11628" s="10"/>
      <c r="AG11628" s="10"/>
      <c r="AH11628" s="10"/>
      <c r="AI11628" s="10"/>
    </row>
    <row r="11629" spans="28:35" ht="15" hidden="1" customHeight="1">
      <c r="AB11629" s="9"/>
      <c r="AC11629" s="9"/>
      <c r="AD11629" s="9"/>
      <c r="AF11629" s="10"/>
      <c r="AG11629" s="10"/>
      <c r="AH11629" s="10"/>
      <c r="AI11629" s="10"/>
    </row>
    <row r="11630" spans="28:35" ht="15" hidden="1" customHeight="1">
      <c r="AB11630" s="9"/>
      <c r="AC11630" s="9"/>
      <c r="AD11630" s="9"/>
      <c r="AF11630" s="10"/>
      <c r="AG11630" s="10"/>
      <c r="AH11630" s="10"/>
      <c r="AI11630" s="10"/>
    </row>
    <row r="11631" spans="28:35" ht="15" hidden="1" customHeight="1">
      <c r="AB11631" s="9"/>
      <c r="AC11631" s="9"/>
      <c r="AD11631" s="9"/>
      <c r="AF11631" s="10"/>
      <c r="AG11631" s="10"/>
      <c r="AH11631" s="10"/>
      <c r="AI11631" s="10"/>
    </row>
    <row r="11632" spans="28:35" ht="15" hidden="1" customHeight="1">
      <c r="AB11632" s="9"/>
      <c r="AC11632" s="9"/>
      <c r="AD11632" s="9"/>
      <c r="AF11632" s="10"/>
      <c r="AG11632" s="10"/>
      <c r="AH11632" s="10"/>
      <c r="AI11632" s="10"/>
    </row>
    <row r="11633" spans="28:35" ht="15" hidden="1" customHeight="1">
      <c r="AB11633" s="9"/>
      <c r="AC11633" s="9"/>
      <c r="AD11633" s="9"/>
      <c r="AF11633" s="10"/>
      <c r="AG11633" s="10"/>
      <c r="AH11633" s="10"/>
      <c r="AI11633" s="10"/>
    </row>
    <row r="11634" spans="28:35" ht="15" hidden="1" customHeight="1">
      <c r="AB11634" s="9"/>
      <c r="AC11634" s="9"/>
      <c r="AD11634" s="9"/>
      <c r="AF11634" s="10"/>
      <c r="AG11634" s="10"/>
      <c r="AH11634" s="10"/>
      <c r="AI11634" s="10"/>
    </row>
    <row r="11635" spans="28:35" ht="15" hidden="1" customHeight="1">
      <c r="AB11635" s="9"/>
      <c r="AC11635" s="9"/>
      <c r="AD11635" s="9"/>
      <c r="AF11635" s="10"/>
      <c r="AG11635" s="10"/>
      <c r="AH11635" s="10"/>
      <c r="AI11635" s="10"/>
    </row>
    <row r="11636" spans="28:35" ht="15" hidden="1" customHeight="1">
      <c r="AB11636" s="9"/>
      <c r="AC11636" s="9"/>
      <c r="AD11636" s="9"/>
      <c r="AF11636" s="10"/>
      <c r="AG11636" s="10"/>
      <c r="AH11636" s="10"/>
      <c r="AI11636" s="10"/>
    </row>
    <row r="11637" spans="28:35" ht="15" hidden="1" customHeight="1">
      <c r="AB11637" s="9"/>
      <c r="AC11637" s="9"/>
      <c r="AD11637" s="9"/>
      <c r="AF11637" s="10"/>
      <c r="AG11637" s="10"/>
      <c r="AH11637" s="10"/>
      <c r="AI11637" s="10"/>
    </row>
    <row r="11638" spans="28:35" ht="15" hidden="1" customHeight="1">
      <c r="AB11638" s="9"/>
      <c r="AC11638" s="9"/>
      <c r="AD11638" s="9"/>
      <c r="AF11638" s="10"/>
      <c r="AG11638" s="10"/>
      <c r="AH11638" s="10"/>
      <c r="AI11638" s="10"/>
    </row>
    <row r="11639" spans="28:35" ht="15" hidden="1" customHeight="1">
      <c r="AB11639" s="9"/>
      <c r="AC11639" s="9"/>
      <c r="AD11639" s="9"/>
      <c r="AF11639" s="10"/>
      <c r="AG11639" s="10"/>
      <c r="AH11639" s="10"/>
      <c r="AI11639" s="10"/>
    </row>
    <row r="11640" spans="28:35" ht="15" hidden="1" customHeight="1">
      <c r="AB11640" s="9"/>
      <c r="AC11640" s="9"/>
      <c r="AD11640" s="9"/>
      <c r="AF11640" s="10"/>
      <c r="AG11640" s="10"/>
      <c r="AH11640" s="10"/>
      <c r="AI11640" s="10"/>
    </row>
    <row r="11641" spans="28:35" ht="15" hidden="1" customHeight="1">
      <c r="AB11641" s="9"/>
      <c r="AC11641" s="9"/>
      <c r="AD11641" s="9"/>
      <c r="AF11641" s="10"/>
      <c r="AG11641" s="10"/>
      <c r="AH11641" s="10"/>
      <c r="AI11641" s="10"/>
    </row>
    <row r="11642" spans="28:35" ht="15" hidden="1" customHeight="1">
      <c r="AB11642" s="9"/>
      <c r="AC11642" s="9"/>
      <c r="AD11642" s="9"/>
      <c r="AF11642" s="10"/>
      <c r="AG11642" s="10"/>
      <c r="AH11642" s="10"/>
      <c r="AI11642" s="10"/>
    </row>
    <row r="11643" spans="28:35" ht="15" hidden="1" customHeight="1">
      <c r="AB11643" s="9"/>
      <c r="AC11643" s="9"/>
      <c r="AD11643" s="9"/>
      <c r="AF11643" s="10"/>
      <c r="AG11643" s="10"/>
      <c r="AH11643" s="10"/>
      <c r="AI11643" s="10"/>
    </row>
    <row r="11644" spans="28:35" ht="15" hidden="1" customHeight="1">
      <c r="AB11644" s="9"/>
      <c r="AC11644" s="9"/>
      <c r="AD11644" s="9"/>
      <c r="AF11644" s="10"/>
      <c r="AG11644" s="10"/>
      <c r="AH11644" s="10"/>
      <c r="AI11644" s="10"/>
    </row>
    <row r="11645" spans="28:35" ht="15" hidden="1" customHeight="1">
      <c r="AB11645" s="9"/>
      <c r="AC11645" s="9"/>
      <c r="AD11645" s="9"/>
      <c r="AF11645" s="10"/>
      <c r="AG11645" s="10"/>
      <c r="AH11645" s="10"/>
      <c r="AI11645" s="10"/>
    </row>
    <row r="11646" spans="28:35" ht="15" hidden="1" customHeight="1">
      <c r="AB11646" s="9"/>
      <c r="AC11646" s="9"/>
      <c r="AD11646" s="9"/>
      <c r="AF11646" s="10"/>
      <c r="AG11646" s="10"/>
      <c r="AH11646" s="10"/>
      <c r="AI11646" s="10"/>
    </row>
    <row r="11647" spans="28:35" ht="15" hidden="1" customHeight="1">
      <c r="AB11647" s="9"/>
      <c r="AC11647" s="9"/>
      <c r="AD11647" s="9"/>
      <c r="AF11647" s="10"/>
      <c r="AG11647" s="10"/>
      <c r="AH11647" s="10"/>
      <c r="AI11647" s="10"/>
    </row>
    <row r="11648" spans="28:35" ht="15" hidden="1" customHeight="1">
      <c r="AB11648" s="9"/>
      <c r="AC11648" s="9"/>
      <c r="AD11648" s="9"/>
      <c r="AF11648" s="10"/>
      <c r="AG11648" s="10"/>
      <c r="AH11648" s="10"/>
      <c r="AI11648" s="10"/>
    </row>
    <row r="11649" spans="28:35" ht="15" hidden="1" customHeight="1">
      <c r="AB11649" s="9"/>
      <c r="AC11649" s="9"/>
      <c r="AD11649" s="9"/>
      <c r="AF11649" s="10"/>
      <c r="AG11649" s="10"/>
      <c r="AH11649" s="10"/>
      <c r="AI11649" s="10"/>
    </row>
    <row r="11650" spans="28:35" ht="15" hidden="1" customHeight="1">
      <c r="AB11650" s="9"/>
      <c r="AC11650" s="9"/>
      <c r="AD11650" s="9"/>
      <c r="AF11650" s="10"/>
      <c r="AG11650" s="10"/>
      <c r="AH11650" s="10"/>
      <c r="AI11650" s="10"/>
    </row>
    <row r="11651" spans="28:35" ht="15" hidden="1" customHeight="1">
      <c r="AB11651" s="9"/>
      <c r="AC11651" s="9"/>
      <c r="AD11651" s="9"/>
      <c r="AF11651" s="10"/>
      <c r="AG11651" s="10"/>
      <c r="AH11651" s="10"/>
      <c r="AI11651" s="10"/>
    </row>
    <row r="11652" spans="28:35" ht="15" hidden="1" customHeight="1">
      <c r="AB11652" s="9"/>
      <c r="AC11652" s="9"/>
      <c r="AD11652" s="9"/>
      <c r="AF11652" s="10"/>
      <c r="AG11652" s="10"/>
      <c r="AH11652" s="10"/>
      <c r="AI11652" s="10"/>
    </row>
    <row r="11653" spans="28:35" ht="15" hidden="1" customHeight="1">
      <c r="AB11653" s="9"/>
      <c r="AC11653" s="9"/>
      <c r="AD11653" s="9"/>
      <c r="AF11653" s="10"/>
      <c r="AG11653" s="10"/>
      <c r="AH11653" s="10"/>
      <c r="AI11653" s="10"/>
    </row>
    <row r="11654" spans="28:35" ht="15" hidden="1" customHeight="1">
      <c r="AB11654" s="9"/>
      <c r="AC11654" s="9"/>
      <c r="AD11654" s="9"/>
      <c r="AF11654" s="10"/>
      <c r="AG11654" s="10"/>
      <c r="AH11654" s="10"/>
      <c r="AI11654" s="10"/>
    </row>
    <row r="11655" spans="28:35" ht="15" hidden="1" customHeight="1">
      <c r="AB11655" s="9"/>
      <c r="AC11655" s="9"/>
      <c r="AD11655" s="9"/>
      <c r="AF11655" s="10"/>
      <c r="AG11655" s="10"/>
      <c r="AH11655" s="10"/>
      <c r="AI11655" s="10"/>
    </row>
    <row r="11656" spans="28:35" ht="15" hidden="1" customHeight="1">
      <c r="AB11656" s="9"/>
      <c r="AC11656" s="9"/>
      <c r="AD11656" s="9"/>
      <c r="AF11656" s="10"/>
      <c r="AG11656" s="10"/>
      <c r="AH11656" s="10"/>
      <c r="AI11656" s="10"/>
    </row>
    <row r="11657" spans="28:35" ht="15" hidden="1" customHeight="1">
      <c r="AB11657" s="9"/>
      <c r="AC11657" s="9"/>
      <c r="AD11657" s="9"/>
      <c r="AF11657" s="10"/>
      <c r="AG11657" s="10"/>
      <c r="AH11657" s="10"/>
      <c r="AI11657" s="10"/>
    </row>
    <row r="11658" spans="28:35" ht="15" hidden="1" customHeight="1">
      <c r="AB11658" s="9"/>
      <c r="AC11658" s="9"/>
      <c r="AD11658" s="9"/>
      <c r="AF11658" s="10"/>
      <c r="AG11658" s="10"/>
      <c r="AH11658" s="10"/>
      <c r="AI11658" s="10"/>
    </row>
    <row r="11659" spans="28:35" ht="15" hidden="1" customHeight="1">
      <c r="AB11659" s="9"/>
      <c r="AC11659" s="9"/>
      <c r="AD11659" s="9"/>
      <c r="AF11659" s="10"/>
      <c r="AG11659" s="10"/>
      <c r="AH11659" s="10"/>
      <c r="AI11659" s="10"/>
    </row>
    <row r="11660" spans="28:35" ht="15" hidden="1" customHeight="1">
      <c r="AB11660" s="9"/>
      <c r="AC11660" s="9"/>
      <c r="AD11660" s="9"/>
      <c r="AF11660" s="10"/>
      <c r="AG11660" s="10"/>
      <c r="AH11660" s="10"/>
      <c r="AI11660" s="10"/>
    </row>
    <row r="11661" spans="28:35" ht="15" hidden="1" customHeight="1">
      <c r="AB11661" s="9"/>
      <c r="AC11661" s="9"/>
      <c r="AD11661" s="9"/>
      <c r="AF11661" s="10"/>
      <c r="AG11661" s="10"/>
      <c r="AH11661" s="10"/>
      <c r="AI11661" s="10"/>
    </row>
    <row r="11662" spans="28:35" ht="15" hidden="1" customHeight="1">
      <c r="AB11662" s="9"/>
      <c r="AC11662" s="9"/>
      <c r="AD11662" s="9"/>
      <c r="AF11662" s="10"/>
      <c r="AG11662" s="10"/>
      <c r="AH11662" s="10"/>
      <c r="AI11662" s="10"/>
    </row>
    <row r="11663" spans="28:35" ht="15" hidden="1" customHeight="1">
      <c r="AB11663" s="9"/>
      <c r="AC11663" s="9"/>
      <c r="AD11663" s="9"/>
      <c r="AF11663" s="10"/>
      <c r="AG11663" s="10"/>
      <c r="AH11663" s="10"/>
      <c r="AI11663" s="10"/>
    </row>
    <row r="11664" spans="28:35" ht="15" hidden="1" customHeight="1">
      <c r="AB11664" s="9"/>
      <c r="AC11664" s="9"/>
      <c r="AD11664" s="9"/>
      <c r="AF11664" s="10"/>
      <c r="AG11664" s="10"/>
      <c r="AH11664" s="10"/>
      <c r="AI11664" s="10"/>
    </row>
    <row r="11665" spans="28:35" ht="15" hidden="1" customHeight="1">
      <c r="AB11665" s="9"/>
      <c r="AC11665" s="9"/>
      <c r="AD11665" s="9"/>
      <c r="AF11665" s="10"/>
      <c r="AG11665" s="10"/>
      <c r="AH11665" s="10"/>
      <c r="AI11665" s="10"/>
    </row>
    <row r="11666" spans="28:35" ht="15" hidden="1" customHeight="1">
      <c r="AB11666" s="9"/>
      <c r="AC11666" s="9"/>
      <c r="AD11666" s="9"/>
      <c r="AF11666" s="10"/>
      <c r="AG11666" s="10"/>
      <c r="AH11666" s="10"/>
      <c r="AI11666" s="10"/>
    </row>
    <row r="11667" spans="28:35" ht="15" hidden="1" customHeight="1">
      <c r="AB11667" s="9"/>
      <c r="AC11667" s="9"/>
      <c r="AD11667" s="9"/>
      <c r="AF11667" s="10"/>
      <c r="AG11667" s="10"/>
      <c r="AH11667" s="10"/>
      <c r="AI11667" s="10"/>
    </row>
    <row r="11668" spans="28:35" ht="15" hidden="1" customHeight="1">
      <c r="AB11668" s="9"/>
      <c r="AC11668" s="9"/>
      <c r="AD11668" s="9"/>
      <c r="AF11668" s="10"/>
      <c r="AG11668" s="10"/>
      <c r="AH11668" s="10"/>
      <c r="AI11668" s="10"/>
    </row>
    <row r="11669" spans="28:35" ht="15" hidden="1" customHeight="1">
      <c r="AB11669" s="9"/>
      <c r="AC11669" s="9"/>
      <c r="AD11669" s="9"/>
      <c r="AF11669" s="10"/>
      <c r="AG11669" s="10"/>
      <c r="AH11669" s="10"/>
      <c r="AI11669" s="10"/>
    </row>
    <row r="11670" spans="28:35" ht="15" hidden="1" customHeight="1">
      <c r="AB11670" s="9"/>
      <c r="AC11670" s="9"/>
      <c r="AD11670" s="9"/>
      <c r="AF11670" s="10"/>
      <c r="AG11670" s="10"/>
      <c r="AH11670" s="10"/>
      <c r="AI11670" s="10"/>
    </row>
    <row r="11671" spans="28:35" ht="15" hidden="1" customHeight="1">
      <c r="AB11671" s="9"/>
      <c r="AC11671" s="9"/>
      <c r="AD11671" s="9"/>
      <c r="AF11671" s="10"/>
      <c r="AG11671" s="10"/>
      <c r="AH11671" s="10"/>
      <c r="AI11671" s="10"/>
    </row>
    <row r="11672" spans="28:35" ht="15" hidden="1" customHeight="1">
      <c r="AB11672" s="9"/>
      <c r="AC11672" s="9"/>
      <c r="AD11672" s="9"/>
      <c r="AF11672" s="10"/>
      <c r="AG11672" s="10"/>
      <c r="AH11672" s="10"/>
      <c r="AI11672" s="10"/>
    </row>
    <row r="11673" spans="28:35" ht="15" hidden="1" customHeight="1">
      <c r="AB11673" s="9"/>
      <c r="AC11673" s="9"/>
      <c r="AD11673" s="9"/>
      <c r="AF11673" s="10"/>
      <c r="AG11673" s="10"/>
      <c r="AH11673" s="10"/>
      <c r="AI11673" s="10"/>
    </row>
    <row r="11674" spans="28:35" ht="15" hidden="1" customHeight="1">
      <c r="AB11674" s="9"/>
      <c r="AC11674" s="9"/>
      <c r="AD11674" s="9"/>
      <c r="AF11674" s="10"/>
      <c r="AG11674" s="10"/>
      <c r="AH11674" s="10"/>
      <c r="AI11674" s="10"/>
    </row>
    <row r="11675" spans="28:35" ht="15" hidden="1" customHeight="1">
      <c r="AB11675" s="9"/>
      <c r="AC11675" s="9"/>
      <c r="AD11675" s="9"/>
      <c r="AF11675" s="10"/>
      <c r="AG11675" s="10"/>
      <c r="AH11675" s="10"/>
      <c r="AI11675" s="10"/>
    </row>
    <row r="11676" spans="28:35" ht="15" hidden="1" customHeight="1">
      <c r="AB11676" s="9"/>
      <c r="AC11676" s="9"/>
      <c r="AD11676" s="9"/>
      <c r="AF11676" s="10"/>
      <c r="AG11676" s="10"/>
      <c r="AH11676" s="10"/>
      <c r="AI11676" s="10"/>
    </row>
    <row r="11677" spans="28:35" ht="15" hidden="1" customHeight="1">
      <c r="AB11677" s="9"/>
      <c r="AC11677" s="9"/>
      <c r="AD11677" s="9"/>
      <c r="AF11677" s="10"/>
      <c r="AG11677" s="10"/>
      <c r="AH11677" s="10"/>
      <c r="AI11677" s="10"/>
    </row>
    <row r="11678" spans="28:35" ht="15" hidden="1" customHeight="1">
      <c r="AB11678" s="9"/>
      <c r="AC11678" s="9"/>
      <c r="AD11678" s="9"/>
      <c r="AF11678" s="10"/>
      <c r="AG11678" s="10"/>
      <c r="AH11678" s="10"/>
      <c r="AI11678" s="10"/>
    </row>
    <row r="11679" spans="28:35" ht="15" hidden="1" customHeight="1">
      <c r="AB11679" s="9"/>
      <c r="AC11679" s="9"/>
      <c r="AD11679" s="9"/>
      <c r="AF11679" s="10"/>
      <c r="AG11679" s="10"/>
      <c r="AH11679" s="10"/>
      <c r="AI11679" s="10"/>
    </row>
    <row r="11680" spans="28:35" ht="15" hidden="1" customHeight="1">
      <c r="AB11680" s="9"/>
      <c r="AC11680" s="9"/>
      <c r="AD11680" s="9"/>
      <c r="AF11680" s="10"/>
      <c r="AG11680" s="10"/>
      <c r="AH11680" s="10"/>
      <c r="AI11680" s="10"/>
    </row>
    <row r="11681" spans="28:35" ht="15" hidden="1" customHeight="1">
      <c r="AB11681" s="9"/>
      <c r="AC11681" s="9"/>
      <c r="AD11681" s="9"/>
      <c r="AF11681" s="10"/>
      <c r="AG11681" s="10"/>
      <c r="AH11681" s="10"/>
      <c r="AI11681" s="10"/>
    </row>
    <row r="11682" spans="28:35" ht="15" hidden="1" customHeight="1">
      <c r="AB11682" s="9"/>
      <c r="AC11682" s="9"/>
      <c r="AD11682" s="9"/>
      <c r="AF11682" s="10"/>
      <c r="AG11682" s="10"/>
      <c r="AH11682" s="10"/>
      <c r="AI11682" s="10"/>
    </row>
    <row r="11683" spans="28:35" ht="15" hidden="1" customHeight="1">
      <c r="AB11683" s="9"/>
      <c r="AC11683" s="9"/>
      <c r="AD11683" s="9"/>
      <c r="AF11683" s="10"/>
      <c r="AG11683" s="10"/>
      <c r="AH11683" s="10"/>
      <c r="AI11683" s="10"/>
    </row>
    <row r="11684" spans="28:35" ht="15" hidden="1" customHeight="1">
      <c r="AB11684" s="9"/>
      <c r="AC11684" s="9"/>
      <c r="AD11684" s="9"/>
      <c r="AF11684" s="10"/>
      <c r="AG11684" s="10"/>
      <c r="AH11684" s="10"/>
      <c r="AI11684" s="10"/>
    </row>
    <row r="11685" spans="28:35" ht="15" hidden="1" customHeight="1">
      <c r="AB11685" s="9"/>
      <c r="AC11685" s="9"/>
      <c r="AD11685" s="9"/>
      <c r="AF11685" s="10"/>
      <c r="AG11685" s="10"/>
      <c r="AH11685" s="10"/>
      <c r="AI11685" s="10"/>
    </row>
    <row r="11686" spans="28:35" ht="15" hidden="1" customHeight="1">
      <c r="AB11686" s="9"/>
      <c r="AC11686" s="9"/>
      <c r="AD11686" s="9"/>
      <c r="AF11686" s="10"/>
      <c r="AG11686" s="10"/>
      <c r="AH11686" s="10"/>
      <c r="AI11686" s="10"/>
    </row>
    <row r="11687" spans="28:35" ht="15" hidden="1" customHeight="1">
      <c r="AB11687" s="9"/>
      <c r="AC11687" s="9"/>
      <c r="AD11687" s="9"/>
      <c r="AF11687" s="10"/>
      <c r="AG11687" s="10"/>
      <c r="AH11687" s="10"/>
      <c r="AI11687" s="10"/>
    </row>
    <row r="11688" spans="28:35" ht="15" hidden="1" customHeight="1">
      <c r="AB11688" s="9"/>
      <c r="AC11688" s="9"/>
      <c r="AD11688" s="9"/>
      <c r="AF11688" s="10"/>
      <c r="AG11688" s="10"/>
      <c r="AH11688" s="10"/>
      <c r="AI11688" s="10"/>
    </row>
    <row r="11689" spans="28:35" ht="15" hidden="1" customHeight="1">
      <c r="AB11689" s="9"/>
      <c r="AC11689" s="9"/>
      <c r="AD11689" s="9"/>
      <c r="AF11689" s="10"/>
      <c r="AG11689" s="10"/>
      <c r="AH11689" s="10"/>
      <c r="AI11689" s="10"/>
    </row>
    <row r="11690" spans="28:35" ht="15" hidden="1" customHeight="1">
      <c r="AB11690" s="9"/>
      <c r="AC11690" s="9"/>
      <c r="AD11690" s="9"/>
      <c r="AF11690" s="10"/>
      <c r="AG11690" s="10"/>
      <c r="AH11690" s="10"/>
      <c r="AI11690" s="10"/>
    </row>
    <row r="11691" spans="28:35" ht="15" hidden="1" customHeight="1">
      <c r="AB11691" s="9"/>
      <c r="AC11691" s="9"/>
      <c r="AD11691" s="9"/>
      <c r="AF11691" s="10"/>
      <c r="AG11691" s="10"/>
      <c r="AH11691" s="10"/>
      <c r="AI11691" s="10"/>
    </row>
    <row r="11692" spans="28:35" ht="15" hidden="1" customHeight="1">
      <c r="AB11692" s="9"/>
      <c r="AC11692" s="9"/>
      <c r="AD11692" s="9"/>
      <c r="AF11692" s="10"/>
      <c r="AG11692" s="10"/>
      <c r="AH11692" s="10"/>
      <c r="AI11692" s="10"/>
    </row>
    <row r="11693" spans="28:35" ht="15" hidden="1" customHeight="1">
      <c r="AB11693" s="9"/>
      <c r="AC11693" s="9"/>
      <c r="AD11693" s="9"/>
      <c r="AF11693" s="10"/>
      <c r="AG11693" s="10"/>
      <c r="AH11693" s="10"/>
      <c r="AI11693" s="10"/>
    </row>
    <row r="11694" spans="28:35" ht="15" hidden="1" customHeight="1">
      <c r="AB11694" s="9"/>
      <c r="AC11694" s="9"/>
      <c r="AD11694" s="9"/>
      <c r="AF11694" s="10"/>
      <c r="AG11694" s="10"/>
      <c r="AH11694" s="10"/>
      <c r="AI11694" s="10"/>
    </row>
    <row r="11695" spans="28:35" ht="15" hidden="1" customHeight="1">
      <c r="AB11695" s="9"/>
      <c r="AC11695" s="9"/>
      <c r="AD11695" s="9"/>
      <c r="AF11695" s="10"/>
      <c r="AG11695" s="10"/>
      <c r="AH11695" s="10"/>
      <c r="AI11695" s="10"/>
    </row>
    <row r="11696" spans="28:35" ht="15" hidden="1" customHeight="1">
      <c r="AB11696" s="9"/>
      <c r="AC11696" s="9"/>
      <c r="AD11696" s="9"/>
      <c r="AF11696" s="10"/>
      <c r="AG11696" s="10"/>
      <c r="AH11696" s="10"/>
      <c r="AI11696" s="10"/>
    </row>
    <row r="11697" spans="28:35" ht="15" hidden="1" customHeight="1">
      <c r="AB11697" s="9"/>
      <c r="AC11697" s="9"/>
      <c r="AD11697" s="9"/>
      <c r="AF11697" s="10"/>
      <c r="AG11697" s="10"/>
      <c r="AH11697" s="10"/>
      <c r="AI11697" s="10"/>
    </row>
    <row r="11698" spans="28:35" ht="15" hidden="1" customHeight="1">
      <c r="AB11698" s="9"/>
      <c r="AC11698" s="9"/>
      <c r="AD11698" s="9"/>
      <c r="AF11698" s="10"/>
      <c r="AG11698" s="10"/>
      <c r="AH11698" s="10"/>
      <c r="AI11698" s="10"/>
    </row>
    <row r="11699" spans="28:35" ht="15" hidden="1" customHeight="1">
      <c r="AB11699" s="9"/>
      <c r="AC11699" s="9"/>
      <c r="AD11699" s="9"/>
      <c r="AF11699" s="10"/>
      <c r="AG11699" s="10"/>
      <c r="AH11699" s="10"/>
      <c r="AI11699" s="10"/>
    </row>
    <row r="11700" spans="28:35" ht="15" hidden="1" customHeight="1">
      <c r="AB11700" s="9"/>
      <c r="AC11700" s="9"/>
      <c r="AD11700" s="9"/>
      <c r="AF11700" s="10"/>
      <c r="AG11700" s="10"/>
      <c r="AH11700" s="10"/>
      <c r="AI11700" s="10"/>
    </row>
    <row r="11701" spans="28:35" ht="15" hidden="1" customHeight="1">
      <c r="AB11701" s="9"/>
      <c r="AC11701" s="9"/>
      <c r="AD11701" s="9"/>
      <c r="AF11701" s="10"/>
      <c r="AG11701" s="10"/>
      <c r="AH11701" s="10"/>
      <c r="AI11701" s="10"/>
    </row>
    <row r="11702" spans="28:35" ht="15" hidden="1" customHeight="1">
      <c r="AB11702" s="9"/>
      <c r="AC11702" s="9"/>
      <c r="AD11702" s="9"/>
      <c r="AF11702" s="10"/>
      <c r="AG11702" s="10"/>
      <c r="AH11702" s="10"/>
      <c r="AI11702" s="10"/>
    </row>
    <row r="11703" spans="28:35" ht="15" hidden="1" customHeight="1">
      <c r="AB11703" s="9"/>
      <c r="AC11703" s="9"/>
      <c r="AD11703" s="9"/>
      <c r="AF11703" s="10"/>
      <c r="AG11703" s="10"/>
      <c r="AH11703" s="10"/>
      <c r="AI11703" s="10"/>
    </row>
    <row r="11704" spans="28:35" ht="15" hidden="1" customHeight="1">
      <c r="AB11704" s="9"/>
      <c r="AC11704" s="9"/>
      <c r="AD11704" s="9"/>
      <c r="AF11704" s="10"/>
      <c r="AG11704" s="10"/>
      <c r="AH11704" s="10"/>
      <c r="AI11704" s="10"/>
    </row>
    <row r="11705" spans="28:35" ht="15" hidden="1" customHeight="1">
      <c r="AB11705" s="9"/>
      <c r="AC11705" s="9"/>
      <c r="AD11705" s="9"/>
      <c r="AF11705" s="10"/>
      <c r="AG11705" s="10"/>
      <c r="AH11705" s="10"/>
      <c r="AI11705" s="10"/>
    </row>
    <row r="11706" spans="28:35" ht="15" hidden="1" customHeight="1">
      <c r="AB11706" s="9"/>
      <c r="AC11706" s="9"/>
      <c r="AD11706" s="9"/>
      <c r="AF11706" s="10"/>
      <c r="AG11706" s="10"/>
      <c r="AH11706" s="10"/>
      <c r="AI11706" s="10"/>
    </row>
    <row r="11707" spans="28:35" ht="15" hidden="1" customHeight="1">
      <c r="AB11707" s="9"/>
      <c r="AC11707" s="9"/>
      <c r="AD11707" s="9"/>
      <c r="AF11707" s="10"/>
      <c r="AG11707" s="10"/>
      <c r="AH11707" s="10"/>
      <c r="AI11707" s="10"/>
    </row>
    <row r="11708" spans="28:35" ht="15" hidden="1" customHeight="1">
      <c r="AB11708" s="9"/>
      <c r="AC11708" s="9"/>
      <c r="AD11708" s="9"/>
      <c r="AF11708" s="10"/>
      <c r="AG11708" s="10"/>
      <c r="AH11708" s="10"/>
      <c r="AI11708" s="10"/>
    </row>
    <row r="11709" spans="28:35" ht="15" hidden="1" customHeight="1">
      <c r="AB11709" s="9"/>
      <c r="AC11709" s="9"/>
      <c r="AD11709" s="9"/>
      <c r="AF11709" s="10"/>
      <c r="AG11709" s="10"/>
      <c r="AH11709" s="10"/>
      <c r="AI11709" s="10"/>
    </row>
    <row r="11710" spans="28:35" ht="15" hidden="1" customHeight="1">
      <c r="AB11710" s="9"/>
      <c r="AC11710" s="9"/>
      <c r="AD11710" s="9"/>
      <c r="AF11710" s="10"/>
      <c r="AG11710" s="10"/>
      <c r="AH11710" s="10"/>
      <c r="AI11710" s="10"/>
    </row>
    <row r="11711" spans="28:35" ht="15" hidden="1" customHeight="1">
      <c r="AB11711" s="9"/>
      <c r="AC11711" s="9"/>
      <c r="AD11711" s="9"/>
      <c r="AF11711" s="10"/>
      <c r="AG11711" s="10"/>
      <c r="AH11711" s="10"/>
      <c r="AI11711" s="10"/>
    </row>
    <row r="11712" spans="28:35" ht="15" hidden="1" customHeight="1">
      <c r="AB11712" s="9"/>
      <c r="AC11712" s="9"/>
      <c r="AD11712" s="9"/>
      <c r="AF11712" s="10"/>
      <c r="AG11712" s="10"/>
      <c r="AH11712" s="10"/>
      <c r="AI11712" s="10"/>
    </row>
    <row r="11713" spans="28:35" ht="15" hidden="1" customHeight="1">
      <c r="AB11713" s="9"/>
      <c r="AC11713" s="9"/>
      <c r="AD11713" s="9"/>
      <c r="AF11713" s="10"/>
      <c r="AG11713" s="10"/>
      <c r="AH11713" s="10"/>
      <c r="AI11713" s="10"/>
    </row>
    <row r="11714" spans="28:35" ht="15" hidden="1" customHeight="1">
      <c r="AB11714" s="9"/>
      <c r="AC11714" s="9"/>
      <c r="AD11714" s="9"/>
      <c r="AF11714" s="10"/>
      <c r="AG11714" s="10"/>
      <c r="AH11714" s="10"/>
      <c r="AI11714" s="10"/>
    </row>
    <row r="11715" spans="28:35" ht="15" hidden="1" customHeight="1">
      <c r="AB11715" s="9"/>
      <c r="AC11715" s="9"/>
      <c r="AD11715" s="9"/>
      <c r="AF11715" s="10"/>
      <c r="AG11715" s="10"/>
      <c r="AH11715" s="10"/>
      <c r="AI11715" s="10"/>
    </row>
    <row r="11716" spans="28:35" ht="15" hidden="1" customHeight="1">
      <c r="AB11716" s="9"/>
      <c r="AC11716" s="9"/>
      <c r="AD11716" s="9"/>
      <c r="AF11716" s="10"/>
      <c r="AG11716" s="10"/>
      <c r="AH11716" s="10"/>
      <c r="AI11716" s="10"/>
    </row>
    <row r="11717" spans="28:35" ht="15" hidden="1" customHeight="1">
      <c r="AB11717" s="9"/>
      <c r="AC11717" s="9"/>
      <c r="AD11717" s="9"/>
      <c r="AF11717" s="10"/>
      <c r="AG11717" s="10"/>
      <c r="AH11717" s="10"/>
      <c r="AI11717" s="10"/>
    </row>
    <row r="11718" spans="28:35" ht="15" hidden="1" customHeight="1">
      <c r="AB11718" s="9"/>
      <c r="AC11718" s="9"/>
      <c r="AD11718" s="9"/>
      <c r="AF11718" s="10"/>
      <c r="AG11718" s="10"/>
      <c r="AH11718" s="10"/>
      <c r="AI11718" s="10"/>
    </row>
    <row r="11719" spans="28:35" ht="15" hidden="1" customHeight="1">
      <c r="AB11719" s="9"/>
      <c r="AC11719" s="9"/>
      <c r="AD11719" s="9"/>
      <c r="AF11719" s="10"/>
      <c r="AG11719" s="10"/>
      <c r="AH11719" s="10"/>
      <c r="AI11719" s="10"/>
    </row>
    <row r="11720" spans="28:35" ht="15" hidden="1" customHeight="1">
      <c r="AB11720" s="9"/>
      <c r="AC11720" s="9"/>
      <c r="AD11720" s="9"/>
      <c r="AF11720" s="10"/>
      <c r="AG11720" s="10"/>
      <c r="AH11720" s="10"/>
      <c r="AI11720" s="10"/>
    </row>
    <row r="11721" spans="28:35" ht="15" hidden="1" customHeight="1">
      <c r="AB11721" s="9"/>
      <c r="AC11721" s="9"/>
      <c r="AD11721" s="9"/>
      <c r="AF11721" s="10"/>
      <c r="AG11721" s="10"/>
      <c r="AH11721" s="10"/>
      <c r="AI11721" s="10"/>
    </row>
    <row r="11722" spans="28:35" ht="15" hidden="1" customHeight="1">
      <c r="AB11722" s="9"/>
      <c r="AC11722" s="9"/>
      <c r="AD11722" s="9"/>
      <c r="AF11722" s="10"/>
      <c r="AG11722" s="10"/>
      <c r="AH11722" s="10"/>
      <c r="AI11722" s="10"/>
    </row>
    <row r="11723" spans="28:35" ht="15" hidden="1" customHeight="1">
      <c r="AB11723" s="9"/>
      <c r="AC11723" s="9"/>
      <c r="AD11723" s="9"/>
      <c r="AF11723" s="10"/>
      <c r="AG11723" s="10"/>
      <c r="AH11723" s="10"/>
      <c r="AI11723" s="10"/>
    </row>
    <row r="11724" spans="28:35" ht="15" hidden="1" customHeight="1">
      <c r="AB11724" s="9"/>
      <c r="AC11724" s="9"/>
      <c r="AD11724" s="9"/>
      <c r="AF11724" s="10"/>
      <c r="AG11724" s="10"/>
      <c r="AH11724" s="10"/>
      <c r="AI11724" s="10"/>
    </row>
    <row r="11725" spans="28:35" ht="15" hidden="1" customHeight="1">
      <c r="AB11725" s="9"/>
      <c r="AC11725" s="9"/>
      <c r="AD11725" s="9"/>
      <c r="AF11725" s="10"/>
      <c r="AG11725" s="10"/>
      <c r="AH11725" s="10"/>
      <c r="AI11725" s="10"/>
    </row>
    <row r="11726" spans="28:35" ht="15" hidden="1" customHeight="1">
      <c r="AB11726" s="9"/>
      <c r="AC11726" s="9"/>
      <c r="AD11726" s="9"/>
      <c r="AF11726" s="10"/>
      <c r="AG11726" s="10"/>
      <c r="AH11726" s="10"/>
      <c r="AI11726" s="10"/>
    </row>
    <row r="11727" spans="28:35" ht="15" hidden="1" customHeight="1">
      <c r="AB11727" s="9"/>
      <c r="AC11727" s="9"/>
      <c r="AD11727" s="9"/>
      <c r="AF11727" s="10"/>
      <c r="AG11727" s="10"/>
      <c r="AH11727" s="10"/>
      <c r="AI11727" s="10"/>
    </row>
    <row r="11728" spans="28:35" ht="15" hidden="1" customHeight="1">
      <c r="AB11728" s="9"/>
      <c r="AC11728" s="9"/>
      <c r="AD11728" s="9"/>
      <c r="AF11728" s="10"/>
      <c r="AG11728" s="10"/>
      <c r="AH11728" s="10"/>
      <c r="AI11728" s="10"/>
    </row>
    <row r="11729" spans="28:35" ht="15" hidden="1" customHeight="1">
      <c r="AB11729" s="9"/>
      <c r="AC11729" s="9"/>
      <c r="AD11729" s="9"/>
      <c r="AF11729" s="10"/>
      <c r="AG11729" s="10"/>
      <c r="AH11729" s="10"/>
      <c r="AI11729" s="10"/>
    </row>
    <row r="11730" spans="28:35" ht="15" hidden="1" customHeight="1">
      <c r="AB11730" s="9"/>
      <c r="AC11730" s="9"/>
      <c r="AD11730" s="9"/>
      <c r="AF11730" s="10"/>
      <c r="AG11730" s="10"/>
      <c r="AH11730" s="10"/>
      <c r="AI11730" s="10"/>
    </row>
    <row r="11731" spans="28:35" ht="15" hidden="1" customHeight="1">
      <c r="AB11731" s="9"/>
      <c r="AC11731" s="9"/>
      <c r="AD11731" s="9"/>
      <c r="AF11731" s="10"/>
      <c r="AG11731" s="10"/>
      <c r="AH11731" s="10"/>
      <c r="AI11731" s="10"/>
    </row>
    <row r="11732" spans="28:35" ht="15" hidden="1" customHeight="1">
      <c r="AB11732" s="9"/>
      <c r="AC11732" s="9"/>
      <c r="AD11732" s="9"/>
      <c r="AF11732" s="10"/>
      <c r="AG11732" s="10"/>
      <c r="AH11732" s="10"/>
      <c r="AI11732" s="10"/>
    </row>
    <row r="11733" spans="28:35" ht="15" hidden="1" customHeight="1">
      <c r="AB11733" s="9"/>
      <c r="AC11733" s="9"/>
      <c r="AD11733" s="9"/>
      <c r="AF11733" s="10"/>
      <c r="AG11733" s="10"/>
      <c r="AH11733" s="10"/>
      <c r="AI11733" s="10"/>
    </row>
    <row r="11734" spans="28:35" ht="15" hidden="1" customHeight="1">
      <c r="AB11734" s="9"/>
      <c r="AC11734" s="9"/>
      <c r="AD11734" s="9"/>
      <c r="AF11734" s="10"/>
      <c r="AG11734" s="10"/>
      <c r="AH11734" s="10"/>
      <c r="AI11734" s="10"/>
    </row>
    <row r="11735" spans="28:35" ht="15" hidden="1" customHeight="1">
      <c r="AB11735" s="9"/>
      <c r="AC11735" s="9"/>
      <c r="AD11735" s="9"/>
      <c r="AF11735" s="10"/>
      <c r="AG11735" s="10"/>
      <c r="AH11735" s="10"/>
      <c r="AI11735" s="10"/>
    </row>
    <row r="11736" spans="28:35" ht="15" hidden="1" customHeight="1">
      <c r="AB11736" s="9"/>
      <c r="AC11736" s="9"/>
      <c r="AD11736" s="9"/>
      <c r="AF11736" s="10"/>
      <c r="AG11736" s="10"/>
      <c r="AH11736" s="10"/>
      <c r="AI11736" s="10"/>
    </row>
    <row r="11737" spans="28:35" ht="15" hidden="1" customHeight="1">
      <c r="AB11737" s="9"/>
      <c r="AC11737" s="9"/>
      <c r="AD11737" s="9"/>
      <c r="AF11737" s="10"/>
      <c r="AG11737" s="10"/>
      <c r="AH11737" s="10"/>
      <c r="AI11737" s="10"/>
    </row>
    <row r="11738" spans="28:35" ht="15" hidden="1" customHeight="1">
      <c r="AB11738" s="9"/>
      <c r="AC11738" s="9"/>
      <c r="AD11738" s="9"/>
      <c r="AF11738" s="10"/>
      <c r="AG11738" s="10"/>
      <c r="AH11738" s="10"/>
      <c r="AI11738" s="10"/>
    </row>
    <row r="11739" spans="28:35" ht="15" hidden="1" customHeight="1">
      <c r="AB11739" s="9"/>
      <c r="AC11739" s="9"/>
      <c r="AD11739" s="9"/>
      <c r="AF11739" s="10"/>
      <c r="AG11739" s="10"/>
      <c r="AH11739" s="10"/>
      <c r="AI11739" s="10"/>
    </row>
    <row r="11740" spans="28:35" ht="15" hidden="1" customHeight="1">
      <c r="AB11740" s="9"/>
      <c r="AC11740" s="9"/>
      <c r="AD11740" s="9"/>
      <c r="AF11740" s="10"/>
      <c r="AG11740" s="10"/>
      <c r="AH11740" s="10"/>
      <c r="AI11740" s="10"/>
    </row>
    <row r="11741" spans="28:35" ht="15" hidden="1" customHeight="1">
      <c r="AB11741" s="9"/>
      <c r="AC11741" s="9"/>
      <c r="AD11741" s="9"/>
      <c r="AF11741" s="10"/>
      <c r="AG11741" s="10"/>
      <c r="AH11741" s="10"/>
      <c r="AI11741" s="10"/>
    </row>
    <row r="11742" spans="28:35" ht="15" hidden="1" customHeight="1">
      <c r="AB11742" s="9"/>
      <c r="AC11742" s="9"/>
      <c r="AD11742" s="9"/>
      <c r="AF11742" s="10"/>
      <c r="AG11742" s="10"/>
      <c r="AH11742" s="10"/>
      <c r="AI11742" s="10"/>
    </row>
    <row r="11743" spans="28:35" ht="15" hidden="1" customHeight="1">
      <c r="AB11743" s="9"/>
      <c r="AC11743" s="9"/>
      <c r="AD11743" s="9"/>
      <c r="AF11743" s="10"/>
      <c r="AG11743" s="10"/>
      <c r="AH11743" s="10"/>
      <c r="AI11743" s="10"/>
    </row>
    <row r="11744" spans="28:35" ht="15" hidden="1" customHeight="1">
      <c r="AB11744" s="9"/>
      <c r="AC11744" s="9"/>
      <c r="AD11744" s="9"/>
      <c r="AF11744" s="10"/>
      <c r="AG11744" s="10"/>
      <c r="AH11744" s="10"/>
      <c r="AI11744" s="10"/>
    </row>
    <row r="11745" spans="28:35" ht="15" hidden="1" customHeight="1">
      <c r="AB11745" s="9"/>
      <c r="AC11745" s="9"/>
      <c r="AD11745" s="9"/>
      <c r="AF11745" s="10"/>
      <c r="AG11745" s="10"/>
      <c r="AH11745" s="10"/>
      <c r="AI11745" s="10"/>
    </row>
    <row r="11746" spans="28:35" ht="15" hidden="1" customHeight="1">
      <c r="AB11746" s="9"/>
      <c r="AC11746" s="9"/>
      <c r="AD11746" s="9"/>
      <c r="AF11746" s="10"/>
      <c r="AG11746" s="10"/>
      <c r="AH11746" s="10"/>
      <c r="AI11746" s="10"/>
    </row>
    <row r="11747" spans="28:35" ht="15" hidden="1" customHeight="1">
      <c r="AB11747" s="9"/>
      <c r="AC11747" s="9"/>
      <c r="AD11747" s="9"/>
      <c r="AF11747" s="10"/>
      <c r="AG11747" s="10"/>
      <c r="AH11747" s="10"/>
      <c r="AI11747" s="10"/>
    </row>
    <row r="11748" spans="28:35" ht="15" hidden="1" customHeight="1">
      <c r="AB11748" s="9"/>
      <c r="AC11748" s="9"/>
      <c r="AD11748" s="9"/>
      <c r="AF11748" s="10"/>
      <c r="AG11748" s="10"/>
      <c r="AH11748" s="10"/>
      <c r="AI11748" s="10"/>
    </row>
    <row r="11749" spans="28:35" ht="15" hidden="1" customHeight="1">
      <c r="AB11749" s="9"/>
      <c r="AC11749" s="9"/>
      <c r="AD11749" s="9"/>
      <c r="AF11749" s="10"/>
      <c r="AG11749" s="10"/>
      <c r="AH11749" s="10"/>
      <c r="AI11749" s="10"/>
    </row>
    <row r="11750" spans="28:35" ht="15" hidden="1" customHeight="1">
      <c r="AB11750" s="9"/>
      <c r="AC11750" s="9"/>
      <c r="AD11750" s="9"/>
      <c r="AF11750" s="10"/>
      <c r="AG11750" s="10"/>
      <c r="AH11750" s="10"/>
      <c r="AI11750" s="10"/>
    </row>
    <row r="11751" spans="28:35" ht="15" hidden="1" customHeight="1">
      <c r="AB11751" s="9"/>
      <c r="AC11751" s="9"/>
      <c r="AD11751" s="9"/>
      <c r="AF11751" s="10"/>
      <c r="AG11751" s="10"/>
      <c r="AH11751" s="10"/>
      <c r="AI11751" s="10"/>
    </row>
    <row r="11752" spans="28:35" ht="15" hidden="1" customHeight="1">
      <c r="AB11752" s="9"/>
      <c r="AC11752" s="9"/>
      <c r="AD11752" s="9"/>
      <c r="AF11752" s="10"/>
      <c r="AG11752" s="10"/>
      <c r="AH11752" s="10"/>
      <c r="AI11752" s="10"/>
    </row>
    <row r="11753" spans="28:35" ht="15" hidden="1" customHeight="1">
      <c r="AB11753" s="9"/>
      <c r="AC11753" s="9"/>
      <c r="AD11753" s="9"/>
      <c r="AF11753" s="10"/>
      <c r="AG11753" s="10"/>
      <c r="AH11753" s="10"/>
      <c r="AI11753" s="10"/>
    </row>
    <row r="11754" spans="28:35" ht="15" hidden="1" customHeight="1">
      <c r="AB11754" s="9"/>
      <c r="AC11754" s="9"/>
      <c r="AD11754" s="9"/>
      <c r="AF11754" s="10"/>
      <c r="AG11754" s="10"/>
      <c r="AH11754" s="10"/>
      <c r="AI11754" s="10"/>
    </row>
    <row r="11755" spans="28:35" ht="15" hidden="1" customHeight="1">
      <c r="AB11755" s="9"/>
      <c r="AC11755" s="9"/>
      <c r="AD11755" s="9"/>
      <c r="AF11755" s="10"/>
      <c r="AG11755" s="10"/>
      <c r="AH11755" s="10"/>
      <c r="AI11755" s="10"/>
    </row>
    <row r="11756" spans="28:35" ht="15" hidden="1" customHeight="1">
      <c r="AB11756" s="9"/>
      <c r="AC11756" s="9"/>
      <c r="AD11756" s="9"/>
      <c r="AF11756" s="10"/>
      <c r="AG11756" s="10"/>
      <c r="AH11756" s="10"/>
      <c r="AI11756" s="10"/>
    </row>
    <row r="11757" spans="28:35" ht="15" hidden="1" customHeight="1">
      <c r="AB11757" s="9"/>
      <c r="AC11757" s="9"/>
      <c r="AD11757" s="9"/>
      <c r="AF11757" s="10"/>
      <c r="AG11757" s="10"/>
      <c r="AH11757" s="10"/>
      <c r="AI11757" s="10"/>
    </row>
    <row r="11758" spans="28:35" ht="15" hidden="1" customHeight="1">
      <c r="AB11758" s="9"/>
      <c r="AC11758" s="9"/>
      <c r="AD11758" s="9"/>
      <c r="AF11758" s="10"/>
      <c r="AG11758" s="10"/>
      <c r="AH11758" s="10"/>
      <c r="AI11758" s="10"/>
    </row>
    <row r="11759" spans="28:35" ht="15" hidden="1" customHeight="1">
      <c r="AB11759" s="9"/>
      <c r="AC11759" s="9"/>
      <c r="AD11759" s="9"/>
      <c r="AF11759" s="10"/>
      <c r="AG11759" s="10"/>
      <c r="AH11759" s="10"/>
      <c r="AI11759" s="10"/>
    </row>
    <row r="11760" spans="28:35" ht="15" hidden="1" customHeight="1">
      <c r="AB11760" s="9"/>
      <c r="AC11760" s="9"/>
      <c r="AD11760" s="9"/>
      <c r="AF11760" s="10"/>
      <c r="AG11760" s="10"/>
      <c r="AH11760" s="10"/>
      <c r="AI11760" s="10"/>
    </row>
    <row r="11761" spans="28:35" ht="15" hidden="1" customHeight="1">
      <c r="AB11761" s="9"/>
      <c r="AC11761" s="9"/>
      <c r="AD11761" s="9"/>
      <c r="AF11761" s="10"/>
      <c r="AG11761" s="10"/>
      <c r="AH11761" s="10"/>
      <c r="AI11761" s="10"/>
    </row>
    <row r="11762" spans="28:35" ht="15" hidden="1" customHeight="1">
      <c r="AB11762" s="9"/>
      <c r="AC11762" s="9"/>
      <c r="AD11762" s="9"/>
      <c r="AF11762" s="10"/>
      <c r="AG11762" s="10"/>
      <c r="AH11762" s="10"/>
      <c r="AI11762" s="10"/>
    </row>
    <row r="11763" spans="28:35" ht="15" hidden="1" customHeight="1">
      <c r="AB11763" s="9"/>
      <c r="AC11763" s="9"/>
      <c r="AD11763" s="9"/>
      <c r="AF11763" s="10"/>
      <c r="AG11763" s="10"/>
      <c r="AH11763" s="10"/>
      <c r="AI11763" s="10"/>
    </row>
    <row r="11764" spans="28:35" ht="15" hidden="1" customHeight="1">
      <c r="AB11764" s="9"/>
      <c r="AC11764" s="9"/>
      <c r="AD11764" s="9"/>
      <c r="AF11764" s="10"/>
      <c r="AG11764" s="10"/>
      <c r="AH11764" s="10"/>
      <c r="AI11764" s="10"/>
    </row>
    <row r="11765" spans="28:35" ht="15" hidden="1" customHeight="1">
      <c r="AB11765" s="9"/>
      <c r="AC11765" s="9"/>
      <c r="AD11765" s="9"/>
      <c r="AF11765" s="10"/>
      <c r="AG11765" s="10"/>
      <c r="AH11765" s="10"/>
      <c r="AI11765" s="10"/>
    </row>
    <row r="11766" spans="28:35" ht="15" hidden="1" customHeight="1">
      <c r="AB11766" s="9"/>
      <c r="AC11766" s="9"/>
      <c r="AD11766" s="9"/>
      <c r="AF11766" s="10"/>
      <c r="AG11766" s="10"/>
      <c r="AH11766" s="10"/>
      <c r="AI11766" s="10"/>
    </row>
    <row r="11767" spans="28:35" ht="15" hidden="1" customHeight="1">
      <c r="AB11767" s="9"/>
      <c r="AC11767" s="9"/>
      <c r="AD11767" s="9"/>
      <c r="AF11767" s="10"/>
      <c r="AG11767" s="10"/>
      <c r="AH11767" s="10"/>
      <c r="AI11767" s="10"/>
    </row>
    <row r="11768" spans="28:35" ht="15" hidden="1" customHeight="1">
      <c r="AB11768" s="9"/>
      <c r="AC11768" s="9"/>
      <c r="AD11768" s="9"/>
      <c r="AF11768" s="10"/>
      <c r="AG11768" s="10"/>
      <c r="AH11768" s="10"/>
      <c r="AI11768" s="10"/>
    </row>
    <row r="11769" spans="28:35" ht="15" hidden="1" customHeight="1">
      <c r="AB11769" s="9"/>
      <c r="AC11769" s="9"/>
      <c r="AD11769" s="9"/>
      <c r="AF11769" s="10"/>
      <c r="AG11769" s="10"/>
      <c r="AH11769" s="10"/>
      <c r="AI11769" s="10"/>
    </row>
    <row r="11770" spans="28:35" ht="15" hidden="1" customHeight="1">
      <c r="AB11770" s="9"/>
      <c r="AC11770" s="9"/>
      <c r="AD11770" s="9"/>
      <c r="AF11770" s="10"/>
      <c r="AG11770" s="10"/>
      <c r="AH11770" s="10"/>
      <c r="AI11770" s="10"/>
    </row>
    <row r="11771" spans="28:35" ht="15" hidden="1" customHeight="1">
      <c r="AB11771" s="9"/>
      <c r="AC11771" s="9"/>
      <c r="AD11771" s="9"/>
      <c r="AF11771" s="10"/>
      <c r="AG11771" s="10"/>
      <c r="AH11771" s="10"/>
      <c r="AI11771" s="10"/>
    </row>
    <row r="11772" spans="28:35" ht="15" hidden="1" customHeight="1">
      <c r="AB11772" s="9"/>
      <c r="AC11772" s="9"/>
      <c r="AD11772" s="9"/>
      <c r="AF11772" s="10"/>
      <c r="AG11772" s="10"/>
      <c r="AH11772" s="10"/>
      <c r="AI11772" s="10"/>
    </row>
    <row r="11773" spans="28:35" ht="15" hidden="1" customHeight="1">
      <c r="AB11773" s="9"/>
      <c r="AC11773" s="9"/>
      <c r="AD11773" s="9"/>
      <c r="AF11773" s="10"/>
      <c r="AG11773" s="10"/>
      <c r="AH11773" s="10"/>
      <c r="AI11773" s="10"/>
    </row>
    <row r="11774" spans="28:35" ht="15" hidden="1" customHeight="1">
      <c r="AB11774" s="9"/>
      <c r="AC11774" s="9"/>
      <c r="AD11774" s="9"/>
      <c r="AF11774" s="10"/>
      <c r="AG11774" s="10"/>
      <c r="AH11774" s="10"/>
      <c r="AI11774" s="10"/>
    </row>
    <row r="11775" spans="28:35" ht="15" hidden="1" customHeight="1">
      <c r="AB11775" s="9"/>
      <c r="AC11775" s="9"/>
      <c r="AD11775" s="9"/>
      <c r="AF11775" s="10"/>
      <c r="AG11775" s="10"/>
      <c r="AH11775" s="10"/>
      <c r="AI11775" s="10"/>
    </row>
    <row r="11776" spans="28:35" ht="15" hidden="1" customHeight="1">
      <c r="AB11776" s="9"/>
      <c r="AC11776" s="9"/>
      <c r="AD11776" s="9"/>
      <c r="AF11776" s="10"/>
      <c r="AG11776" s="10"/>
      <c r="AH11776" s="10"/>
      <c r="AI11776" s="10"/>
    </row>
    <row r="11777" spans="28:35" ht="15" hidden="1" customHeight="1">
      <c r="AB11777" s="9"/>
      <c r="AC11777" s="9"/>
      <c r="AD11777" s="9"/>
      <c r="AF11777" s="10"/>
      <c r="AG11777" s="10"/>
      <c r="AH11777" s="10"/>
      <c r="AI11777" s="10"/>
    </row>
    <row r="11778" spans="28:35" ht="15" hidden="1" customHeight="1">
      <c r="AB11778" s="9"/>
      <c r="AC11778" s="9"/>
      <c r="AD11778" s="9"/>
      <c r="AF11778" s="10"/>
      <c r="AG11778" s="10"/>
      <c r="AH11778" s="10"/>
      <c r="AI11778" s="10"/>
    </row>
    <row r="11779" spans="28:35" ht="15" hidden="1" customHeight="1">
      <c r="AB11779" s="9"/>
      <c r="AC11779" s="9"/>
      <c r="AD11779" s="9"/>
      <c r="AF11779" s="10"/>
      <c r="AG11779" s="10"/>
      <c r="AH11779" s="10"/>
      <c r="AI11779" s="10"/>
    </row>
    <row r="11780" spans="28:35" ht="15" hidden="1" customHeight="1">
      <c r="AB11780" s="9"/>
      <c r="AC11780" s="9"/>
      <c r="AD11780" s="9"/>
      <c r="AF11780" s="10"/>
      <c r="AG11780" s="10"/>
      <c r="AH11780" s="10"/>
      <c r="AI11780" s="10"/>
    </row>
    <row r="11781" spans="28:35" ht="15" hidden="1" customHeight="1">
      <c r="AB11781" s="9"/>
      <c r="AC11781" s="9"/>
      <c r="AD11781" s="9"/>
      <c r="AF11781" s="10"/>
      <c r="AG11781" s="10"/>
      <c r="AH11781" s="10"/>
      <c r="AI11781" s="10"/>
    </row>
    <row r="11782" spans="28:35" ht="15" hidden="1" customHeight="1">
      <c r="AB11782" s="9"/>
      <c r="AC11782" s="9"/>
      <c r="AD11782" s="9"/>
      <c r="AF11782" s="10"/>
      <c r="AG11782" s="10"/>
      <c r="AH11782" s="10"/>
      <c r="AI11782" s="10"/>
    </row>
    <row r="11783" spans="28:35" ht="15" hidden="1" customHeight="1">
      <c r="AB11783" s="9"/>
      <c r="AC11783" s="9"/>
      <c r="AD11783" s="9"/>
      <c r="AF11783" s="10"/>
      <c r="AG11783" s="10"/>
      <c r="AH11783" s="10"/>
      <c r="AI11783" s="10"/>
    </row>
    <row r="11784" spans="28:35" ht="15" hidden="1" customHeight="1">
      <c r="AB11784" s="9"/>
      <c r="AC11784" s="9"/>
      <c r="AD11784" s="9"/>
      <c r="AF11784" s="10"/>
      <c r="AG11784" s="10"/>
      <c r="AH11784" s="10"/>
      <c r="AI11784" s="10"/>
    </row>
    <row r="11785" spans="28:35" ht="15" hidden="1" customHeight="1">
      <c r="AB11785" s="9"/>
      <c r="AC11785" s="9"/>
      <c r="AD11785" s="9"/>
      <c r="AF11785" s="10"/>
      <c r="AG11785" s="10"/>
      <c r="AH11785" s="10"/>
      <c r="AI11785" s="10"/>
    </row>
    <row r="11786" spans="28:35" ht="15" hidden="1" customHeight="1">
      <c r="AB11786" s="9"/>
      <c r="AC11786" s="9"/>
      <c r="AD11786" s="9"/>
      <c r="AF11786" s="10"/>
      <c r="AG11786" s="10"/>
      <c r="AH11786" s="10"/>
      <c r="AI11786" s="10"/>
    </row>
    <row r="11787" spans="28:35" ht="15" hidden="1" customHeight="1">
      <c r="AB11787" s="9"/>
      <c r="AC11787" s="9"/>
      <c r="AD11787" s="9"/>
      <c r="AF11787" s="10"/>
      <c r="AG11787" s="10"/>
      <c r="AH11787" s="10"/>
      <c r="AI11787" s="10"/>
    </row>
    <row r="11788" spans="28:35" ht="15" hidden="1" customHeight="1">
      <c r="AB11788" s="9"/>
      <c r="AC11788" s="9"/>
      <c r="AD11788" s="9"/>
      <c r="AF11788" s="10"/>
      <c r="AG11788" s="10"/>
      <c r="AH11788" s="10"/>
      <c r="AI11788" s="10"/>
    </row>
    <row r="11789" spans="28:35" ht="15" hidden="1" customHeight="1">
      <c r="AB11789" s="9"/>
      <c r="AC11789" s="9"/>
      <c r="AD11789" s="9"/>
      <c r="AF11789" s="10"/>
      <c r="AG11789" s="10"/>
      <c r="AH11789" s="10"/>
      <c r="AI11789" s="10"/>
    </row>
    <row r="11790" spans="28:35" ht="15" hidden="1" customHeight="1">
      <c r="AB11790" s="9"/>
      <c r="AC11790" s="9"/>
      <c r="AD11790" s="9"/>
      <c r="AF11790" s="10"/>
      <c r="AG11790" s="10"/>
      <c r="AH11790" s="10"/>
      <c r="AI11790" s="10"/>
    </row>
    <row r="11791" spans="28:35" ht="15" hidden="1" customHeight="1">
      <c r="AB11791" s="9"/>
      <c r="AC11791" s="9"/>
      <c r="AD11791" s="9"/>
      <c r="AF11791" s="10"/>
      <c r="AG11791" s="10"/>
      <c r="AH11791" s="10"/>
      <c r="AI11791" s="10"/>
    </row>
    <row r="11792" spans="28:35" ht="15" hidden="1" customHeight="1">
      <c r="AB11792" s="9"/>
      <c r="AC11792" s="9"/>
      <c r="AD11792" s="9"/>
      <c r="AF11792" s="10"/>
      <c r="AG11792" s="10"/>
      <c r="AH11792" s="10"/>
      <c r="AI11792" s="10"/>
    </row>
    <row r="11793" spans="28:35" ht="15" hidden="1" customHeight="1">
      <c r="AB11793" s="9"/>
      <c r="AC11793" s="9"/>
      <c r="AD11793" s="9"/>
      <c r="AF11793" s="10"/>
      <c r="AG11793" s="10"/>
      <c r="AH11793" s="10"/>
      <c r="AI11793" s="10"/>
    </row>
    <row r="11794" spans="28:35" ht="15" hidden="1" customHeight="1">
      <c r="AB11794" s="9"/>
      <c r="AC11794" s="9"/>
      <c r="AD11794" s="9"/>
      <c r="AF11794" s="10"/>
      <c r="AG11794" s="10"/>
      <c r="AH11794" s="10"/>
      <c r="AI11794" s="10"/>
    </row>
    <row r="11795" spans="28:35" ht="15" hidden="1" customHeight="1">
      <c r="AB11795" s="9"/>
      <c r="AC11795" s="9"/>
      <c r="AD11795" s="9"/>
      <c r="AF11795" s="10"/>
      <c r="AG11795" s="10"/>
      <c r="AH11795" s="10"/>
      <c r="AI11795" s="10"/>
    </row>
    <row r="11796" spans="28:35" ht="15" hidden="1" customHeight="1">
      <c r="AB11796" s="9"/>
      <c r="AC11796" s="9"/>
      <c r="AD11796" s="9"/>
      <c r="AF11796" s="10"/>
      <c r="AG11796" s="10"/>
      <c r="AH11796" s="10"/>
      <c r="AI11796" s="10"/>
    </row>
    <row r="11797" spans="28:35" ht="15" hidden="1" customHeight="1">
      <c r="AB11797" s="9"/>
      <c r="AC11797" s="9"/>
      <c r="AD11797" s="9"/>
      <c r="AF11797" s="10"/>
      <c r="AG11797" s="10"/>
      <c r="AH11797" s="10"/>
      <c r="AI11797" s="10"/>
    </row>
    <row r="11798" spans="28:35" ht="15" hidden="1" customHeight="1">
      <c r="AB11798" s="9"/>
      <c r="AC11798" s="9"/>
      <c r="AD11798" s="9"/>
      <c r="AF11798" s="10"/>
      <c r="AG11798" s="10"/>
      <c r="AH11798" s="10"/>
      <c r="AI11798" s="10"/>
    </row>
    <row r="11799" spans="28:35" ht="15" hidden="1" customHeight="1">
      <c r="AB11799" s="9"/>
      <c r="AC11799" s="9"/>
      <c r="AD11799" s="9"/>
      <c r="AF11799" s="10"/>
      <c r="AG11799" s="10"/>
      <c r="AH11799" s="10"/>
      <c r="AI11799" s="10"/>
    </row>
    <row r="11800" spans="28:35" ht="15" hidden="1" customHeight="1">
      <c r="AB11800" s="9"/>
      <c r="AC11800" s="9"/>
      <c r="AD11800" s="9"/>
      <c r="AF11800" s="10"/>
      <c r="AG11800" s="10"/>
      <c r="AH11800" s="10"/>
      <c r="AI11800" s="10"/>
    </row>
    <row r="11801" spans="28:35" ht="15" hidden="1" customHeight="1">
      <c r="AB11801" s="9"/>
      <c r="AC11801" s="9"/>
      <c r="AD11801" s="9"/>
      <c r="AF11801" s="10"/>
      <c r="AG11801" s="10"/>
      <c r="AH11801" s="10"/>
      <c r="AI11801" s="10"/>
    </row>
    <row r="11802" spans="28:35" ht="15" hidden="1" customHeight="1">
      <c r="AB11802" s="9"/>
      <c r="AC11802" s="9"/>
      <c r="AD11802" s="9"/>
      <c r="AF11802" s="10"/>
      <c r="AG11802" s="10"/>
      <c r="AH11802" s="10"/>
      <c r="AI11802" s="10"/>
    </row>
    <row r="11803" spans="28:35" ht="15" hidden="1" customHeight="1">
      <c r="AB11803" s="9"/>
      <c r="AC11803" s="9"/>
      <c r="AD11803" s="9"/>
      <c r="AF11803" s="10"/>
      <c r="AG11803" s="10"/>
      <c r="AH11803" s="10"/>
      <c r="AI11803" s="10"/>
    </row>
    <row r="11804" spans="28:35" ht="15" hidden="1" customHeight="1">
      <c r="AB11804" s="9"/>
      <c r="AC11804" s="9"/>
      <c r="AD11804" s="9"/>
      <c r="AF11804" s="10"/>
      <c r="AG11804" s="10"/>
      <c r="AH11804" s="10"/>
      <c r="AI11804" s="10"/>
    </row>
    <row r="11805" spans="28:35" ht="15" hidden="1" customHeight="1">
      <c r="AB11805" s="9"/>
      <c r="AC11805" s="9"/>
      <c r="AD11805" s="9"/>
      <c r="AF11805" s="10"/>
      <c r="AG11805" s="10"/>
      <c r="AH11805" s="10"/>
      <c r="AI11805" s="10"/>
    </row>
    <row r="11806" spans="28:35" ht="15" hidden="1" customHeight="1">
      <c r="AB11806" s="9"/>
      <c r="AC11806" s="9"/>
      <c r="AD11806" s="9"/>
      <c r="AF11806" s="10"/>
      <c r="AG11806" s="10"/>
      <c r="AH11806" s="10"/>
      <c r="AI11806" s="10"/>
    </row>
    <row r="11807" spans="28:35" ht="15" hidden="1" customHeight="1">
      <c r="AB11807" s="9"/>
      <c r="AC11807" s="9"/>
      <c r="AD11807" s="9"/>
      <c r="AF11807" s="10"/>
      <c r="AG11807" s="10"/>
      <c r="AH11807" s="10"/>
      <c r="AI11807" s="10"/>
    </row>
    <row r="11808" spans="28:35" ht="15" hidden="1" customHeight="1">
      <c r="AB11808" s="9"/>
      <c r="AC11808" s="9"/>
      <c r="AD11808" s="9"/>
      <c r="AF11808" s="10"/>
      <c r="AG11808" s="10"/>
      <c r="AH11808" s="10"/>
      <c r="AI11808" s="10"/>
    </row>
    <row r="11809" spans="28:35" ht="15" hidden="1" customHeight="1">
      <c r="AB11809" s="9"/>
      <c r="AC11809" s="9"/>
      <c r="AD11809" s="9"/>
      <c r="AF11809" s="10"/>
      <c r="AG11809" s="10"/>
      <c r="AH11809" s="10"/>
      <c r="AI11809" s="10"/>
    </row>
    <row r="11810" spans="28:35" ht="15" hidden="1" customHeight="1">
      <c r="AB11810" s="9"/>
      <c r="AC11810" s="9"/>
      <c r="AD11810" s="9"/>
      <c r="AF11810" s="10"/>
      <c r="AG11810" s="10"/>
      <c r="AH11810" s="10"/>
      <c r="AI11810" s="10"/>
    </row>
    <row r="11811" spans="28:35" ht="15" hidden="1" customHeight="1">
      <c r="AB11811" s="9"/>
      <c r="AC11811" s="9"/>
      <c r="AD11811" s="9"/>
      <c r="AF11811" s="10"/>
      <c r="AG11811" s="10"/>
      <c r="AH11811" s="10"/>
      <c r="AI11811" s="10"/>
    </row>
    <row r="11812" spans="28:35" ht="15" hidden="1" customHeight="1">
      <c r="AB11812" s="9"/>
      <c r="AC11812" s="9"/>
      <c r="AD11812" s="9"/>
      <c r="AF11812" s="10"/>
      <c r="AG11812" s="10"/>
      <c r="AH11812" s="10"/>
      <c r="AI11812" s="10"/>
    </row>
    <row r="11813" spans="28:35" ht="15" hidden="1" customHeight="1">
      <c r="AB11813" s="9"/>
      <c r="AC11813" s="9"/>
      <c r="AD11813" s="9"/>
      <c r="AF11813" s="10"/>
      <c r="AG11813" s="10"/>
      <c r="AH11813" s="10"/>
      <c r="AI11813" s="10"/>
    </row>
    <row r="11814" spans="28:35" ht="15" hidden="1" customHeight="1">
      <c r="AB11814" s="9"/>
      <c r="AC11814" s="9"/>
      <c r="AD11814" s="9"/>
      <c r="AF11814" s="10"/>
      <c r="AG11814" s="10"/>
      <c r="AH11814" s="10"/>
      <c r="AI11814" s="10"/>
    </row>
    <row r="11815" spans="28:35" ht="15" hidden="1" customHeight="1">
      <c r="AB11815" s="9"/>
      <c r="AC11815" s="9"/>
      <c r="AD11815" s="9"/>
      <c r="AF11815" s="10"/>
      <c r="AG11815" s="10"/>
      <c r="AH11815" s="10"/>
      <c r="AI11815" s="10"/>
    </row>
    <row r="11816" spans="28:35" ht="15" hidden="1" customHeight="1">
      <c r="AB11816" s="9"/>
      <c r="AC11816" s="9"/>
      <c r="AD11816" s="9"/>
      <c r="AF11816" s="10"/>
      <c r="AG11816" s="10"/>
      <c r="AH11816" s="10"/>
      <c r="AI11816" s="10"/>
    </row>
    <row r="11817" spans="28:35" ht="15" hidden="1" customHeight="1">
      <c r="AB11817" s="9"/>
      <c r="AC11817" s="9"/>
      <c r="AD11817" s="9"/>
      <c r="AF11817" s="10"/>
      <c r="AG11817" s="10"/>
      <c r="AH11817" s="10"/>
      <c r="AI11817" s="10"/>
    </row>
    <row r="11818" spans="28:35" ht="15" hidden="1" customHeight="1">
      <c r="AB11818" s="9"/>
      <c r="AC11818" s="9"/>
      <c r="AD11818" s="9"/>
      <c r="AF11818" s="10"/>
      <c r="AG11818" s="10"/>
      <c r="AH11818" s="10"/>
      <c r="AI11818" s="10"/>
    </row>
    <row r="11819" spans="28:35" ht="15" hidden="1" customHeight="1">
      <c r="AB11819" s="9"/>
      <c r="AC11819" s="9"/>
      <c r="AD11819" s="9"/>
      <c r="AF11819" s="10"/>
      <c r="AG11819" s="10"/>
      <c r="AH11819" s="10"/>
      <c r="AI11819" s="10"/>
    </row>
    <row r="11820" spans="28:35" ht="15" hidden="1" customHeight="1">
      <c r="AB11820" s="9"/>
      <c r="AC11820" s="9"/>
      <c r="AD11820" s="9"/>
      <c r="AF11820" s="10"/>
      <c r="AG11820" s="10"/>
      <c r="AH11820" s="10"/>
      <c r="AI11820" s="10"/>
    </row>
    <row r="11821" spans="28:35" ht="15" hidden="1" customHeight="1">
      <c r="AB11821" s="9"/>
      <c r="AC11821" s="9"/>
      <c r="AD11821" s="9"/>
      <c r="AF11821" s="10"/>
      <c r="AG11821" s="10"/>
      <c r="AH11821" s="10"/>
      <c r="AI11821" s="10"/>
    </row>
    <row r="11822" spans="28:35" ht="15" hidden="1" customHeight="1">
      <c r="AB11822" s="9"/>
      <c r="AC11822" s="9"/>
      <c r="AD11822" s="9"/>
      <c r="AF11822" s="10"/>
      <c r="AG11822" s="10"/>
      <c r="AH11822" s="10"/>
      <c r="AI11822" s="10"/>
    </row>
    <row r="11823" spans="28:35" ht="15" hidden="1" customHeight="1">
      <c r="AB11823" s="9"/>
      <c r="AC11823" s="9"/>
      <c r="AD11823" s="9"/>
      <c r="AF11823" s="10"/>
      <c r="AG11823" s="10"/>
      <c r="AH11823" s="10"/>
      <c r="AI11823" s="10"/>
    </row>
    <row r="11824" spans="28:35" ht="15" hidden="1" customHeight="1">
      <c r="AB11824" s="9"/>
      <c r="AC11824" s="9"/>
      <c r="AD11824" s="9"/>
      <c r="AF11824" s="10"/>
      <c r="AG11824" s="10"/>
      <c r="AH11824" s="10"/>
      <c r="AI11824" s="10"/>
    </row>
    <row r="11825" spans="28:35" ht="15" hidden="1" customHeight="1">
      <c r="AB11825" s="9"/>
      <c r="AC11825" s="9"/>
      <c r="AD11825" s="9"/>
      <c r="AF11825" s="10"/>
      <c r="AG11825" s="10"/>
      <c r="AH11825" s="10"/>
      <c r="AI11825" s="10"/>
    </row>
    <row r="11826" spans="28:35" ht="15" hidden="1" customHeight="1">
      <c r="AB11826" s="9"/>
      <c r="AC11826" s="9"/>
      <c r="AD11826" s="9"/>
      <c r="AF11826" s="10"/>
      <c r="AG11826" s="10"/>
      <c r="AH11826" s="10"/>
      <c r="AI11826" s="10"/>
    </row>
    <row r="11827" spans="28:35" ht="15" hidden="1" customHeight="1">
      <c r="AB11827" s="9"/>
      <c r="AC11827" s="9"/>
      <c r="AD11827" s="9"/>
      <c r="AF11827" s="10"/>
      <c r="AG11827" s="10"/>
      <c r="AH11827" s="10"/>
      <c r="AI11827" s="10"/>
    </row>
    <row r="11828" spans="28:35" ht="15" hidden="1" customHeight="1">
      <c r="AB11828" s="9"/>
      <c r="AC11828" s="9"/>
      <c r="AD11828" s="9"/>
      <c r="AF11828" s="10"/>
      <c r="AG11828" s="10"/>
      <c r="AH11828" s="10"/>
      <c r="AI11828" s="10"/>
    </row>
    <row r="11829" spans="28:35" ht="15" hidden="1" customHeight="1">
      <c r="AB11829" s="9"/>
      <c r="AC11829" s="9"/>
      <c r="AD11829" s="9"/>
      <c r="AF11829" s="10"/>
      <c r="AG11829" s="10"/>
      <c r="AH11829" s="10"/>
      <c r="AI11829" s="10"/>
    </row>
    <row r="11830" spans="28:35" ht="15" hidden="1" customHeight="1">
      <c r="AB11830" s="9"/>
      <c r="AC11830" s="9"/>
      <c r="AD11830" s="9"/>
      <c r="AF11830" s="10"/>
      <c r="AG11830" s="10"/>
      <c r="AH11830" s="10"/>
      <c r="AI11830" s="10"/>
    </row>
    <row r="11831" spans="28:35" ht="15" hidden="1" customHeight="1">
      <c r="AB11831" s="9"/>
      <c r="AC11831" s="9"/>
      <c r="AD11831" s="9"/>
      <c r="AF11831" s="10"/>
      <c r="AG11831" s="10"/>
      <c r="AH11831" s="10"/>
      <c r="AI11831" s="10"/>
    </row>
    <row r="11832" spans="28:35" ht="15" hidden="1" customHeight="1">
      <c r="AB11832" s="9"/>
      <c r="AC11832" s="9"/>
      <c r="AD11832" s="9"/>
      <c r="AF11832" s="10"/>
      <c r="AG11832" s="10"/>
      <c r="AH11832" s="10"/>
      <c r="AI11832" s="10"/>
    </row>
    <row r="11833" spans="28:35" ht="15" hidden="1" customHeight="1">
      <c r="AB11833" s="9"/>
      <c r="AC11833" s="9"/>
      <c r="AD11833" s="9"/>
      <c r="AF11833" s="10"/>
      <c r="AG11833" s="10"/>
      <c r="AH11833" s="10"/>
      <c r="AI11833" s="10"/>
    </row>
    <row r="11834" spans="28:35" ht="15" hidden="1" customHeight="1">
      <c r="AB11834" s="9"/>
      <c r="AC11834" s="9"/>
      <c r="AD11834" s="9"/>
      <c r="AF11834" s="10"/>
      <c r="AG11834" s="10"/>
      <c r="AH11834" s="10"/>
      <c r="AI11834" s="10"/>
    </row>
    <row r="11835" spans="28:35" ht="15" hidden="1" customHeight="1">
      <c r="AB11835" s="9"/>
      <c r="AC11835" s="9"/>
      <c r="AD11835" s="9"/>
      <c r="AF11835" s="10"/>
      <c r="AG11835" s="10"/>
      <c r="AH11835" s="10"/>
      <c r="AI11835" s="10"/>
    </row>
    <row r="11836" spans="28:35" ht="15" hidden="1" customHeight="1">
      <c r="AB11836" s="9"/>
      <c r="AC11836" s="9"/>
      <c r="AD11836" s="9"/>
      <c r="AF11836" s="10"/>
      <c r="AG11836" s="10"/>
      <c r="AH11836" s="10"/>
      <c r="AI11836" s="10"/>
    </row>
    <row r="11837" spans="28:35" ht="15" hidden="1" customHeight="1">
      <c r="AB11837" s="9"/>
      <c r="AC11837" s="9"/>
      <c r="AD11837" s="9"/>
      <c r="AF11837" s="10"/>
      <c r="AG11837" s="10"/>
      <c r="AH11837" s="10"/>
      <c r="AI11837" s="10"/>
    </row>
    <row r="11838" spans="28:35" ht="15" hidden="1" customHeight="1">
      <c r="AB11838" s="9"/>
      <c r="AC11838" s="9"/>
      <c r="AD11838" s="9"/>
      <c r="AF11838" s="10"/>
      <c r="AG11838" s="10"/>
      <c r="AH11838" s="10"/>
      <c r="AI11838" s="10"/>
    </row>
    <row r="11839" spans="28:35" ht="15" hidden="1" customHeight="1">
      <c r="AB11839" s="9"/>
      <c r="AC11839" s="9"/>
      <c r="AD11839" s="9"/>
      <c r="AF11839" s="10"/>
      <c r="AG11839" s="10"/>
      <c r="AH11839" s="10"/>
      <c r="AI11839" s="10"/>
    </row>
    <row r="11840" spans="28:35" ht="15" hidden="1" customHeight="1">
      <c r="AB11840" s="9"/>
      <c r="AC11840" s="9"/>
      <c r="AD11840" s="9"/>
      <c r="AF11840" s="10"/>
      <c r="AG11840" s="10"/>
      <c r="AH11840" s="10"/>
      <c r="AI11840" s="10"/>
    </row>
    <row r="11841" spans="28:35" ht="15" hidden="1" customHeight="1">
      <c r="AB11841" s="9"/>
      <c r="AC11841" s="9"/>
      <c r="AD11841" s="9"/>
      <c r="AF11841" s="10"/>
      <c r="AG11841" s="10"/>
      <c r="AH11841" s="10"/>
      <c r="AI11841" s="10"/>
    </row>
    <row r="11842" spans="28:35" ht="15" hidden="1" customHeight="1">
      <c r="AB11842" s="9"/>
      <c r="AC11842" s="9"/>
      <c r="AD11842" s="9"/>
      <c r="AF11842" s="10"/>
      <c r="AG11842" s="10"/>
      <c r="AH11842" s="10"/>
      <c r="AI11842" s="10"/>
    </row>
    <row r="11843" spans="28:35" ht="15" hidden="1" customHeight="1">
      <c r="AB11843" s="9"/>
      <c r="AC11843" s="9"/>
      <c r="AD11843" s="9"/>
      <c r="AF11843" s="10"/>
      <c r="AG11843" s="10"/>
      <c r="AH11843" s="10"/>
      <c r="AI11843" s="10"/>
    </row>
    <row r="11844" spans="28:35" ht="15" hidden="1" customHeight="1">
      <c r="AB11844" s="9"/>
      <c r="AC11844" s="9"/>
      <c r="AD11844" s="9"/>
      <c r="AF11844" s="10"/>
      <c r="AG11844" s="10"/>
      <c r="AH11844" s="10"/>
      <c r="AI11844" s="10"/>
    </row>
    <row r="11845" spans="28:35" ht="15" hidden="1" customHeight="1">
      <c r="AB11845" s="9"/>
      <c r="AC11845" s="9"/>
      <c r="AD11845" s="9"/>
      <c r="AF11845" s="10"/>
      <c r="AG11845" s="10"/>
      <c r="AH11845" s="10"/>
      <c r="AI11845" s="10"/>
    </row>
    <row r="11846" spans="28:35" ht="15" hidden="1" customHeight="1">
      <c r="AB11846" s="9"/>
      <c r="AC11846" s="9"/>
      <c r="AD11846" s="9"/>
      <c r="AF11846" s="10"/>
      <c r="AG11846" s="10"/>
      <c r="AH11846" s="10"/>
      <c r="AI11846" s="10"/>
    </row>
    <row r="11847" spans="28:35" ht="15" hidden="1" customHeight="1">
      <c r="AB11847" s="9"/>
      <c r="AC11847" s="9"/>
      <c r="AD11847" s="9"/>
      <c r="AF11847" s="10"/>
      <c r="AG11847" s="10"/>
      <c r="AH11847" s="10"/>
      <c r="AI11847" s="10"/>
    </row>
    <row r="11848" spans="28:35" ht="15" hidden="1" customHeight="1">
      <c r="AB11848" s="9"/>
      <c r="AC11848" s="9"/>
      <c r="AD11848" s="9"/>
      <c r="AF11848" s="10"/>
      <c r="AG11848" s="10"/>
      <c r="AH11848" s="10"/>
      <c r="AI11848" s="10"/>
    </row>
    <row r="11849" spans="28:35" ht="15" hidden="1" customHeight="1">
      <c r="AB11849" s="9"/>
      <c r="AC11849" s="9"/>
      <c r="AD11849" s="9"/>
      <c r="AF11849" s="10"/>
      <c r="AG11849" s="10"/>
      <c r="AH11849" s="10"/>
      <c r="AI11849" s="10"/>
    </row>
    <row r="11850" spans="28:35" ht="15" hidden="1" customHeight="1">
      <c r="AB11850" s="9"/>
      <c r="AC11850" s="9"/>
      <c r="AD11850" s="9"/>
      <c r="AF11850" s="10"/>
      <c r="AG11850" s="10"/>
      <c r="AH11850" s="10"/>
      <c r="AI11850" s="10"/>
    </row>
    <row r="11851" spans="28:35" ht="15" hidden="1" customHeight="1">
      <c r="AB11851" s="9"/>
      <c r="AC11851" s="9"/>
      <c r="AD11851" s="9"/>
      <c r="AF11851" s="10"/>
      <c r="AG11851" s="10"/>
      <c r="AH11851" s="10"/>
      <c r="AI11851" s="10"/>
    </row>
    <row r="11852" spans="28:35" ht="15" hidden="1" customHeight="1">
      <c r="AB11852" s="9"/>
      <c r="AC11852" s="9"/>
      <c r="AD11852" s="9"/>
      <c r="AF11852" s="10"/>
      <c r="AG11852" s="10"/>
      <c r="AH11852" s="10"/>
      <c r="AI11852" s="10"/>
    </row>
    <row r="11853" spans="28:35" ht="15" hidden="1" customHeight="1">
      <c r="AB11853" s="9"/>
      <c r="AC11853" s="9"/>
      <c r="AD11853" s="9"/>
      <c r="AF11853" s="10"/>
      <c r="AG11853" s="10"/>
      <c r="AH11853" s="10"/>
      <c r="AI11853" s="10"/>
    </row>
    <row r="11854" spans="28:35" ht="15" hidden="1" customHeight="1">
      <c r="AB11854" s="9"/>
      <c r="AC11854" s="9"/>
      <c r="AD11854" s="9"/>
      <c r="AF11854" s="10"/>
      <c r="AG11854" s="10"/>
      <c r="AH11854" s="10"/>
      <c r="AI11854" s="10"/>
    </row>
    <row r="11855" spans="28:35" ht="15" hidden="1" customHeight="1">
      <c r="AB11855" s="9"/>
      <c r="AC11855" s="9"/>
      <c r="AD11855" s="9"/>
      <c r="AF11855" s="10"/>
      <c r="AG11855" s="10"/>
      <c r="AH11855" s="10"/>
      <c r="AI11855" s="10"/>
    </row>
    <row r="11856" spans="28:35" ht="15" hidden="1" customHeight="1">
      <c r="AB11856" s="9"/>
      <c r="AC11856" s="9"/>
      <c r="AD11856" s="9"/>
      <c r="AF11856" s="10"/>
      <c r="AG11856" s="10"/>
      <c r="AH11856" s="10"/>
      <c r="AI11856" s="10"/>
    </row>
    <row r="11857" spans="28:35" ht="15" hidden="1" customHeight="1">
      <c r="AB11857" s="9"/>
      <c r="AC11857" s="9"/>
      <c r="AD11857" s="9"/>
      <c r="AF11857" s="10"/>
      <c r="AG11857" s="10"/>
      <c r="AH11857" s="10"/>
      <c r="AI11857" s="10"/>
    </row>
    <row r="11858" spans="28:35" ht="15" hidden="1" customHeight="1">
      <c r="AB11858" s="9"/>
      <c r="AC11858" s="9"/>
      <c r="AD11858" s="9"/>
      <c r="AF11858" s="10"/>
      <c r="AG11858" s="10"/>
      <c r="AH11858" s="10"/>
      <c r="AI11858" s="10"/>
    </row>
    <row r="11859" spans="28:35" ht="15" hidden="1" customHeight="1">
      <c r="AB11859" s="9"/>
      <c r="AC11859" s="9"/>
      <c r="AD11859" s="9"/>
      <c r="AF11859" s="10"/>
      <c r="AG11859" s="10"/>
      <c r="AH11859" s="10"/>
      <c r="AI11859" s="10"/>
    </row>
    <row r="11860" spans="28:35" ht="15" hidden="1" customHeight="1">
      <c r="AB11860" s="9"/>
      <c r="AC11860" s="9"/>
      <c r="AD11860" s="9"/>
      <c r="AF11860" s="10"/>
      <c r="AG11860" s="10"/>
      <c r="AH11860" s="10"/>
      <c r="AI11860" s="10"/>
    </row>
    <row r="11861" spans="28:35" ht="15" hidden="1" customHeight="1">
      <c r="AB11861" s="9"/>
      <c r="AC11861" s="9"/>
      <c r="AD11861" s="9"/>
      <c r="AF11861" s="10"/>
      <c r="AG11861" s="10"/>
      <c r="AH11861" s="10"/>
      <c r="AI11861" s="10"/>
    </row>
    <row r="11862" spans="28:35" ht="15" hidden="1" customHeight="1">
      <c r="AB11862" s="9"/>
      <c r="AC11862" s="9"/>
      <c r="AD11862" s="9"/>
      <c r="AF11862" s="10"/>
      <c r="AG11862" s="10"/>
      <c r="AH11862" s="10"/>
      <c r="AI11862" s="10"/>
    </row>
    <row r="11863" spans="28:35" ht="15" hidden="1" customHeight="1">
      <c r="AB11863" s="9"/>
      <c r="AC11863" s="9"/>
      <c r="AD11863" s="9"/>
      <c r="AF11863" s="10"/>
      <c r="AG11863" s="10"/>
      <c r="AH11863" s="10"/>
      <c r="AI11863" s="10"/>
    </row>
    <row r="11864" spans="28:35" ht="15" hidden="1" customHeight="1">
      <c r="AB11864" s="9"/>
      <c r="AC11864" s="9"/>
      <c r="AD11864" s="9"/>
      <c r="AF11864" s="10"/>
      <c r="AG11864" s="10"/>
      <c r="AH11864" s="10"/>
      <c r="AI11864" s="10"/>
    </row>
    <row r="11865" spans="28:35" ht="15" hidden="1" customHeight="1">
      <c r="AB11865" s="9"/>
      <c r="AC11865" s="9"/>
      <c r="AD11865" s="9"/>
      <c r="AF11865" s="10"/>
      <c r="AG11865" s="10"/>
      <c r="AH11865" s="10"/>
      <c r="AI11865" s="10"/>
    </row>
    <row r="11866" spans="28:35" ht="15" hidden="1" customHeight="1">
      <c r="AB11866" s="9"/>
      <c r="AC11866" s="9"/>
      <c r="AD11866" s="9"/>
      <c r="AF11866" s="10"/>
      <c r="AG11866" s="10"/>
      <c r="AH11866" s="10"/>
      <c r="AI11866" s="10"/>
    </row>
    <row r="11867" spans="28:35" ht="15" hidden="1" customHeight="1">
      <c r="AB11867" s="9"/>
      <c r="AC11867" s="9"/>
      <c r="AD11867" s="9"/>
      <c r="AF11867" s="10"/>
      <c r="AG11867" s="10"/>
      <c r="AH11867" s="10"/>
      <c r="AI11867" s="10"/>
    </row>
    <row r="11868" spans="28:35" ht="15" hidden="1" customHeight="1">
      <c r="AB11868" s="9"/>
      <c r="AC11868" s="9"/>
      <c r="AD11868" s="9"/>
      <c r="AF11868" s="10"/>
      <c r="AG11868" s="10"/>
      <c r="AH11868" s="10"/>
      <c r="AI11868" s="10"/>
    </row>
    <row r="11869" spans="28:35" ht="15" hidden="1" customHeight="1">
      <c r="AB11869" s="9"/>
      <c r="AC11869" s="9"/>
      <c r="AD11869" s="9"/>
      <c r="AF11869" s="10"/>
      <c r="AG11869" s="10"/>
      <c r="AH11869" s="10"/>
      <c r="AI11869" s="10"/>
    </row>
    <row r="11870" spans="28:35" ht="15" hidden="1" customHeight="1">
      <c r="AB11870" s="9"/>
      <c r="AC11870" s="9"/>
      <c r="AD11870" s="9"/>
      <c r="AF11870" s="10"/>
      <c r="AG11870" s="10"/>
      <c r="AH11870" s="10"/>
      <c r="AI11870" s="10"/>
    </row>
    <row r="11871" spans="28:35" ht="15" hidden="1" customHeight="1">
      <c r="AB11871" s="9"/>
      <c r="AC11871" s="9"/>
      <c r="AD11871" s="9"/>
      <c r="AF11871" s="10"/>
      <c r="AG11871" s="10"/>
      <c r="AH11871" s="10"/>
      <c r="AI11871" s="10"/>
    </row>
    <row r="11872" spans="28:35" ht="15" hidden="1" customHeight="1">
      <c r="AB11872" s="9"/>
      <c r="AC11872" s="9"/>
      <c r="AD11872" s="9"/>
      <c r="AF11872" s="10"/>
      <c r="AG11872" s="10"/>
      <c r="AH11872" s="10"/>
      <c r="AI11872" s="10"/>
    </row>
    <row r="11873" spans="28:35" ht="15" hidden="1" customHeight="1">
      <c r="AB11873" s="9"/>
      <c r="AC11873" s="9"/>
      <c r="AD11873" s="9"/>
      <c r="AF11873" s="10"/>
      <c r="AG11873" s="10"/>
      <c r="AH11873" s="10"/>
      <c r="AI11873" s="10"/>
    </row>
    <row r="11874" spans="28:35" ht="15" hidden="1" customHeight="1">
      <c r="AB11874" s="9"/>
      <c r="AC11874" s="9"/>
      <c r="AD11874" s="9"/>
      <c r="AF11874" s="10"/>
      <c r="AG11874" s="10"/>
      <c r="AH11874" s="10"/>
      <c r="AI11874" s="10"/>
    </row>
    <row r="11875" spans="28:35" ht="15" hidden="1" customHeight="1">
      <c r="AB11875" s="9"/>
      <c r="AC11875" s="9"/>
      <c r="AD11875" s="9"/>
      <c r="AF11875" s="10"/>
      <c r="AG11875" s="10"/>
      <c r="AH11875" s="10"/>
      <c r="AI11875" s="10"/>
    </row>
    <row r="11876" spans="28:35" ht="15" hidden="1" customHeight="1">
      <c r="AB11876" s="9"/>
      <c r="AC11876" s="9"/>
      <c r="AD11876" s="9"/>
      <c r="AF11876" s="10"/>
      <c r="AG11876" s="10"/>
      <c r="AH11876" s="10"/>
      <c r="AI11876" s="10"/>
    </row>
    <row r="11877" spans="28:35" ht="15" hidden="1" customHeight="1">
      <c r="AB11877" s="9"/>
      <c r="AC11877" s="9"/>
      <c r="AD11877" s="9"/>
      <c r="AF11877" s="10"/>
      <c r="AG11877" s="10"/>
      <c r="AH11877" s="10"/>
      <c r="AI11877" s="10"/>
    </row>
    <row r="11878" spans="28:35" ht="15" hidden="1" customHeight="1">
      <c r="AB11878" s="9"/>
      <c r="AC11878" s="9"/>
      <c r="AD11878" s="9"/>
      <c r="AF11878" s="10"/>
      <c r="AG11878" s="10"/>
      <c r="AH11878" s="10"/>
      <c r="AI11878" s="10"/>
    </row>
    <row r="11879" spans="28:35" ht="15" hidden="1" customHeight="1">
      <c r="AB11879" s="9"/>
      <c r="AC11879" s="9"/>
      <c r="AD11879" s="9"/>
      <c r="AF11879" s="10"/>
      <c r="AG11879" s="10"/>
      <c r="AH11879" s="10"/>
      <c r="AI11879" s="10"/>
    </row>
    <row r="11880" spans="28:35" ht="15" hidden="1" customHeight="1">
      <c r="AB11880" s="9"/>
      <c r="AC11880" s="9"/>
      <c r="AD11880" s="9"/>
      <c r="AF11880" s="10"/>
      <c r="AG11880" s="10"/>
      <c r="AH11880" s="10"/>
      <c r="AI11880" s="10"/>
    </row>
    <row r="11881" spans="28:35" ht="15" hidden="1" customHeight="1">
      <c r="AB11881" s="9"/>
      <c r="AC11881" s="9"/>
      <c r="AD11881" s="9"/>
      <c r="AF11881" s="10"/>
      <c r="AG11881" s="10"/>
      <c r="AH11881" s="10"/>
      <c r="AI11881" s="10"/>
    </row>
    <row r="11882" spans="28:35" ht="15" hidden="1" customHeight="1">
      <c r="AB11882" s="9"/>
      <c r="AC11882" s="9"/>
      <c r="AD11882" s="9"/>
      <c r="AF11882" s="10"/>
      <c r="AG11882" s="10"/>
      <c r="AH11882" s="10"/>
      <c r="AI11882" s="10"/>
    </row>
    <row r="11883" spans="28:35" ht="15" hidden="1" customHeight="1">
      <c r="AB11883" s="9"/>
      <c r="AC11883" s="9"/>
      <c r="AD11883" s="9"/>
      <c r="AF11883" s="10"/>
      <c r="AG11883" s="10"/>
      <c r="AH11883" s="10"/>
      <c r="AI11883" s="10"/>
    </row>
    <row r="11884" spans="28:35" ht="15" hidden="1" customHeight="1">
      <c r="AB11884" s="9"/>
      <c r="AC11884" s="9"/>
      <c r="AD11884" s="9"/>
      <c r="AF11884" s="10"/>
      <c r="AG11884" s="10"/>
      <c r="AH11884" s="10"/>
      <c r="AI11884" s="10"/>
    </row>
    <row r="11885" spans="28:35" ht="15" hidden="1" customHeight="1">
      <c r="AB11885" s="9"/>
      <c r="AC11885" s="9"/>
      <c r="AD11885" s="9"/>
      <c r="AF11885" s="10"/>
      <c r="AG11885" s="10"/>
      <c r="AH11885" s="10"/>
      <c r="AI11885" s="10"/>
    </row>
    <row r="11886" spans="28:35" ht="15" hidden="1" customHeight="1">
      <c r="AB11886" s="9"/>
      <c r="AC11886" s="9"/>
      <c r="AD11886" s="9"/>
      <c r="AF11886" s="10"/>
      <c r="AG11886" s="10"/>
      <c r="AH11886" s="10"/>
      <c r="AI11886" s="10"/>
    </row>
    <row r="11887" spans="28:35" ht="15" hidden="1" customHeight="1">
      <c r="AB11887" s="9"/>
      <c r="AC11887" s="9"/>
      <c r="AD11887" s="9"/>
      <c r="AF11887" s="10"/>
      <c r="AG11887" s="10"/>
      <c r="AH11887" s="10"/>
      <c r="AI11887" s="10"/>
    </row>
    <row r="11888" spans="28:35" ht="15" hidden="1" customHeight="1">
      <c r="AB11888" s="9"/>
      <c r="AC11888" s="9"/>
      <c r="AD11888" s="9"/>
      <c r="AF11888" s="10"/>
      <c r="AG11888" s="10"/>
      <c r="AH11888" s="10"/>
      <c r="AI11888" s="10"/>
    </row>
    <row r="11889" spans="28:35" ht="15" hidden="1" customHeight="1">
      <c r="AB11889" s="9"/>
      <c r="AC11889" s="9"/>
      <c r="AD11889" s="9"/>
      <c r="AF11889" s="10"/>
      <c r="AG11889" s="10"/>
      <c r="AH11889" s="10"/>
      <c r="AI11889" s="10"/>
    </row>
    <row r="11890" spans="28:35" ht="15" hidden="1" customHeight="1">
      <c r="AB11890" s="9"/>
      <c r="AC11890" s="9"/>
      <c r="AD11890" s="9"/>
      <c r="AF11890" s="10"/>
      <c r="AG11890" s="10"/>
      <c r="AH11890" s="10"/>
      <c r="AI11890" s="10"/>
    </row>
    <row r="11891" spans="28:35" ht="15" hidden="1" customHeight="1">
      <c r="AB11891" s="9"/>
      <c r="AC11891" s="9"/>
      <c r="AD11891" s="9"/>
      <c r="AF11891" s="10"/>
      <c r="AG11891" s="10"/>
      <c r="AH11891" s="10"/>
      <c r="AI11891" s="10"/>
    </row>
    <row r="11892" spans="28:35" ht="15" hidden="1" customHeight="1">
      <c r="AB11892" s="9"/>
      <c r="AC11892" s="9"/>
      <c r="AD11892" s="9"/>
      <c r="AF11892" s="10"/>
      <c r="AG11892" s="10"/>
      <c r="AH11892" s="10"/>
      <c r="AI11892" s="10"/>
    </row>
    <row r="11893" spans="28:35" ht="15" hidden="1" customHeight="1">
      <c r="AB11893" s="9"/>
      <c r="AC11893" s="9"/>
      <c r="AD11893" s="9"/>
      <c r="AF11893" s="10"/>
      <c r="AG11893" s="10"/>
      <c r="AH11893" s="10"/>
      <c r="AI11893" s="10"/>
    </row>
    <row r="11894" spans="28:35" ht="15" hidden="1" customHeight="1">
      <c r="AB11894" s="9"/>
      <c r="AC11894" s="9"/>
      <c r="AD11894" s="9"/>
      <c r="AF11894" s="10"/>
      <c r="AG11894" s="10"/>
      <c r="AH11894" s="10"/>
      <c r="AI11894" s="10"/>
    </row>
    <row r="11895" spans="28:35" ht="15" hidden="1" customHeight="1">
      <c r="AB11895" s="9"/>
      <c r="AC11895" s="9"/>
      <c r="AD11895" s="9"/>
      <c r="AF11895" s="10"/>
      <c r="AG11895" s="10"/>
      <c r="AH11895" s="10"/>
      <c r="AI11895" s="10"/>
    </row>
    <row r="11896" spans="28:35" ht="15" hidden="1" customHeight="1">
      <c r="AB11896" s="9"/>
      <c r="AC11896" s="9"/>
      <c r="AD11896" s="9"/>
      <c r="AF11896" s="10"/>
      <c r="AG11896" s="10"/>
      <c r="AH11896" s="10"/>
      <c r="AI11896" s="10"/>
    </row>
    <row r="11897" spans="28:35" ht="15" hidden="1" customHeight="1">
      <c r="AB11897" s="9"/>
      <c r="AC11897" s="9"/>
      <c r="AD11897" s="9"/>
      <c r="AF11897" s="10"/>
      <c r="AG11897" s="10"/>
      <c r="AH11897" s="10"/>
      <c r="AI11897" s="10"/>
    </row>
    <row r="11898" spans="28:35" ht="15" hidden="1" customHeight="1">
      <c r="AB11898" s="9"/>
      <c r="AC11898" s="9"/>
      <c r="AD11898" s="9"/>
      <c r="AF11898" s="10"/>
      <c r="AG11898" s="10"/>
      <c r="AH11898" s="10"/>
      <c r="AI11898" s="10"/>
    </row>
    <row r="11899" spans="28:35" ht="15" hidden="1" customHeight="1">
      <c r="AB11899" s="9"/>
      <c r="AC11899" s="9"/>
      <c r="AD11899" s="9"/>
      <c r="AF11899" s="10"/>
      <c r="AG11899" s="10"/>
      <c r="AH11899" s="10"/>
      <c r="AI11899" s="10"/>
    </row>
    <row r="11900" spans="28:35" ht="15" hidden="1" customHeight="1">
      <c r="AB11900" s="9"/>
      <c r="AC11900" s="9"/>
      <c r="AD11900" s="9"/>
      <c r="AF11900" s="10"/>
      <c r="AG11900" s="10"/>
      <c r="AH11900" s="10"/>
      <c r="AI11900" s="10"/>
    </row>
    <row r="11901" spans="28:35" ht="15" hidden="1" customHeight="1">
      <c r="AB11901" s="9"/>
      <c r="AC11901" s="9"/>
      <c r="AD11901" s="9"/>
      <c r="AF11901" s="10"/>
      <c r="AG11901" s="10"/>
      <c r="AH11901" s="10"/>
      <c r="AI11901" s="10"/>
    </row>
    <row r="11902" spans="28:35" ht="15" hidden="1" customHeight="1">
      <c r="AB11902" s="9"/>
      <c r="AC11902" s="9"/>
      <c r="AD11902" s="9"/>
      <c r="AF11902" s="10"/>
      <c r="AG11902" s="10"/>
      <c r="AH11902" s="10"/>
      <c r="AI11902" s="10"/>
    </row>
    <row r="11903" spans="28:35" ht="15" hidden="1" customHeight="1">
      <c r="AB11903" s="9"/>
      <c r="AC11903" s="9"/>
      <c r="AD11903" s="9"/>
      <c r="AF11903" s="10"/>
      <c r="AG11903" s="10"/>
      <c r="AH11903" s="10"/>
      <c r="AI11903" s="10"/>
    </row>
    <row r="11904" spans="28:35" ht="15" hidden="1" customHeight="1">
      <c r="AB11904" s="9"/>
      <c r="AC11904" s="9"/>
      <c r="AD11904" s="9"/>
      <c r="AF11904" s="10"/>
      <c r="AG11904" s="10"/>
      <c r="AH11904" s="10"/>
      <c r="AI11904" s="10"/>
    </row>
    <row r="11905" spans="28:35" ht="15" hidden="1" customHeight="1">
      <c r="AB11905" s="9"/>
      <c r="AC11905" s="9"/>
      <c r="AD11905" s="9"/>
      <c r="AF11905" s="10"/>
      <c r="AG11905" s="10"/>
      <c r="AH11905" s="10"/>
      <c r="AI11905" s="10"/>
    </row>
    <row r="11906" spans="28:35" ht="15" hidden="1" customHeight="1">
      <c r="AB11906" s="9"/>
      <c r="AC11906" s="9"/>
      <c r="AD11906" s="9"/>
      <c r="AF11906" s="10"/>
      <c r="AG11906" s="10"/>
      <c r="AH11906" s="10"/>
      <c r="AI11906" s="10"/>
    </row>
    <row r="11907" spans="28:35" ht="15" hidden="1" customHeight="1">
      <c r="AB11907" s="9"/>
      <c r="AC11907" s="9"/>
      <c r="AD11907" s="9"/>
      <c r="AF11907" s="10"/>
      <c r="AG11907" s="10"/>
      <c r="AH11907" s="10"/>
      <c r="AI11907" s="10"/>
    </row>
    <row r="11908" spans="28:35" ht="15" hidden="1" customHeight="1">
      <c r="AB11908" s="9"/>
      <c r="AC11908" s="9"/>
      <c r="AD11908" s="9"/>
      <c r="AF11908" s="10"/>
      <c r="AG11908" s="10"/>
      <c r="AH11908" s="10"/>
      <c r="AI11908" s="10"/>
    </row>
    <row r="11909" spans="28:35" ht="15" hidden="1" customHeight="1">
      <c r="AB11909" s="9"/>
      <c r="AC11909" s="9"/>
      <c r="AD11909" s="9"/>
      <c r="AF11909" s="10"/>
      <c r="AG11909" s="10"/>
      <c r="AH11909" s="10"/>
      <c r="AI11909" s="10"/>
    </row>
    <row r="11910" spans="28:35" ht="15" hidden="1" customHeight="1">
      <c r="AB11910" s="9"/>
      <c r="AC11910" s="9"/>
      <c r="AD11910" s="9"/>
      <c r="AF11910" s="10"/>
      <c r="AG11910" s="10"/>
      <c r="AH11910" s="10"/>
      <c r="AI11910" s="10"/>
    </row>
    <row r="11911" spans="28:35" ht="15" hidden="1" customHeight="1">
      <c r="AB11911" s="9"/>
      <c r="AC11911" s="9"/>
      <c r="AD11911" s="9"/>
      <c r="AF11911" s="10"/>
      <c r="AG11911" s="10"/>
      <c r="AH11911" s="10"/>
      <c r="AI11911" s="10"/>
    </row>
    <row r="11912" spans="28:35" ht="15" hidden="1" customHeight="1">
      <c r="AB11912" s="9"/>
      <c r="AC11912" s="9"/>
      <c r="AD11912" s="9"/>
      <c r="AF11912" s="10"/>
      <c r="AG11912" s="10"/>
      <c r="AH11912" s="10"/>
      <c r="AI11912" s="10"/>
    </row>
    <row r="11913" spans="28:35" ht="15" hidden="1" customHeight="1">
      <c r="AB11913" s="9"/>
      <c r="AC11913" s="9"/>
      <c r="AD11913" s="9"/>
      <c r="AF11913" s="10"/>
      <c r="AG11913" s="10"/>
      <c r="AH11913" s="10"/>
      <c r="AI11913" s="10"/>
    </row>
    <row r="11914" spans="28:35" ht="15" hidden="1" customHeight="1">
      <c r="AB11914" s="9"/>
      <c r="AC11914" s="9"/>
      <c r="AD11914" s="9"/>
      <c r="AF11914" s="10"/>
      <c r="AG11914" s="10"/>
      <c r="AH11914" s="10"/>
      <c r="AI11914" s="10"/>
    </row>
    <row r="11915" spans="28:35" ht="15" hidden="1" customHeight="1">
      <c r="AB11915" s="9"/>
      <c r="AC11915" s="9"/>
      <c r="AD11915" s="9"/>
      <c r="AF11915" s="10"/>
      <c r="AG11915" s="10"/>
      <c r="AH11915" s="10"/>
      <c r="AI11915" s="10"/>
    </row>
    <row r="11916" spans="28:35" ht="15" hidden="1" customHeight="1">
      <c r="AB11916" s="9"/>
      <c r="AC11916" s="9"/>
      <c r="AD11916" s="9"/>
      <c r="AF11916" s="10"/>
      <c r="AG11916" s="10"/>
      <c r="AH11916" s="10"/>
      <c r="AI11916" s="10"/>
    </row>
    <row r="11917" spans="28:35" ht="15" hidden="1" customHeight="1">
      <c r="AB11917" s="9"/>
      <c r="AC11917" s="9"/>
      <c r="AD11917" s="9"/>
      <c r="AF11917" s="10"/>
      <c r="AG11917" s="10"/>
      <c r="AH11917" s="10"/>
      <c r="AI11917" s="10"/>
    </row>
    <row r="11918" spans="28:35" ht="15" hidden="1" customHeight="1">
      <c r="AB11918" s="9"/>
      <c r="AC11918" s="9"/>
      <c r="AD11918" s="9"/>
      <c r="AF11918" s="10"/>
      <c r="AG11918" s="10"/>
      <c r="AH11918" s="10"/>
      <c r="AI11918" s="10"/>
    </row>
    <row r="11919" spans="28:35" ht="15" hidden="1" customHeight="1">
      <c r="AB11919" s="9"/>
      <c r="AC11919" s="9"/>
      <c r="AD11919" s="9"/>
      <c r="AF11919" s="10"/>
      <c r="AG11919" s="10"/>
      <c r="AH11919" s="10"/>
      <c r="AI11919" s="10"/>
    </row>
    <row r="11920" spans="28:35" ht="15" hidden="1" customHeight="1">
      <c r="AB11920" s="9"/>
      <c r="AC11920" s="9"/>
      <c r="AD11920" s="9"/>
      <c r="AF11920" s="10"/>
      <c r="AG11920" s="10"/>
      <c r="AH11920" s="10"/>
      <c r="AI11920" s="10"/>
    </row>
    <row r="11921" spans="28:35" ht="15" hidden="1" customHeight="1">
      <c r="AB11921" s="9"/>
      <c r="AC11921" s="9"/>
      <c r="AD11921" s="9"/>
      <c r="AF11921" s="10"/>
      <c r="AG11921" s="10"/>
      <c r="AH11921" s="10"/>
      <c r="AI11921" s="10"/>
    </row>
    <row r="11922" spans="28:35" ht="15" hidden="1" customHeight="1">
      <c r="AB11922" s="9"/>
      <c r="AC11922" s="9"/>
      <c r="AD11922" s="9"/>
      <c r="AF11922" s="10"/>
      <c r="AG11922" s="10"/>
      <c r="AH11922" s="10"/>
      <c r="AI11922" s="10"/>
    </row>
    <row r="11923" spans="28:35" ht="15" hidden="1" customHeight="1">
      <c r="AB11923" s="9"/>
      <c r="AC11923" s="9"/>
      <c r="AD11923" s="9"/>
      <c r="AF11923" s="10"/>
      <c r="AG11923" s="10"/>
      <c r="AH11923" s="10"/>
      <c r="AI11923" s="10"/>
    </row>
    <row r="11924" spans="28:35" ht="15" hidden="1" customHeight="1">
      <c r="AB11924" s="9"/>
      <c r="AC11924" s="9"/>
      <c r="AD11924" s="9"/>
      <c r="AF11924" s="10"/>
      <c r="AG11924" s="10"/>
      <c r="AH11924" s="10"/>
      <c r="AI11924" s="10"/>
    </row>
    <row r="11925" spans="28:35" ht="15" hidden="1" customHeight="1">
      <c r="AB11925" s="9"/>
      <c r="AC11925" s="9"/>
      <c r="AD11925" s="9"/>
      <c r="AF11925" s="10"/>
      <c r="AG11925" s="10"/>
      <c r="AH11925" s="10"/>
      <c r="AI11925" s="10"/>
    </row>
    <row r="11926" spans="28:35" ht="15" hidden="1" customHeight="1">
      <c r="AB11926" s="9"/>
      <c r="AC11926" s="9"/>
      <c r="AD11926" s="9"/>
      <c r="AF11926" s="10"/>
      <c r="AG11926" s="10"/>
      <c r="AH11926" s="10"/>
      <c r="AI11926" s="10"/>
    </row>
    <row r="11927" spans="28:35" ht="15" hidden="1" customHeight="1">
      <c r="AB11927" s="9"/>
      <c r="AC11927" s="9"/>
      <c r="AD11927" s="9"/>
      <c r="AF11927" s="10"/>
      <c r="AG11927" s="10"/>
      <c r="AH11927" s="10"/>
      <c r="AI11927" s="10"/>
    </row>
    <row r="11928" spans="28:35" ht="15" hidden="1" customHeight="1">
      <c r="AB11928" s="9"/>
      <c r="AC11928" s="9"/>
      <c r="AD11928" s="9"/>
      <c r="AF11928" s="10"/>
      <c r="AG11928" s="10"/>
      <c r="AH11928" s="10"/>
      <c r="AI11928" s="10"/>
    </row>
    <row r="11929" spans="28:35" ht="15" hidden="1" customHeight="1">
      <c r="AB11929" s="9"/>
      <c r="AC11929" s="9"/>
      <c r="AD11929" s="9"/>
      <c r="AF11929" s="10"/>
      <c r="AG11929" s="10"/>
      <c r="AH11929" s="10"/>
      <c r="AI11929" s="10"/>
    </row>
    <row r="11930" spans="28:35" ht="15" hidden="1" customHeight="1">
      <c r="AB11930" s="9"/>
      <c r="AC11930" s="9"/>
      <c r="AD11930" s="9"/>
      <c r="AF11930" s="10"/>
      <c r="AG11930" s="10"/>
      <c r="AH11930" s="10"/>
      <c r="AI11930" s="10"/>
    </row>
    <row r="11931" spans="28:35" ht="15" hidden="1" customHeight="1">
      <c r="AB11931" s="9"/>
      <c r="AC11931" s="9"/>
      <c r="AD11931" s="9"/>
      <c r="AF11931" s="10"/>
      <c r="AG11931" s="10"/>
      <c r="AH11931" s="10"/>
      <c r="AI11931" s="10"/>
    </row>
    <row r="11932" spans="28:35" ht="15" hidden="1" customHeight="1">
      <c r="AB11932" s="9"/>
      <c r="AC11932" s="9"/>
      <c r="AD11932" s="9"/>
      <c r="AF11932" s="10"/>
      <c r="AG11932" s="10"/>
      <c r="AH11932" s="10"/>
      <c r="AI11932" s="10"/>
    </row>
    <row r="11933" spans="28:35" ht="15" hidden="1" customHeight="1">
      <c r="AB11933" s="9"/>
      <c r="AC11933" s="9"/>
      <c r="AD11933" s="9"/>
      <c r="AF11933" s="10"/>
      <c r="AG11933" s="10"/>
      <c r="AH11933" s="10"/>
      <c r="AI11933" s="10"/>
    </row>
    <row r="11934" spans="28:35" ht="15" hidden="1" customHeight="1">
      <c r="AB11934" s="9"/>
      <c r="AC11934" s="9"/>
      <c r="AD11934" s="9"/>
      <c r="AF11934" s="10"/>
      <c r="AG11934" s="10"/>
      <c r="AH11934" s="10"/>
      <c r="AI11934" s="10"/>
    </row>
    <row r="11935" spans="28:35" ht="15" hidden="1" customHeight="1">
      <c r="AB11935" s="9"/>
      <c r="AC11935" s="9"/>
      <c r="AD11935" s="9"/>
      <c r="AF11935" s="10"/>
      <c r="AG11935" s="10"/>
      <c r="AH11935" s="10"/>
      <c r="AI11935" s="10"/>
    </row>
    <row r="11936" spans="28:35" ht="15" hidden="1" customHeight="1">
      <c r="AB11936" s="9"/>
      <c r="AC11936" s="9"/>
      <c r="AD11936" s="9"/>
      <c r="AF11936" s="10"/>
      <c r="AG11936" s="10"/>
      <c r="AH11936" s="10"/>
      <c r="AI11936" s="10"/>
    </row>
    <row r="11937" spans="28:35" ht="15" hidden="1" customHeight="1">
      <c r="AB11937" s="9"/>
      <c r="AC11937" s="9"/>
      <c r="AD11937" s="9"/>
      <c r="AF11937" s="10"/>
      <c r="AG11937" s="10"/>
      <c r="AH11937" s="10"/>
      <c r="AI11937" s="10"/>
    </row>
    <row r="11938" spans="28:35" ht="15" hidden="1" customHeight="1">
      <c r="AB11938" s="9"/>
      <c r="AC11938" s="9"/>
      <c r="AD11938" s="9"/>
      <c r="AF11938" s="10"/>
      <c r="AG11938" s="10"/>
      <c r="AH11938" s="10"/>
      <c r="AI11938" s="10"/>
    </row>
    <row r="11939" spans="28:35" ht="15" hidden="1" customHeight="1">
      <c r="AB11939" s="9"/>
      <c r="AC11939" s="9"/>
      <c r="AD11939" s="9"/>
      <c r="AF11939" s="10"/>
      <c r="AG11939" s="10"/>
      <c r="AH11939" s="10"/>
      <c r="AI11939" s="10"/>
    </row>
    <row r="11940" spans="28:35" ht="15" hidden="1" customHeight="1">
      <c r="AB11940" s="9"/>
      <c r="AC11940" s="9"/>
      <c r="AD11940" s="9"/>
      <c r="AF11940" s="10"/>
      <c r="AG11940" s="10"/>
      <c r="AH11940" s="10"/>
      <c r="AI11940" s="10"/>
    </row>
    <row r="11941" spans="28:35" ht="15" hidden="1" customHeight="1">
      <c r="AB11941" s="9"/>
      <c r="AC11941" s="9"/>
      <c r="AD11941" s="9"/>
      <c r="AF11941" s="10"/>
      <c r="AG11941" s="10"/>
      <c r="AH11941" s="10"/>
      <c r="AI11941" s="10"/>
    </row>
    <row r="11942" spans="28:35" ht="15" hidden="1" customHeight="1">
      <c r="AB11942" s="9"/>
      <c r="AC11942" s="9"/>
      <c r="AD11942" s="9"/>
      <c r="AF11942" s="10"/>
      <c r="AG11942" s="10"/>
      <c r="AH11942" s="10"/>
      <c r="AI11942" s="10"/>
    </row>
    <row r="11943" spans="28:35" ht="15" hidden="1" customHeight="1">
      <c r="AB11943" s="9"/>
      <c r="AC11943" s="9"/>
      <c r="AD11943" s="9"/>
      <c r="AF11943" s="10"/>
      <c r="AG11943" s="10"/>
      <c r="AH11943" s="10"/>
      <c r="AI11943" s="10"/>
    </row>
    <row r="11944" spans="28:35" ht="15" hidden="1" customHeight="1">
      <c r="AB11944" s="9"/>
      <c r="AC11944" s="9"/>
      <c r="AD11944" s="9"/>
      <c r="AF11944" s="10"/>
      <c r="AG11944" s="10"/>
      <c r="AH11944" s="10"/>
      <c r="AI11944" s="10"/>
    </row>
    <row r="11945" spans="28:35" ht="15" hidden="1" customHeight="1">
      <c r="AB11945" s="9"/>
      <c r="AC11945" s="9"/>
      <c r="AD11945" s="9"/>
      <c r="AF11945" s="10"/>
      <c r="AG11945" s="10"/>
      <c r="AH11945" s="10"/>
      <c r="AI11945" s="10"/>
    </row>
    <row r="11946" spans="28:35" ht="15" hidden="1" customHeight="1">
      <c r="AB11946" s="9"/>
      <c r="AC11946" s="9"/>
      <c r="AD11946" s="9"/>
      <c r="AF11946" s="10"/>
      <c r="AG11946" s="10"/>
      <c r="AH11946" s="10"/>
      <c r="AI11946" s="10"/>
    </row>
    <row r="11947" spans="28:35" ht="15" hidden="1" customHeight="1">
      <c r="AB11947" s="9"/>
      <c r="AC11947" s="9"/>
      <c r="AD11947" s="9"/>
      <c r="AF11947" s="10"/>
      <c r="AG11947" s="10"/>
      <c r="AH11947" s="10"/>
      <c r="AI11947" s="10"/>
    </row>
    <row r="11948" spans="28:35" ht="15" hidden="1" customHeight="1">
      <c r="AB11948" s="9"/>
      <c r="AC11948" s="9"/>
      <c r="AD11948" s="9"/>
      <c r="AF11948" s="10"/>
      <c r="AG11948" s="10"/>
      <c r="AH11948" s="10"/>
      <c r="AI11948" s="10"/>
    </row>
    <row r="11949" spans="28:35" ht="15" hidden="1" customHeight="1">
      <c r="AB11949" s="9"/>
      <c r="AC11949" s="9"/>
      <c r="AD11949" s="9"/>
      <c r="AF11949" s="10"/>
      <c r="AG11949" s="10"/>
      <c r="AH11949" s="10"/>
      <c r="AI11949" s="10"/>
    </row>
    <row r="11950" spans="28:35" ht="15" hidden="1" customHeight="1">
      <c r="AB11950" s="9"/>
      <c r="AC11950" s="9"/>
      <c r="AD11950" s="9"/>
      <c r="AF11950" s="10"/>
      <c r="AG11950" s="10"/>
      <c r="AH11950" s="10"/>
      <c r="AI11950" s="10"/>
    </row>
    <row r="11951" spans="28:35" ht="15" hidden="1" customHeight="1">
      <c r="AB11951" s="9"/>
      <c r="AC11951" s="9"/>
      <c r="AD11951" s="9"/>
      <c r="AF11951" s="10"/>
      <c r="AG11951" s="10"/>
      <c r="AH11951" s="10"/>
      <c r="AI11951" s="10"/>
    </row>
    <row r="11952" spans="28:35" ht="15" hidden="1" customHeight="1">
      <c r="AB11952" s="9"/>
      <c r="AC11952" s="9"/>
      <c r="AD11952" s="9"/>
      <c r="AF11952" s="10"/>
      <c r="AG11952" s="10"/>
      <c r="AH11952" s="10"/>
      <c r="AI11952" s="10"/>
    </row>
    <row r="11953" spans="28:35" ht="15" hidden="1" customHeight="1">
      <c r="AB11953" s="9"/>
      <c r="AC11953" s="9"/>
      <c r="AD11953" s="9"/>
      <c r="AF11953" s="10"/>
      <c r="AG11953" s="10"/>
      <c r="AH11953" s="10"/>
      <c r="AI11953" s="10"/>
    </row>
    <row r="11954" spans="28:35" ht="15" hidden="1" customHeight="1">
      <c r="AB11954" s="9"/>
      <c r="AC11954" s="9"/>
      <c r="AD11954" s="9"/>
      <c r="AF11954" s="10"/>
      <c r="AG11954" s="10"/>
      <c r="AH11954" s="10"/>
      <c r="AI11954" s="10"/>
    </row>
    <row r="11955" spans="28:35" ht="15" hidden="1" customHeight="1">
      <c r="AB11955" s="9"/>
      <c r="AC11955" s="9"/>
      <c r="AD11955" s="9"/>
      <c r="AF11955" s="10"/>
      <c r="AG11955" s="10"/>
      <c r="AH11955" s="10"/>
      <c r="AI11955" s="10"/>
    </row>
    <row r="11956" spans="28:35" ht="15" hidden="1" customHeight="1">
      <c r="AB11956" s="9"/>
      <c r="AC11956" s="9"/>
      <c r="AD11956" s="9"/>
      <c r="AF11956" s="10"/>
      <c r="AG11956" s="10"/>
      <c r="AH11956" s="10"/>
      <c r="AI11956" s="10"/>
    </row>
    <row r="11957" spans="28:35" ht="15" hidden="1" customHeight="1">
      <c r="AB11957" s="9"/>
      <c r="AC11957" s="9"/>
      <c r="AD11957" s="9"/>
      <c r="AF11957" s="10"/>
      <c r="AG11957" s="10"/>
      <c r="AH11957" s="10"/>
      <c r="AI11957" s="10"/>
    </row>
    <row r="11958" spans="28:35" ht="15" hidden="1" customHeight="1">
      <c r="AB11958" s="9"/>
      <c r="AC11958" s="9"/>
      <c r="AD11958" s="9"/>
      <c r="AF11958" s="10"/>
      <c r="AG11958" s="10"/>
      <c r="AH11958" s="10"/>
      <c r="AI11958" s="10"/>
    </row>
    <row r="11959" spans="28:35" ht="15" hidden="1" customHeight="1">
      <c r="AB11959" s="9"/>
      <c r="AC11959" s="9"/>
      <c r="AD11959" s="9"/>
      <c r="AF11959" s="10"/>
      <c r="AG11959" s="10"/>
      <c r="AH11959" s="10"/>
      <c r="AI11959" s="10"/>
    </row>
    <row r="11960" spans="28:35" ht="15" hidden="1" customHeight="1">
      <c r="AB11960" s="9"/>
      <c r="AC11960" s="9"/>
      <c r="AD11960" s="9"/>
      <c r="AF11960" s="10"/>
      <c r="AG11960" s="10"/>
      <c r="AH11960" s="10"/>
      <c r="AI11960" s="10"/>
    </row>
    <row r="11961" spans="28:35" ht="15" hidden="1" customHeight="1">
      <c r="AB11961" s="9"/>
      <c r="AC11961" s="9"/>
      <c r="AD11961" s="9"/>
      <c r="AF11961" s="10"/>
      <c r="AG11961" s="10"/>
      <c r="AH11961" s="10"/>
      <c r="AI11961" s="10"/>
    </row>
    <row r="11962" spans="28:35" ht="15" hidden="1" customHeight="1">
      <c r="AB11962" s="9"/>
      <c r="AC11962" s="9"/>
      <c r="AD11962" s="9"/>
      <c r="AF11962" s="10"/>
      <c r="AG11962" s="10"/>
      <c r="AH11962" s="10"/>
      <c r="AI11962" s="10"/>
    </row>
    <row r="11963" spans="28:35" ht="15" hidden="1" customHeight="1">
      <c r="AB11963" s="9"/>
      <c r="AC11963" s="9"/>
      <c r="AD11963" s="9"/>
      <c r="AF11963" s="10"/>
      <c r="AG11963" s="10"/>
      <c r="AH11963" s="10"/>
      <c r="AI11963" s="10"/>
    </row>
    <row r="11964" spans="28:35" ht="15" hidden="1" customHeight="1">
      <c r="AB11964" s="9"/>
      <c r="AC11964" s="9"/>
      <c r="AD11964" s="9"/>
      <c r="AF11964" s="10"/>
      <c r="AG11964" s="10"/>
      <c r="AH11964" s="10"/>
      <c r="AI11964" s="10"/>
    </row>
    <row r="11965" spans="28:35" ht="15" hidden="1" customHeight="1">
      <c r="AB11965" s="9"/>
      <c r="AC11965" s="9"/>
      <c r="AD11965" s="9"/>
      <c r="AF11965" s="10"/>
      <c r="AG11965" s="10"/>
      <c r="AH11965" s="10"/>
      <c r="AI11965" s="10"/>
    </row>
    <row r="11966" spans="28:35" ht="15" hidden="1" customHeight="1">
      <c r="AB11966" s="9"/>
      <c r="AC11966" s="9"/>
      <c r="AD11966" s="9"/>
      <c r="AF11966" s="10"/>
      <c r="AG11966" s="10"/>
      <c r="AH11966" s="10"/>
      <c r="AI11966" s="10"/>
    </row>
    <row r="11967" spans="28:35" ht="15" hidden="1" customHeight="1">
      <c r="AB11967" s="9"/>
      <c r="AC11967" s="9"/>
      <c r="AD11967" s="9"/>
      <c r="AF11967" s="10"/>
      <c r="AG11967" s="10"/>
      <c r="AH11967" s="10"/>
      <c r="AI11967" s="10"/>
    </row>
    <row r="11968" spans="28:35" ht="15" hidden="1" customHeight="1">
      <c r="AB11968" s="9"/>
      <c r="AC11968" s="9"/>
      <c r="AD11968" s="9"/>
      <c r="AF11968" s="10"/>
      <c r="AG11968" s="10"/>
      <c r="AH11968" s="10"/>
      <c r="AI11968" s="10"/>
    </row>
    <row r="11969" spans="28:35" ht="15" hidden="1" customHeight="1">
      <c r="AB11969" s="9"/>
      <c r="AC11969" s="9"/>
      <c r="AD11969" s="9"/>
      <c r="AF11969" s="10"/>
      <c r="AG11969" s="10"/>
      <c r="AH11969" s="10"/>
      <c r="AI11969" s="10"/>
    </row>
    <row r="11970" spans="28:35" ht="15" hidden="1" customHeight="1">
      <c r="AB11970" s="9"/>
      <c r="AC11970" s="9"/>
      <c r="AD11970" s="9"/>
      <c r="AF11970" s="10"/>
      <c r="AG11970" s="10"/>
      <c r="AH11970" s="10"/>
      <c r="AI11970" s="10"/>
    </row>
    <row r="11971" spans="28:35" ht="15" hidden="1" customHeight="1">
      <c r="AB11971" s="9"/>
      <c r="AC11971" s="9"/>
      <c r="AD11971" s="9"/>
      <c r="AF11971" s="10"/>
      <c r="AG11971" s="10"/>
      <c r="AH11971" s="10"/>
      <c r="AI11971" s="10"/>
    </row>
    <row r="11972" spans="28:35" ht="15" hidden="1" customHeight="1">
      <c r="AB11972" s="9"/>
      <c r="AC11972" s="9"/>
      <c r="AD11972" s="9"/>
      <c r="AF11972" s="10"/>
      <c r="AG11972" s="10"/>
      <c r="AH11972" s="10"/>
      <c r="AI11972" s="10"/>
    </row>
    <row r="11973" spans="28:35" ht="15" hidden="1" customHeight="1">
      <c r="AB11973" s="9"/>
      <c r="AC11973" s="9"/>
      <c r="AD11973" s="9"/>
      <c r="AF11973" s="10"/>
      <c r="AG11973" s="10"/>
      <c r="AH11973" s="10"/>
      <c r="AI11973" s="10"/>
    </row>
    <row r="11974" spans="28:35" ht="15" hidden="1" customHeight="1">
      <c r="AB11974" s="9"/>
      <c r="AC11974" s="9"/>
      <c r="AD11974" s="9"/>
      <c r="AF11974" s="10"/>
      <c r="AG11974" s="10"/>
      <c r="AH11974" s="10"/>
      <c r="AI11974" s="10"/>
    </row>
    <row r="11975" spans="28:35" ht="15" hidden="1" customHeight="1">
      <c r="AB11975" s="9"/>
      <c r="AC11975" s="9"/>
      <c r="AD11975" s="9"/>
      <c r="AF11975" s="10"/>
      <c r="AG11975" s="10"/>
      <c r="AH11975" s="10"/>
      <c r="AI11975" s="10"/>
    </row>
    <row r="11976" spans="28:35" ht="15" hidden="1" customHeight="1">
      <c r="AB11976" s="9"/>
      <c r="AC11976" s="9"/>
      <c r="AD11976" s="9"/>
      <c r="AF11976" s="10"/>
      <c r="AG11976" s="10"/>
      <c r="AH11976" s="10"/>
      <c r="AI11976" s="10"/>
    </row>
    <row r="11977" spans="28:35" ht="15" hidden="1" customHeight="1">
      <c r="AB11977" s="9"/>
      <c r="AC11977" s="9"/>
      <c r="AD11977" s="9"/>
      <c r="AF11977" s="10"/>
      <c r="AG11977" s="10"/>
      <c r="AH11977" s="10"/>
      <c r="AI11977" s="10"/>
    </row>
    <row r="11978" spans="28:35" ht="15" hidden="1" customHeight="1">
      <c r="AB11978" s="9"/>
      <c r="AC11978" s="9"/>
      <c r="AD11978" s="9"/>
      <c r="AF11978" s="10"/>
      <c r="AG11978" s="10"/>
      <c r="AH11978" s="10"/>
      <c r="AI11978" s="10"/>
    </row>
    <row r="11979" spans="28:35" ht="15" hidden="1" customHeight="1">
      <c r="AB11979" s="9"/>
      <c r="AC11979" s="9"/>
      <c r="AD11979" s="9"/>
      <c r="AF11979" s="10"/>
      <c r="AG11979" s="10"/>
      <c r="AH11979" s="10"/>
      <c r="AI11979" s="10"/>
    </row>
    <row r="11980" spans="28:35" ht="15" hidden="1" customHeight="1">
      <c r="AB11980" s="9"/>
      <c r="AC11980" s="9"/>
      <c r="AD11980" s="9"/>
      <c r="AF11980" s="10"/>
      <c r="AG11980" s="10"/>
      <c r="AH11980" s="10"/>
      <c r="AI11980" s="10"/>
    </row>
    <row r="11981" spans="28:35" ht="15" hidden="1" customHeight="1">
      <c r="AB11981" s="9"/>
      <c r="AC11981" s="9"/>
      <c r="AD11981" s="9"/>
      <c r="AF11981" s="10"/>
      <c r="AG11981" s="10"/>
      <c r="AH11981" s="10"/>
      <c r="AI11981" s="10"/>
    </row>
    <row r="11982" spans="28:35" ht="15" hidden="1" customHeight="1">
      <c r="AB11982" s="9"/>
      <c r="AC11982" s="9"/>
      <c r="AD11982" s="9"/>
      <c r="AF11982" s="10"/>
      <c r="AG11982" s="10"/>
      <c r="AH11982" s="10"/>
      <c r="AI11982" s="10"/>
    </row>
    <row r="11983" spans="28:35" ht="15" hidden="1" customHeight="1">
      <c r="AB11983" s="9"/>
      <c r="AC11983" s="9"/>
      <c r="AD11983" s="9"/>
      <c r="AF11983" s="10"/>
      <c r="AG11983" s="10"/>
      <c r="AH11983" s="10"/>
      <c r="AI11983" s="10"/>
    </row>
    <row r="11984" spans="28:35" ht="15" hidden="1" customHeight="1">
      <c r="AB11984" s="9"/>
      <c r="AC11984" s="9"/>
      <c r="AD11984" s="9"/>
      <c r="AF11984" s="10"/>
      <c r="AG11984" s="10"/>
      <c r="AH11984" s="10"/>
      <c r="AI11984" s="10"/>
    </row>
    <row r="11985" spans="28:35" ht="15" hidden="1" customHeight="1">
      <c r="AB11985" s="9"/>
      <c r="AC11985" s="9"/>
      <c r="AD11985" s="9"/>
      <c r="AF11985" s="10"/>
      <c r="AG11985" s="10"/>
      <c r="AH11985" s="10"/>
      <c r="AI11985" s="10"/>
    </row>
    <row r="11986" spans="28:35" ht="15" hidden="1" customHeight="1">
      <c r="AB11986" s="9"/>
      <c r="AC11986" s="9"/>
      <c r="AD11986" s="9"/>
      <c r="AF11986" s="10"/>
      <c r="AG11986" s="10"/>
      <c r="AH11986" s="10"/>
      <c r="AI11986" s="10"/>
    </row>
    <row r="11987" spans="28:35" ht="15" hidden="1" customHeight="1">
      <c r="AB11987" s="9"/>
      <c r="AC11987" s="9"/>
      <c r="AD11987" s="9"/>
      <c r="AF11987" s="10"/>
      <c r="AG11987" s="10"/>
      <c r="AH11987" s="10"/>
      <c r="AI11987" s="10"/>
    </row>
    <row r="11988" spans="28:35" ht="15" hidden="1" customHeight="1">
      <c r="AB11988" s="9"/>
      <c r="AC11988" s="9"/>
      <c r="AD11988" s="9"/>
      <c r="AF11988" s="10"/>
      <c r="AG11988" s="10"/>
      <c r="AH11988" s="10"/>
      <c r="AI11988" s="10"/>
    </row>
    <row r="11989" spans="28:35" ht="15" hidden="1" customHeight="1">
      <c r="AB11989" s="9"/>
      <c r="AC11989" s="9"/>
      <c r="AD11989" s="9"/>
      <c r="AF11989" s="10"/>
      <c r="AG11989" s="10"/>
      <c r="AH11989" s="10"/>
      <c r="AI11989" s="10"/>
    </row>
    <row r="11990" spans="28:35" ht="15" hidden="1" customHeight="1">
      <c r="AB11990" s="9"/>
      <c r="AC11990" s="9"/>
      <c r="AD11990" s="9"/>
      <c r="AF11990" s="10"/>
      <c r="AG11990" s="10"/>
      <c r="AH11990" s="10"/>
      <c r="AI11990" s="10"/>
    </row>
    <row r="11991" spans="28:35" ht="15" hidden="1" customHeight="1">
      <c r="AB11991" s="9"/>
      <c r="AC11991" s="9"/>
      <c r="AD11991" s="9"/>
      <c r="AF11991" s="10"/>
      <c r="AG11991" s="10"/>
      <c r="AH11991" s="10"/>
      <c r="AI11991" s="10"/>
    </row>
    <row r="11992" spans="28:35" ht="15" hidden="1" customHeight="1">
      <c r="AB11992" s="9"/>
      <c r="AC11992" s="9"/>
      <c r="AD11992" s="9"/>
      <c r="AF11992" s="10"/>
      <c r="AG11992" s="10"/>
      <c r="AH11992" s="10"/>
      <c r="AI11992" s="10"/>
    </row>
    <row r="11993" spans="28:35" ht="15" hidden="1" customHeight="1">
      <c r="AB11993" s="9"/>
      <c r="AC11993" s="9"/>
      <c r="AD11993" s="9"/>
      <c r="AF11993" s="10"/>
      <c r="AG11993" s="10"/>
      <c r="AH11993" s="10"/>
      <c r="AI11993" s="10"/>
    </row>
    <row r="11994" spans="28:35" ht="15" hidden="1" customHeight="1">
      <c r="AB11994" s="9"/>
      <c r="AC11994" s="9"/>
      <c r="AD11994" s="9"/>
      <c r="AF11994" s="10"/>
      <c r="AG11994" s="10"/>
      <c r="AH11994" s="10"/>
      <c r="AI11994" s="10"/>
    </row>
    <row r="11995" spans="28:35" ht="15" hidden="1" customHeight="1">
      <c r="AB11995" s="9"/>
      <c r="AC11995" s="9"/>
      <c r="AD11995" s="9"/>
      <c r="AF11995" s="10"/>
      <c r="AG11995" s="10"/>
      <c r="AH11995" s="10"/>
      <c r="AI11995" s="10"/>
    </row>
    <row r="11996" spans="28:35" ht="15" hidden="1" customHeight="1">
      <c r="AB11996" s="9"/>
      <c r="AC11996" s="9"/>
      <c r="AD11996" s="9"/>
      <c r="AF11996" s="10"/>
      <c r="AG11996" s="10"/>
      <c r="AH11996" s="10"/>
      <c r="AI11996" s="10"/>
    </row>
    <row r="11997" spans="28:35" ht="15" hidden="1" customHeight="1">
      <c r="AB11997" s="9"/>
      <c r="AC11997" s="9"/>
      <c r="AD11997" s="9"/>
      <c r="AF11997" s="10"/>
      <c r="AG11997" s="10"/>
      <c r="AH11997" s="10"/>
      <c r="AI11997" s="10"/>
    </row>
    <row r="11998" spans="28:35" ht="15" hidden="1" customHeight="1">
      <c r="AB11998" s="9"/>
      <c r="AC11998" s="9"/>
      <c r="AD11998" s="9"/>
      <c r="AF11998" s="10"/>
      <c r="AG11998" s="10"/>
      <c r="AH11998" s="10"/>
      <c r="AI11998" s="10"/>
    </row>
    <row r="11999" spans="28:35" ht="15" hidden="1" customHeight="1">
      <c r="AB11999" s="9"/>
      <c r="AC11999" s="9"/>
      <c r="AD11999" s="9"/>
      <c r="AF11999" s="10"/>
      <c r="AG11999" s="10"/>
      <c r="AH11999" s="10"/>
      <c r="AI11999" s="10"/>
    </row>
    <row r="12000" spans="28:35" ht="15" hidden="1" customHeight="1">
      <c r="AB12000" s="9"/>
      <c r="AC12000" s="9"/>
      <c r="AD12000" s="9"/>
      <c r="AF12000" s="10"/>
      <c r="AG12000" s="10"/>
      <c r="AH12000" s="10"/>
      <c r="AI12000" s="10"/>
    </row>
    <row r="12001" spans="28:35" ht="15" hidden="1" customHeight="1">
      <c r="AB12001" s="9"/>
      <c r="AC12001" s="9"/>
      <c r="AD12001" s="9"/>
      <c r="AF12001" s="10"/>
      <c r="AG12001" s="10"/>
      <c r="AH12001" s="10"/>
      <c r="AI12001" s="10"/>
    </row>
    <row r="12002" spans="28:35" ht="15" hidden="1" customHeight="1">
      <c r="AB12002" s="9"/>
      <c r="AC12002" s="9"/>
      <c r="AD12002" s="9"/>
      <c r="AF12002" s="10"/>
      <c r="AG12002" s="10"/>
      <c r="AH12002" s="10"/>
      <c r="AI12002" s="10"/>
    </row>
    <row r="12003" spans="28:35" ht="15" hidden="1" customHeight="1">
      <c r="AB12003" s="9"/>
      <c r="AC12003" s="9"/>
      <c r="AD12003" s="9"/>
      <c r="AF12003" s="10"/>
      <c r="AG12003" s="10"/>
      <c r="AH12003" s="10"/>
      <c r="AI12003" s="10"/>
    </row>
    <row r="12004" spans="28:35" ht="15" hidden="1" customHeight="1">
      <c r="AB12004" s="9"/>
      <c r="AC12004" s="9"/>
      <c r="AD12004" s="9"/>
      <c r="AF12004" s="10"/>
      <c r="AG12004" s="10"/>
      <c r="AH12004" s="10"/>
      <c r="AI12004" s="10"/>
    </row>
    <row r="12005" spans="28:35" ht="15" hidden="1" customHeight="1">
      <c r="AB12005" s="9"/>
      <c r="AC12005" s="9"/>
      <c r="AD12005" s="9"/>
      <c r="AF12005" s="10"/>
      <c r="AG12005" s="10"/>
      <c r="AH12005" s="10"/>
      <c r="AI12005" s="10"/>
    </row>
    <row r="12006" spans="28:35" ht="15" hidden="1" customHeight="1">
      <c r="AB12006" s="9"/>
      <c r="AC12006" s="9"/>
      <c r="AD12006" s="9"/>
      <c r="AF12006" s="10"/>
      <c r="AG12006" s="10"/>
      <c r="AH12006" s="10"/>
      <c r="AI12006" s="10"/>
    </row>
    <row r="12007" spans="28:35" ht="15" hidden="1" customHeight="1">
      <c r="AB12007" s="9"/>
      <c r="AC12007" s="9"/>
      <c r="AD12007" s="9"/>
      <c r="AF12007" s="10"/>
      <c r="AG12007" s="10"/>
      <c r="AH12007" s="10"/>
      <c r="AI12007" s="10"/>
    </row>
    <row r="12008" spans="28:35" ht="15" hidden="1" customHeight="1">
      <c r="AB12008" s="9"/>
      <c r="AC12008" s="9"/>
      <c r="AD12008" s="9"/>
      <c r="AF12008" s="10"/>
      <c r="AG12008" s="10"/>
      <c r="AH12008" s="10"/>
      <c r="AI12008" s="10"/>
    </row>
    <row r="12009" spans="28:35" ht="15" hidden="1" customHeight="1">
      <c r="AB12009" s="9"/>
      <c r="AC12009" s="9"/>
      <c r="AD12009" s="9"/>
      <c r="AF12009" s="10"/>
      <c r="AG12009" s="10"/>
      <c r="AH12009" s="10"/>
      <c r="AI12009" s="10"/>
    </row>
    <row r="12010" spans="28:35" ht="15" hidden="1" customHeight="1">
      <c r="AB12010" s="9"/>
      <c r="AC12010" s="9"/>
      <c r="AD12010" s="9"/>
      <c r="AF12010" s="10"/>
      <c r="AG12010" s="10"/>
      <c r="AH12010" s="10"/>
      <c r="AI12010" s="10"/>
    </row>
    <row r="12011" spans="28:35" ht="15" hidden="1" customHeight="1">
      <c r="AB12011" s="9"/>
      <c r="AC12011" s="9"/>
      <c r="AD12011" s="9"/>
      <c r="AF12011" s="10"/>
      <c r="AG12011" s="10"/>
      <c r="AH12011" s="10"/>
      <c r="AI12011" s="10"/>
    </row>
    <row r="12012" spans="28:35" ht="15" hidden="1" customHeight="1">
      <c r="AB12012" s="9"/>
      <c r="AC12012" s="9"/>
      <c r="AD12012" s="9"/>
      <c r="AF12012" s="10"/>
      <c r="AG12012" s="10"/>
      <c r="AH12012" s="10"/>
      <c r="AI12012" s="10"/>
    </row>
    <row r="12013" spans="28:35" ht="15" hidden="1" customHeight="1">
      <c r="AB12013" s="9"/>
      <c r="AC12013" s="9"/>
      <c r="AD12013" s="9"/>
      <c r="AF12013" s="10"/>
      <c r="AG12013" s="10"/>
      <c r="AH12013" s="10"/>
      <c r="AI12013" s="10"/>
    </row>
    <row r="12014" spans="28:35" ht="15" hidden="1" customHeight="1">
      <c r="AB12014" s="9"/>
      <c r="AC12014" s="9"/>
      <c r="AD12014" s="9"/>
      <c r="AF12014" s="10"/>
      <c r="AG12014" s="10"/>
      <c r="AH12014" s="10"/>
      <c r="AI12014" s="10"/>
    </row>
    <row r="12015" spans="28:35" ht="15" hidden="1" customHeight="1">
      <c r="AB12015" s="9"/>
      <c r="AC12015" s="9"/>
      <c r="AD12015" s="9"/>
      <c r="AF12015" s="10"/>
      <c r="AG12015" s="10"/>
      <c r="AH12015" s="10"/>
      <c r="AI12015" s="10"/>
    </row>
    <row r="12016" spans="28:35" ht="15" hidden="1" customHeight="1">
      <c r="AB12016" s="9"/>
      <c r="AC12016" s="9"/>
      <c r="AD12016" s="9"/>
      <c r="AF12016" s="10"/>
      <c r="AG12016" s="10"/>
      <c r="AH12016" s="10"/>
      <c r="AI12016" s="10"/>
    </row>
    <row r="12017" spans="28:35" ht="15" hidden="1" customHeight="1">
      <c r="AB12017" s="9"/>
      <c r="AC12017" s="9"/>
      <c r="AD12017" s="9"/>
      <c r="AF12017" s="10"/>
      <c r="AG12017" s="10"/>
      <c r="AH12017" s="10"/>
      <c r="AI12017" s="10"/>
    </row>
    <row r="12018" spans="28:35" ht="15" hidden="1" customHeight="1">
      <c r="AB12018" s="9"/>
      <c r="AC12018" s="9"/>
      <c r="AD12018" s="9"/>
      <c r="AF12018" s="10"/>
      <c r="AG12018" s="10"/>
      <c r="AH12018" s="10"/>
      <c r="AI12018" s="10"/>
    </row>
    <row r="12019" spans="28:35" ht="15" hidden="1" customHeight="1">
      <c r="AB12019" s="9"/>
      <c r="AC12019" s="9"/>
      <c r="AD12019" s="9"/>
      <c r="AF12019" s="10"/>
      <c r="AG12019" s="10"/>
      <c r="AH12019" s="10"/>
      <c r="AI12019" s="10"/>
    </row>
    <row r="12020" spans="28:35" ht="15" hidden="1" customHeight="1">
      <c r="AB12020" s="9"/>
      <c r="AC12020" s="9"/>
      <c r="AD12020" s="9"/>
      <c r="AF12020" s="10"/>
      <c r="AG12020" s="10"/>
      <c r="AH12020" s="10"/>
      <c r="AI12020" s="10"/>
    </row>
    <row r="12021" spans="28:35" ht="15" hidden="1" customHeight="1">
      <c r="AB12021" s="9"/>
      <c r="AC12021" s="9"/>
      <c r="AD12021" s="9"/>
      <c r="AF12021" s="10"/>
      <c r="AG12021" s="10"/>
      <c r="AH12021" s="10"/>
      <c r="AI12021" s="10"/>
    </row>
    <row r="12022" spans="28:35" ht="15" hidden="1" customHeight="1">
      <c r="AB12022" s="9"/>
      <c r="AC12022" s="9"/>
      <c r="AD12022" s="9"/>
      <c r="AF12022" s="10"/>
      <c r="AG12022" s="10"/>
      <c r="AH12022" s="10"/>
      <c r="AI12022" s="10"/>
    </row>
    <row r="12023" spans="28:35" ht="15" hidden="1" customHeight="1">
      <c r="AB12023" s="9"/>
      <c r="AC12023" s="9"/>
      <c r="AD12023" s="9"/>
      <c r="AF12023" s="10"/>
      <c r="AG12023" s="10"/>
      <c r="AH12023" s="10"/>
      <c r="AI12023" s="10"/>
    </row>
    <row r="12024" spans="28:35" ht="15" hidden="1" customHeight="1">
      <c r="AB12024" s="9"/>
      <c r="AC12024" s="9"/>
      <c r="AD12024" s="9"/>
      <c r="AF12024" s="10"/>
      <c r="AG12024" s="10"/>
      <c r="AH12024" s="10"/>
      <c r="AI12024" s="10"/>
    </row>
    <row r="12025" spans="28:35" ht="15" hidden="1" customHeight="1">
      <c r="AB12025" s="9"/>
      <c r="AC12025" s="9"/>
      <c r="AD12025" s="9"/>
      <c r="AF12025" s="10"/>
      <c r="AG12025" s="10"/>
      <c r="AH12025" s="10"/>
      <c r="AI12025" s="10"/>
    </row>
    <row r="12026" spans="28:35" ht="15" hidden="1" customHeight="1">
      <c r="AB12026" s="9"/>
      <c r="AC12026" s="9"/>
      <c r="AD12026" s="9"/>
      <c r="AF12026" s="10"/>
      <c r="AG12026" s="10"/>
      <c r="AH12026" s="10"/>
      <c r="AI12026" s="10"/>
    </row>
    <row r="12027" spans="28:35" ht="15" hidden="1" customHeight="1">
      <c r="AB12027" s="9"/>
      <c r="AC12027" s="9"/>
      <c r="AD12027" s="9"/>
      <c r="AF12027" s="10"/>
      <c r="AG12027" s="10"/>
      <c r="AH12027" s="10"/>
      <c r="AI12027" s="10"/>
    </row>
    <row r="12028" spans="28:35" ht="15" hidden="1" customHeight="1">
      <c r="AB12028" s="9"/>
      <c r="AC12028" s="9"/>
      <c r="AD12028" s="9"/>
      <c r="AF12028" s="10"/>
      <c r="AG12028" s="10"/>
      <c r="AH12028" s="10"/>
      <c r="AI12028" s="10"/>
    </row>
    <row r="12029" spans="28:35" ht="15" hidden="1" customHeight="1">
      <c r="AB12029" s="9"/>
      <c r="AC12029" s="9"/>
      <c r="AD12029" s="9"/>
      <c r="AF12029" s="10"/>
      <c r="AG12029" s="10"/>
      <c r="AH12029" s="10"/>
      <c r="AI12029" s="10"/>
    </row>
    <row r="12030" spans="28:35" ht="15" hidden="1" customHeight="1">
      <c r="AB12030" s="9"/>
      <c r="AC12030" s="9"/>
      <c r="AD12030" s="9"/>
      <c r="AF12030" s="10"/>
      <c r="AG12030" s="10"/>
      <c r="AH12030" s="10"/>
      <c r="AI12030" s="10"/>
    </row>
    <row r="12031" spans="28:35" ht="15" hidden="1" customHeight="1">
      <c r="AB12031" s="9"/>
      <c r="AC12031" s="9"/>
      <c r="AD12031" s="9"/>
      <c r="AF12031" s="10"/>
      <c r="AG12031" s="10"/>
      <c r="AH12031" s="10"/>
      <c r="AI12031" s="10"/>
    </row>
    <row r="12032" spans="28:35" ht="15" hidden="1" customHeight="1">
      <c r="AB12032" s="9"/>
      <c r="AC12032" s="9"/>
      <c r="AD12032" s="9"/>
      <c r="AF12032" s="10"/>
      <c r="AG12032" s="10"/>
      <c r="AH12032" s="10"/>
      <c r="AI12032" s="10"/>
    </row>
    <row r="12033" spans="28:35" ht="15" hidden="1" customHeight="1">
      <c r="AB12033" s="9"/>
      <c r="AC12033" s="9"/>
      <c r="AD12033" s="9"/>
      <c r="AF12033" s="10"/>
      <c r="AG12033" s="10"/>
      <c r="AH12033" s="10"/>
      <c r="AI12033" s="10"/>
    </row>
    <row r="12034" spans="28:35" ht="15" hidden="1" customHeight="1">
      <c r="AB12034" s="9"/>
      <c r="AC12034" s="9"/>
      <c r="AD12034" s="9"/>
      <c r="AF12034" s="10"/>
      <c r="AG12034" s="10"/>
      <c r="AH12034" s="10"/>
      <c r="AI12034" s="10"/>
    </row>
    <row r="12035" spans="28:35" ht="15" hidden="1" customHeight="1">
      <c r="AB12035" s="9"/>
      <c r="AC12035" s="9"/>
      <c r="AD12035" s="9"/>
      <c r="AF12035" s="10"/>
      <c r="AG12035" s="10"/>
      <c r="AH12035" s="10"/>
      <c r="AI12035" s="10"/>
    </row>
    <row r="12036" spans="28:35" ht="15" hidden="1" customHeight="1">
      <c r="AB12036" s="9"/>
      <c r="AC12036" s="9"/>
      <c r="AD12036" s="9"/>
      <c r="AF12036" s="10"/>
      <c r="AG12036" s="10"/>
      <c r="AH12036" s="10"/>
      <c r="AI12036" s="10"/>
    </row>
    <row r="12037" spans="28:35" ht="15" hidden="1" customHeight="1">
      <c r="AB12037" s="9"/>
      <c r="AC12037" s="9"/>
      <c r="AD12037" s="9"/>
      <c r="AF12037" s="10"/>
      <c r="AG12037" s="10"/>
      <c r="AH12037" s="10"/>
      <c r="AI12037" s="10"/>
    </row>
    <row r="12038" spans="28:35" ht="15" hidden="1" customHeight="1">
      <c r="AB12038" s="9"/>
      <c r="AC12038" s="9"/>
      <c r="AD12038" s="9"/>
      <c r="AF12038" s="10"/>
      <c r="AG12038" s="10"/>
      <c r="AH12038" s="10"/>
      <c r="AI12038" s="10"/>
    </row>
    <row r="12039" spans="28:35" ht="15" hidden="1" customHeight="1">
      <c r="AB12039" s="9"/>
      <c r="AC12039" s="9"/>
      <c r="AD12039" s="9"/>
      <c r="AF12039" s="10"/>
      <c r="AG12039" s="10"/>
      <c r="AH12039" s="10"/>
      <c r="AI12039" s="10"/>
    </row>
    <row r="12040" spans="28:35" ht="15" hidden="1" customHeight="1">
      <c r="AB12040" s="9"/>
      <c r="AC12040" s="9"/>
      <c r="AD12040" s="9"/>
      <c r="AF12040" s="10"/>
      <c r="AG12040" s="10"/>
      <c r="AH12040" s="10"/>
      <c r="AI12040" s="10"/>
    </row>
    <row r="12041" spans="28:35" ht="15" hidden="1" customHeight="1">
      <c r="AB12041" s="9"/>
      <c r="AC12041" s="9"/>
      <c r="AD12041" s="9"/>
      <c r="AF12041" s="10"/>
      <c r="AG12041" s="10"/>
      <c r="AH12041" s="10"/>
      <c r="AI12041" s="10"/>
    </row>
    <row r="12042" spans="28:35" ht="15" hidden="1" customHeight="1">
      <c r="AB12042" s="9"/>
      <c r="AC12042" s="9"/>
      <c r="AD12042" s="9"/>
      <c r="AF12042" s="10"/>
      <c r="AG12042" s="10"/>
      <c r="AH12042" s="10"/>
      <c r="AI12042" s="10"/>
    </row>
    <row r="12043" spans="28:35" ht="15" hidden="1" customHeight="1">
      <c r="AB12043" s="9"/>
      <c r="AC12043" s="9"/>
      <c r="AD12043" s="9"/>
      <c r="AF12043" s="10"/>
      <c r="AG12043" s="10"/>
      <c r="AH12043" s="10"/>
      <c r="AI12043" s="10"/>
    </row>
    <row r="12044" spans="28:35" ht="15" hidden="1" customHeight="1">
      <c r="AB12044" s="9"/>
      <c r="AC12044" s="9"/>
      <c r="AD12044" s="9"/>
      <c r="AF12044" s="10"/>
      <c r="AG12044" s="10"/>
      <c r="AH12044" s="10"/>
      <c r="AI12044" s="10"/>
    </row>
    <row r="12045" spans="28:35" ht="15" hidden="1" customHeight="1">
      <c r="AB12045" s="9"/>
      <c r="AC12045" s="9"/>
      <c r="AD12045" s="9"/>
      <c r="AF12045" s="10"/>
      <c r="AG12045" s="10"/>
      <c r="AH12045" s="10"/>
      <c r="AI12045" s="10"/>
    </row>
    <row r="12046" spans="28:35" ht="15" hidden="1" customHeight="1">
      <c r="AB12046" s="9"/>
      <c r="AC12046" s="9"/>
      <c r="AD12046" s="9"/>
      <c r="AF12046" s="10"/>
      <c r="AG12046" s="10"/>
      <c r="AH12046" s="10"/>
      <c r="AI12046" s="10"/>
    </row>
    <row r="12047" spans="28:35" ht="15" hidden="1" customHeight="1">
      <c r="AB12047" s="9"/>
      <c r="AC12047" s="9"/>
      <c r="AD12047" s="9"/>
      <c r="AF12047" s="10"/>
      <c r="AG12047" s="10"/>
      <c r="AH12047" s="10"/>
      <c r="AI12047" s="10"/>
    </row>
    <row r="12048" spans="28:35" ht="15" hidden="1" customHeight="1">
      <c r="AB12048" s="9"/>
      <c r="AC12048" s="9"/>
      <c r="AD12048" s="9"/>
      <c r="AF12048" s="10"/>
      <c r="AG12048" s="10"/>
      <c r="AH12048" s="10"/>
      <c r="AI12048" s="10"/>
    </row>
    <row r="12049" spans="28:35" ht="15" hidden="1" customHeight="1">
      <c r="AB12049" s="9"/>
      <c r="AC12049" s="9"/>
      <c r="AD12049" s="9"/>
      <c r="AF12049" s="10"/>
      <c r="AG12049" s="10"/>
      <c r="AH12049" s="10"/>
      <c r="AI12049" s="10"/>
    </row>
    <row r="12050" spans="28:35" ht="15" hidden="1" customHeight="1">
      <c r="AB12050" s="9"/>
      <c r="AC12050" s="9"/>
      <c r="AD12050" s="9"/>
      <c r="AF12050" s="10"/>
      <c r="AG12050" s="10"/>
      <c r="AH12050" s="10"/>
      <c r="AI12050" s="10"/>
    </row>
    <row r="12051" spans="28:35" ht="15" hidden="1" customHeight="1">
      <c r="AB12051" s="9"/>
      <c r="AC12051" s="9"/>
      <c r="AD12051" s="9"/>
      <c r="AF12051" s="10"/>
      <c r="AG12051" s="10"/>
      <c r="AH12051" s="10"/>
      <c r="AI12051" s="10"/>
    </row>
    <row r="12052" spans="28:35" ht="15" hidden="1" customHeight="1">
      <c r="AB12052" s="9"/>
      <c r="AC12052" s="9"/>
      <c r="AD12052" s="9"/>
      <c r="AF12052" s="10"/>
      <c r="AG12052" s="10"/>
      <c r="AH12052" s="10"/>
      <c r="AI12052" s="10"/>
    </row>
    <row r="12053" spans="28:35" ht="15" hidden="1" customHeight="1">
      <c r="AB12053" s="9"/>
      <c r="AC12053" s="9"/>
      <c r="AD12053" s="9"/>
      <c r="AF12053" s="10"/>
      <c r="AG12053" s="10"/>
      <c r="AH12053" s="10"/>
      <c r="AI12053" s="10"/>
    </row>
    <row r="12054" spans="28:35" ht="15" hidden="1" customHeight="1">
      <c r="AB12054" s="9"/>
      <c r="AC12054" s="9"/>
      <c r="AD12054" s="9"/>
      <c r="AF12054" s="10"/>
      <c r="AG12054" s="10"/>
      <c r="AH12054" s="10"/>
      <c r="AI12054" s="10"/>
    </row>
    <row r="12055" spans="28:35" ht="15" hidden="1" customHeight="1">
      <c r="AB12055" s="9"/>
      <c r="AC12055" s="9"/>
      <c r="AD12055" s="9"/>
      <c r="AF12055" s="10"/>
      <c r="AG12055" s="10"/>
      <c r="AH12055" s="10"/>
      <c r="AI12055" s="10"/>
    </row>
    <row r="12056" spans="28:35" ht="15" hidden="1" customHeight="1">
      <c r="AB12056" s="9"/>
      <c r="AC12056" s="9"/>
      <c r="AD12056" s="9"/>
      <c r="AF12056" s="10"/>
      <c r="AG12056" s="10"/>
      <c r="AH12056" s="10"/>
      <c r="AI12056" s="10"/>
    </row>
    <row r="12057" spans="28:35" ht="15" hidden="1" customHeight="1">
      <c r="AB12057" s="9"/>
      <c r="AC12057" s="9"/>
      <c r="AD12057" s="9"/>
      <c r="AF12057" s="10"/>
      <c r="AG12057" s="10"/>
      <c r="AH12057" s="10"/>
      <c r="AI12057" s="10"/>
    </row>
    <row r="12058" spans="28:35" ht="15" hidden="1" customHeight="1">
      <c r="AB12058" s="9"/>
      <c r="AC12058" s="9"/>
      <c r="AD12058" s="9"/>
      <c r="AF12058" s="10"/>
      <c r="AG12058" s="10"/>
      <c r="AH12058" s="10"/>
      <c r="AI12058" s="10"/>
    </row>
    <row r="12059" spans="28:35" ht="15" hidden="1" customHeight="1">
      <c r="AB12059" s="9"/>
      <c r="AC12059" s="9"/>
      <c r="AD12059" s="9"/>
      <c r="AF12059" s="10"/>
      <c r="AG12059" s="10"/>
      <c r="AH12059" s="10"/>
      <c r="AI12059" s="10"/>
    </row>
    <row r="12060" spans="28:35" ht="15" hidden="1" customHeight="1">
      <c r="AB12060" s="9"/>
      <c r="AC12060" s="9"/>
      <c r="AD12060" s="9"/>
      <c r="AF12060" s="10"/>
      <c r="AG12060" s="10"/>
      <c r="AH12060" s="10"/>
      <c r="AI12060" s="10"/>
    </row>
    <row r="12061" spans="28:35" ht="15" hidden="1" customHeight="1">
      <c r="AB12061" s="9"/>
      <c r="AC12061" s="9"/>
      <c r="AD12061" s="9"/>
      <c r="AF12061" s="10"/>
      <c r="AG12061" s="10"/>
      <c r="AH12061" s="10"/>
      <c r="AI12061" s="10"/>
    </row>
    <row r="12062" spans="28:35" ht="15" hidden="1" customHeight="1">
      <c r="AB12062" s="9"/>
      <c r="AC12062" s="9"/>
      <c r="AD12062" s="9"/>
      <c r="AF12062" s="10"/>
      <c r="AG12062" s="10"/>
      <c r="AH12062" s="10"/>
      <c r="AI12062" s="10"/>
    </row>
    <row r="12063" spans="28:35" ht="15" hidden="1" customHeight="1">
      <c r="AB12063" s="9"/>
      <c r="AC12063" s="9"/>
      <c r="AD12063" s="9"/>
      <c r="AF12063" s="10"/>
      <c r="AG12063" s="10"/>
      <c r="AH12063" s="10"/>
      <c r="AI12063" s="10"/>
    </row>
    <row r="12064" spans="28:35" ht="15" hidden="1" customHeight="1">
      <c r="AB12064" s="9"/>
      <c r="AC12064" s="9"/>
      <c r="AD12064" s="9"/>
      <c r="AF12064" s="10"/>
      <c r="AG12064" s="10"/>
      <c r="AH12064" s="10"/>
      <c r="AI12064" s="10"/>
    </row>
    <row r="12065" spans="28:35" ht="15" hidden="1" customHeight="1">
      <c r="AB12065" s="9"/>
      <c r="AC12065" s="9"/>
      <c r="AD12065" s="9"/>
      <c r="AF12065" s="10"/>
      <c r="AG12065" s="10"/>
      <c r="AH12065" s="10"/>
      <c r="AI12065" s="10"/>
    </row>
    <row r="12066" spans="28:35" ht="15" hidden="1" customHeight="1">
      <c r="AB12066" s="9"/>
      <c r="AC12066" s="9"/>
      <c r="AD12066" s="9"/>
      <c r="AF12066" s="10"/>
      <c r="AG12066" s="10"/>
      <c r="AH12066" s="10"/>
      <c r="AI12066" s="10"/>
    </row>
    <row r="12067" spans="28:35" ht="15" hidden="1" customHeight="1">
      <c r="AB12067" s="9"/>
      <c r="AC12067" s="9"/>
      <c r="AD12067" s="9"/>
      <c r="AF12067" s="10"/>
      <c r="AG12067" s="10"/>
      <c r="AH12067" s="10"/>
      <c r="AI12067" s="10"/>
    </row>
    <row r="12068" spans="28:35" ht="15" hidden="1" customHeight="1">
      <c r="AB12068" s="9"/>
      <c r="AC12068" s="9"/>
      <c r="AD12068" s="9"/>
      <c r="AF12068" s="10"/>
      <c r="AG12068" s="10"/>
      <c r="AH12068" s="10"/>
      <c r="AI12068" s="10"/>
    </row>
    <row r="12069" spans="28:35" ht="15" hidden="1" customHeight="1">
      <c r="AB12069" s="9"/>
      <c r="AC12069" s="9"/>
      <c r="AD12069" s="9"/>
      <c r="AF12069" s="10"/>
      <c r="AG12069" s="10"/>
      <c r="AH12069" s="10"/>
      <c r="AI12069" s="10"/>
    </row>
    <row r="12070" spans="28:35" ht="15" hidden="1" customHeight="1">
      <c r="AB12070" s="9"/>
      <c r="AC12070" s="9"/>
      <c r="AD12070" s="9"/>
      <c r="AF12070" s="10"/>
      <c r="AG12070" s="10"/>
      <c r="AH12070" s="10"/>
      <c r="AI12070" s="10"/>
    </row>
    <row r="12071" spans="28:35" ht="15" hidden="1" customHeight="1">
      <c r="AB12071" s="9"/>
      <c r="AC12071" s="9"/>
      <c r="AD12071" s="9"/>
      <c r="AF12071" s="10"/>
      <c r="AG12071" s="10"/>
      <c r="AH12071" s="10"/>
      <c r="AI12071" s="10"/>
    </row>
    <row r="12072" spans="28:35" ht="15" hidden="1" customHeight="1">
      <c r="AB12072" s="9"/>
      <c r="AC12072" s="9"/>
      <c r="AD12072" s="9"/>
      <c r="AF12072" s="10"/>
      <c r="AG12072" s="10"/>
      <c r="AH12072" s="10"/>
      <c r="AI12072" s="10"/>
    </row>
    <row r="12073" spans="28:35" ht="15" hidden="1" customHeight="1">
      <c r="AB12073" s="9"/>
      <c r="AC12073" s="9"/>
      <c r="AD12073" s="9"/>
      <c r="AF12073" s="10"/>
      <c r="AG12073" s="10"/>
      <c r="AH12073" s="10"/>
      <c r="AI12073" s="10"/>
    </row>
    <row r="12074" spans="28:35" ht="15" hidden="1" customHeight="1">
      <c r="AB12074" s="9"/>
      <c r="AC12074" s="9"/>
      <c r="AD12074" s="9"/>
      <c r="AF12074" s="10"/>
      <c r="AG12074" s="10"/>
      <c r="AH12074" s="10"/>
      <c r="AI12074" s="10"/>
    </row>
    <row r="12075" spans="28:35" ht="15" hidden="1" customHeight="1">
      <c r="AB12075" s="9"/>
      <c r="AC12075" s="9"/>
      <c r="AD12075" s="9"/>
      <c r="AF12075" s="10"/>
      <c r="AG12075" s="10"/>
      <c r="AH12075" s="10"/>
      <c r="AI12075" s="10"/>
    </row>
    <row r="12076" spans="28:35" ht="15" hidden="1" customHeight="1">
      <c r="AB12076" s="9"/>
      <c r="AC12076" s="9"/>
      <c r="AD12076" s="9"/>
      <c r="AF12076" s="10"/>
      <c r="AG12076" s="10"/>
      <c r="AH12076" s="10"/>
      <c r="AI12076" s="10"/>
    </row>
    <row r="12077" spans="28:35" ht="15" hidden="1" customHeight="1">
      <c r="AB12077" s="9"/>
      <c r="AC12077" s="9"/>
      <c r="AD12077" s="9"/>
      <c r="AF12077" s="10"/>
      <c r="AG12077" s="10"/>
      <c r="AH12077" s="10"/>
      <c r="AI12077" s="10"/>
    </row>
    <row r="12078" spans="28:35" ht="15" hidden="1" customHeight="1">
      <c r="AB12078" s="9"/>
      <c r="AC12078" s="9"/>
      <c r="AD12078" s="9"/>
      <c r="AF12078" s="10"/>
      <c r="AG12078" s="10"/>
      <c r="AH12078" s="10"/>
      <c r="AI12078" s="10"/>
    </row>
    <row r="12079" spans="28:35" ht="15" hidden="1" customHeight="1">
      <c r="AB12079" s="9"/>
      <c r="AC12079" s="9"/>
      <c r="AD12079" s="9"/>
      <c r="AF12079" s="10"/>
      <c r="AG12079" s="10"/>
      <c r="AH12079" s="10"/>
      <c r="AI12079" s="10"/>
    </row>
    <row r="12080" spans="28:35" ht="15" hidden="1" customHeight="1">
      <c r="AB12080" s="9"/>
      <c r="AC12080" s="9"/>
      <c r="AD12080" s="9"/>
      <c r="AF12080" s="10"/>
      <c r="AG12080" s="10"/>
      <c r="AH12080" s="10"/>
      <c r="AI12080" s="10"/>
    </row>
    <row r="12081" spans="28:35" ht="15" hidden="1" customHeight="1">
      <c r="AB12081" s="9"/>
      <c r="AC12081" s="9"/>
      <c r="AD12081" s="9"/>
      <c r="AF12081" s="10"/>
      <c r="AG12081" s="10"/>
      <c r="AH12081" s="10"/>
      <c r="AI12081" s="10"/>
    </row>
    <row r="12082" spans="28:35" ht="15" hidden="1" customHeight="1">
      <c r="AB12082" s="9"/>
      <c r="AC12082" s="9"/>
      <c r="AD12082" s="9"/>
      <c r="AF12082" s="10"/>
      <c r="AG12082" s="10"/>
      <c r="AH12082" s="10"/>
      <c r="AI12082" s="10"/>
    </row>
    <row r="12083" spans="28:35" ht="15" hidden="1" customHeight="1">
      <c r="AB12083" s="9"/>
      <c r="AC12083" s="9"/>
      <c r="AD12083" s="9"/>
      <c r="AF12083" s="10"/>
      <c r="AG12083" s="10"/>
      <c r="AH12083" s="10"/>
      <c r="AI12083" s="10"/>
    </row>
    <row r="12084" spans="28:35" ht="15" hidden="1" customHeight="1">
      <c r="AB12084" s="9"/>
      <c r="AC12084" s="9"/>
      <c r="AD12084" s="9"/>
      <c r="AF12084" s="10"/>
      <c r="AG12084" s="10"/>
      <c r="AH12084" s="10"/>
      <c r="AI12084" s="10"/>
    </row>
    <row r="12085" spans="28:35" ht="15" hidden="1" customHeight="1">
      <c r="AB12085" s="9"/>
      <c r="AC12085" s="9"/>
      <c r="AD12085" s="9"/>
      <c r="AF12085" s="10"/>
      <c r="AG12085" s="10"/>
      <c r="AH12085" s="10"/>
      <c r="AI12085" s="10"/>
    </row>
    <row r="12086" spans="28:35" ht="15" hidden="1" customHeight="1">
      <c r="AB12086" s="9"/>
      <c r="AC12086" s="9"/>
      <c r="AD12086" s="9"/>
      <c r="AF12086" s="10"/>
      <c r="AG12086" s="10"/>
      <c r="AH12086" s="10"/>
      <c r="AI12086" s="10"/>
    </row>
    <row r="12087" spans="28:35" ht="15" hidden="1" customHeight="1">
      <c r="AB12087" s="9"/>
      <c r="AC12087" s="9"/>
      <c r="AD12087" s="9"/>
      <c r="AF12087" s="10"/>
      <c r="AG12087" s="10"/>
      <c r="AH12087" s="10"/>
      <c r="AI12087" s="10"/>
    </row>
    <row r="12088" spans="28:35" ht="15" hidden="1" customHeight="1">
      <c r="AB12088" s="9"/>
      <c r="AC12088" s="9"/>
      <c r="AD12088" s="9"/>
      <c r="AF12088" s="10"/>
      <c r="AG12088" s="10"/>
      <c r="AH12088" s="10"/>
      <c r="AI12088" s="10"/>
    </row>
    <row r="12089" spans="28:35" ht="15" hidden="1" customHeight="1">
      <c r="AB12089" s="9"/>
      <c r="AC12089" s="9"/>
      <c r="AD12089" s="9"/>
      <c r="AF12089" s="10"/>
      <c r="AG12089" s="10"/>
      <c r="AH12089" s="10"/>
      <c r="AI12089" s="10"/>
    </row>
    <row r="12090" spans="28:35" ht="15" hidden="1" customHeight="1">
      <c r="AB12090" s="9"/>
      <c r="AC12090" s="9"/>
      <c r="AD12090" s="9"/>
      <c r="AF12090" s="10"/>
      <c r="AG12090" s="10"/>
      <c r="AH12090" s="10"/>
      <c r="AI12090" s="10"/>
    </row>
    <row r="12091" spans="28:35" ht="15" hidden="1" customHeight="1">
      <c r="AB12091" s="9"/>
      <c r="AC12091" s="9"/>
      <c r="AD12091" s="9"/>
      <c r="AF12091" s="10"/>
      <c r="AG12091" s="10"/>
      <c r="AH12091" s="10"/>
      <c r="AI12091" s="10"/>
    </row>
    <row r="12092" spans="28:35" ht="15" hidden="1" customHeight="1">
      <c r="AB12092" s="9"/>
      <c r="AC12092" s="9"/>
      <c r="AD12092" s="9"/>
      <c r="AF12092" s="10"/>
      <c r="AG12092" s="10"/>
      <c r="AH12092" s="10"/>
      <c r="AI12092" s="10"/>
    </row>
    <row r="12093" spans="28:35" ht="15" hidden="1" customHeight="1">
      <c r="AB12093" s="9"/>
      <c r="AC12093" s="9"/>
      <c r="AD12093" s="9"/>
      <c r="AF12093" s="10"/>
      <c r="AG12093" s="10"/>
      <c r="AH12093" s="10"/>
      <c r="AI12093" s="10"/>
    </row>
    <row r="12094" spans="28:35" ht="15" hidden="1" customHeight="1">
      <c r="AB12094" s="9"/>
      <c r="AC12094" s="9"/>
      <c r="AD12094" s="9"/>
      <c r="AF12094" s="10"/>
      <c r="AG12094" s="10"/>
      <c r="AH12094" s="10"/>
      <c r="AI12094" s="10"/>
    </row>
    <row r="12095" spans="28:35" ht="15" hidden="1" customHeight="1">
      <c r="AB12095" s="9"/>
      <c r="AC12095" s="9"/>
      <c r="AD12095" s="9"/>
      <c r="AF12095" s="10"/>
      <c r="AG12095" s="10"/>
      <c r="AH12095" s="10"/>
      <c r="AI12095" s="10"/>
    </row>
    <row r="12096" spans="28:35" ht="15" hidden="1" customHeight="1">
      <c r="AB12096" s="9"/>
      <c r="AC12096" s="9"/>
      <c r="AD12096" s="9"/>
      <c r="AF12096" s="10"/>
      <c r="AG12096" s="10"/>
      <c r="AH12096" s="10"/>
      <c r="AI12096" s="10"/>
    </row>
    <row r="12097" spans="28:35" ht="15" hidden="1" customHeight="1">
      <c r="AB12097" s="9"/>
      <c r="AC12097" s="9"/>
      <c r="AD12097" s="9"/>
      <c r="AF12097" s="10"/>
      <c r="AG12097" s="10"/>
      <c r="AH12097" s="10"/>
      <c r="AI12097" s="10"/>
    </row>
    <row r="12098" spans="28:35" ht="15" hidden="1" customHeight="1">
      <c r="AB12098" s="9"/>
      <c r="AC12098" s="9"/>
      <c r="AD12098" s="9"/>
      <c r="AF12098" s="10"/>
      <c r="AG12098" s="10"/>
      <c r="AH12098" s="10"/>
      <c r="AI12098" s="10"/>
    </row>
    <row r="12099" spans="28:35" ht="15" hidden="1" customHeight="1">
      <c r="AB12099" s="9"/>
      <c r="AC12099" s="9"/>
      <c r="AD12099" s="9"/>
      <c r="AF12099" s="10"/>
      <c r="AG12099" s="10"/>
      <c r="AH12099" s="10"/>
      <c r="AI12099" s="10"/>
    </row>
    <row r="12100" spans="28:35" ht="15" hidden="1" customHeight="1">
      <c r="AB12100" s="9"/>
      <c r="AC12100" s="9"/>
      <c r="AD12100" s="9"/>
      <c r="AF12100" s="10"/>
      <c r="AG12100" s="10"/>
      <c r="AH12100" s="10"/>
      <c r="AI12100" s="10"/>
    </row>
    <row r="12101" spans="28:35" ht="15" hidden="1" customHeight="1">
      <c r="AB12101" s="9"/>
      <c r="AC12101" s="9"/>
      <c r="AD12101" s="9"/>
      <c r="AF12101" s="10"/>
      <c r="AG12101" s="10"/>
      <c r="AH12101" s="10"/>
      <c r="AI12101" s="10"/>
    </row>
    <row r="12102" spans="28:35" ht="15" hidden="1" customHeight="1">
      <c r="AB12102" s="9"/>
      <c r="AC12102" s="9"/>
      <c r="AD12102" s="9"/>
      <c r="AF12102" s="10"/>
      <c r="AG12102" s="10"/>
      <c r="AH12102" s="10"/>
      <c r="AI12102" s="10"/>
    </row>
    <row r="12103" spans="28:35" ht="15" hidden="1" customHeight="1">
      <c r="AB12103" s="9"/>
      <c r="AC12103" s="9"/>
      <c r="AD12103" s="9"/>
      <c r="AF12103" s="10"/>
      <c r="AG12103" s="10"/>
      <c r="AH12103" s="10"/>
      <c r="AI12103" s="10"/>
    </row>
    <row r="12104" spans="28:35" ht="15" hidden="1" customHeight="1">
      <c r="AB12104" s="9"/>
      <c r="AC12104" s="9"/>
      <c r="AD12104" s="9"/>
      <c r="AF12104" s="10"/>
      <c r="AG12104" s="10"/>
      <c r="AH12104" s="10"/>
      <c r="AI12104" s="10"/>
    </row>
    <row r="12105" spans="28:35" ht="15" hidden="1" customHeight="1">
      <c r="AB12105" s="9"/>
      <c r="AC12105" s="9"/>
      <c r="AD12105" s="9"/>
      <c r="AF12105" s="10"/>
      <c r="AG12105" s="10"/>
      <c r="AH12105" s="10"/>
      <c r="AI12105" s="10"/>
    </row>
    <row r="12106" spans="28:35" ht="15" hidden="1" customHeight="1">
      <c r="AB12106" s="9"/>
      <c r="AC12106" s="9"/>
      <c r="AD12106" s="9"/>
      <c r="AF12106" s="10"/>
      <c r="AG12106" s="10"/>
      <c r="AH12106" s="10"/>
      <c r="AI12106" s="10"/>
    </row>
    <row r="12107" spans="28:35" ht="15" hidden="1" customHeight="1">
      <c r="AB12107" s="9"/>
      <c r="AC12107" s="9"/>
      <c r="AD12107" s="9"/>
      <c r="AF12107" s="10"/>
      <c r="AG12107" s="10"/>
      <c r="AH12107" s="10"/>
      <c r="AI12107" s="10"/>
    </row>
    <row r="12108" spans="28:35" ht="15" hidden="1" customHeight="1">
      <c r="AB12108" s="9"/>
      <c r="AC12108" s="9"/>
      <c r="AD12108" s="9"/>
      <c r="AF12108" s="10"/>
      <c r="AG12108" s="10"/>
      <c r="AH12108" s="10"/>
      <c r="AI12108" s="10"/>
    </row>
    <row r="12109" spans="28:35" ht="15" hidden="1" customHeight="1">
      <c r="AB12109" s="9"/>
      <c r="AC12109" s="9"/>
      <c r="AD12109" s="9"/>
      <c r="AF12109" s="10"/>
      <c r="AG12109" s="10"/>
      <c r="AH12109" s="10"/>
      <c r="AI12109" s="10"/>
    </row>
    <row r="12110" spans="28:35" ht="15" hidden="1" customHeight="1">
      <c r="AB12110" s="9"/>
      <c r="AC12110" s="9"/>
      <c r="AD12110" s="9"/>
      <c r="AF12110" s="10"/>
      <c r="AG12110" s="10"/>
      <c r="AH12110" s="10"/>
      <c r="AI12110" s="10"/>
    </row>
    <row r="12111" spans="28:35" ht="15" hidden="1" customHeight="1">
      <c r="AB12111" s="9"/>
      <c r="AC12111" s="9"/>
      <c r="AD12111" s="9"/>
      <c r="AF12111" s="10"/>
      <c r="AG12111" s="10"/>
      <c r="AH12111" s="10"/>
      <c r="AI12111" s="10"/>
    </row>
    <row r="12112" spans="28:35" ht="15" hidden="1" customHeight="1">
      <c r="AB12112" s="9"/>
      <c r="AC12112" s="9"/>
      <c r="AD12112" s="9"/>
      <c r="AF12112" s="10"/>
      <c r="AG12112" s="10"/>
      <c r="AH12112" s="10"/>
      <c r="AI12112" s="10"/>
    </row>
    <row r="12113" spans="28:35" ht="15" hidden="1" customHeight="1">
      <c r="AB12113" s="9"/>
      <c r="AC12113" s="9"/>
      <c r="AD12113" s="9"/>
      <c r="AF12113" s="10"/>
      <c r="AG12113" s="10"/>
      <c r="AH12113" s="10"/>
      <c r="AI12113" s="10"/>
    </row>
    <row r="12114" spans="28:35" ht="15" hidden="1" customHeight="1">
      <c r="AB12114" s="9"/>
      <c r="AC12114" s="9"/>
      <c r="AD12114" s="9"/>
      <c r="AF12114" s="10"/>
      <c r="AG12114" s="10"/>
      <c r="AH12114" s="10"/>
      <c r="AI12114" s="10"/>
    </row>
    <row r="12115" spans="28:35" ht="15" hidden="1" customHeight="1">
      <c r="AB12115" s="9"/>
      <c r="AC12115" s="9"/>
      <c r="AD12115" s="9"/>
      <c r="AF12115" s="10"/>
      <c r="AG12115" s="10"/>
      <c r="AH12115" s="10"/>
      <c r="AI12115" s="10"/>
    </row>
    <row r="12116" spans="28:35" ht="15" hidden="1" customHeight="1">
      <c r="AB12116" s="9"/>
      <c r="AC12116" s="9"/>
      <c r="AD12116" s="9"/>
      <c r="AF12116" s="10"/>
      <c r="AG12116" s="10"/>
      <c r="AH12116" s="10"/>
      <c r="AI12116" s="10"/>
    </row>
    <row r="12117" spans="28:35" ht="15" hidden="1" customHeight="1">
      <c r="AB12117" s="9"/>
      <c r="AC12117" s="9"/>
      <c r="AD12117" s="9"/>
      <c r="AF12117" s="10"/>
      <c r="AG12117" s="10"/>
      <c r="AH12117" s="10"/>
      <c r="AI12117" s="10"/>
    </row>
    <row r="12118" spans="28:35" ht="15" hidden="1" customHeight="1">
      <c r="AB12118" s="9"/>
      <c r="AC12118" s="9"/>
      <c r="AD12118" s="9"/>
      <c r="AF12118" s="10"/>
      <c r="AG12118" s="10"/>
      <c r="AH12118" s="10"/>
      <c r="AI12118" s="10"/>
    </row>
    <row r="12119" spans="28:35" ht="15" hidden="1" customHeight="1">
      <c r="AB12119" s="9"/>
      <c r="AC12119" s="9"/>
      <c r="AD12119" s="9"/>
      <c r="AF12119" s="10"/>
      <c r="AG12119" s="10"/>
      <c r="AH12119" s="10"/>
      <c r="AI12119" s="10"/>
    </row>
    <row r="12120" spans="28:35" ht="15" hidden="1" customHeight="1">
      <c r="AB12120" s="9"/>
      <c r="AC12120" s="9"/>
      <c r="AD12120" s="9"/>
      <c r="AF12120" s="10"/>
      <c r="AG12120" s="10"/>
      <c r="AH12120" s="10"/>
      <c r="AI12120" s="10"/>
    </row>
    <row r="12121" spans="28:35" ht="15" hidden="1" customHeight="1">
      <c r="AB12121" s="9"/>
      <c r="AC12121" s="9"/>
      <c r="AD12121" s="9"/>
      <c r="AF12121" s="10"/>
      <c r="AG12121" s="10"/>
      <c r="AH12121" s="10"/>
      <c r="AI12121" s="10"/>
    </row>
    <row r="12122" spans="28:35" ht="15" hidden="1" customHeight="1">
      <c r="AB12122" s="9"/>
      <c r="AC12122" s="9"/>
      <c r="AD12122" s="9"/>
      <c r="AF12122" s="10"/>
      <c r="AG12122" s="10"/>
      <c r="AH12122" s="10"/>
      <c r="AI12122" s="10"/>
    </row>
    <row r="12123" spans="28:35" ht="15" hidden="1" customHeight="1">
      <c r="AB12123" s="9"/>
      <c r="AC12123" s="9"/>
      <c r="AD12123" s="9"/>
      <c r="AF12123" s="10"/>
      <c r="AG12123" s="10"/>
      <c r="AH12123" s="10"/>
      <c r="AI12123" s="10"/>
    </row>
    <row r="12124" spans="28:35" ht="15" hidden="1" customHeight="1">
      <c r="AB12124" s="9"/>
      <c r="AC12124" s="9"/>
      <c r="AD12124" s="9"/>
      <c r="AF12124" s="10"/>
      <c r="AG12124" s="10"/>
      <c r="AH12124" s="10"/>
      <c r="AI12124" s="10"/>
    </row>
    <row r="12125" spans="28:35" ht="15" hidden="1" customHeight="1">
      <c r="AB12125" s="9"/>
      <c r="AC12125" s="9"/>
      <c r="AD12125" s="9"/>
      <c r="AF12125" s="10"/>
      <c r="AG12125" s="10"/>
      <c r="AH12125" s="10"/>
      <c r="AI12125" s="10"/>
    </row>
    <row r="12126" spans="28:35" ht="15" hidden="1" customHeight="1">
      <c r="AB12126" s="9"/>
      <c r="AC12126" s="9"/>
      <c r="AD12126" s="9"/>
      <c r="AF12126" s="10"/>
      <c r="AG12126" s="10"/>
      <c r="AH12126" s="10"/>
      <c r="AI12126" s="10"/>
    </row>
    <row r="12127" spans="28:35" ht="15" hidden="1" customHeight="1">
      <c r="AB12127" s="9"/>
      <c r="AC12127" s="9"/>
      <c r="AD12127" s="9"/>
      <c r="AF12127" s="10"/>
      <c r="AG12127" s="10"/>
      <c r="AH12127" s="10"/>
      <c r="AI12127" s="10"/>
    </row>
    <row r="12128" spans="28:35" ht="15" hidden="1" customHeight="1">
      <c r="AB12128" s="9"/>
      <c r="AC12128" s="9"/>
      <c r="AD12128" s="9"/>
      <c r="AF12128" s="10"/>
      <c r="AG12128" s="10"/>
      <c r="AH12128" s="10"/>
      <c r="AI12128" s="10"/>
    </row>
    <row r="12129" spans="28:35" ht="15" hidden="1" customHeight="1">
      <c r="AB12129" s="9"/>
      <c r="AC12129" s="9"/>
      <c r="AD12129" s="9"/>
      <c r="AF12129" s="10"/>
      <c r="AG12129" s="10"/>
      <c r="AH12129" s="10"/>
      <c r="AI12129" s="10"/>
    </row>
    <row r="12130" spans="28:35" ht="15" hidden="1" customHeight="1">
      <c r="AB12130" s="9"/>
      <c r="AC12130" s="9"/>
      <c r="AD12130" s="9"/>
      <c r="AF12130" s="10"/>
      <c r="AG12130" s="10"/>
      <c r="AH12130" s="10"/>
      <c r="AI12130" s="10"/>
    </row>
    <row r="12131" spans="28:35" ht="15" hidden="1" customHeight="1">
      <c r="AB12131" s="9"/>
      <c r="AC12131" s="9"/>
      <c r="AD12131" s="9"/>
      <c r="AF12131" s="10"/>
      <c r="AG12131" s="10"/>
      <c r="AH12131" s="10"/>
      <c r="AI12131" s="10"/>
    </row>
    <row r="12132" spans="28:35" ht="15" hidden="1" customHeight="1">
      <c r="AB12132" s="9"/>
      <c r="AC12132" s="9"/>
      <c r="AD12132" s="9"/>
      <c r="AF12132" s="10"/>
      <c r="AG12132" s="10"/>
      <c r="AH12132" s="10"/>
      <c r="AI12132" s="10"/>
    </row>
    <row r="12133" spans="28:35" ht="15" hidden="1" customHeight="1">
      <c r="AB12133" s="9"/>
      <c r="AC12133" s="9"/>
      <c r="AD12133" s="9"/>
      <c r="AF12133" s="10"/>
      <c r="AG12133" s="10"/>
      <c r="AH12133" s="10"/>
      <c r="AI12133" s="10"/>
    </row>
    <row r="12134" spans="28:35" ht="15" hidden="1" customHeight="1">
      <c r="AB12134" s="9"/>
      <c r="AC12134" s="9"/>
      <c r="AD12134" s="9"/>
      <c r="AF12134" s="10"/>
      <c r="AG12134" s="10"/>
      <c r="AH12134" s="10"/>
      <c r="AI12134" s="10"/>
    </row>
    <row r="12135" spans="28:35" ht="15" hidden="1" customHeight="1">
      <c r="AB12135" s="9"/>
      <c r="AC12135" s="9"/>
      <c r="AD12135" s="9"/>
      <c r="AF12135" s="10"/>
      <c r="AG12135" s="10"/>
      <c r="AH12135" s="10"/>
      <c r="AI12135" s="10"/>
    </row>
    <row r="12136" spans="28:35" ht="15" hidden="1" customHeight="1">
      <c r="AB12136" s="9"/>
      <c r="AC12136" s="9"/>
      <c r="AD12136" s="9"/>
      <c r="AF12136" s="10"/>
      <c r="AG12136" s="10"/>
      <c r="AH12136" s="10"/>
      <c r="AI12136" s="10"/>
    </row>
    <row r="12137" spans="28:35" ht="15" hidden="1" customHeight="1">
      <c r="AB12137" s="9"/>
      <c r="AC12137" s="9"/>
      <c r="AD12137" s="9"/>
      <c r="AF12137" s="10"/>
      <c r="AG12137" s="10"/>
      <c r="AH12137" s="10"/>
      <c r="AI12137" s="10"/>
    </row>
    <row r="12138" spans="28:35" ht="15" hidden="1" customHeight="1">
      <c r="AB12138" s="9"/>
      <c r="AC12138" s="9"/>
      <c r="AD12138" s="9"/>
      <c r="AF12138" s="10"/>
      <c r="AG12138" s="10"/>
      <c r="AH12138" s="10"/>
      <c r="AI12138" s="10"/>
    </row>
    <row r="12139" spans="28:35" ht="15" hidden="1" customHeight="1">
      <c r="AB12139" s="9"/>
      <c r="AC12139" s="9"/>
      <c r="AD12139" s="9"/>
      <c r="AF12139" s="10"/>
      <c r="AG12139" s="10"/>
      <c r="AH12139" s="10"/>
      <c r="AI12139" s="10"/>
    </row>
    <row r="12140" spans="28:35" ht="15" hidden="1" customHeight="1">
      <c r="AB12140" s="9"/>
      <c r="AC12140" s="9"/>
      <c r="AD12140" s="9"/>
      <c r="AF12140" s="10"/>
      <c r="AG12140" s="10"/>
      <c r="AH12140" s="10"/>
      <c r="AI12140" s="10"/>
    </row>
    <row r="12141" spans="28:35" ht="15" hidden="1" customHeight="1">
      <c r="AB12141" s="9"/>
      <c r="AC12141" s="9"/>
      <c r="AD12141" s="9"/>
      <c r="AF12141" s="10"/>
      <c r="AG12141" s="10"/>
      <c r="AH12141" s="10"/>
      <c r="AI12141" s="10"/>
    </row>
    <row r="12142" spans="28:35" ht="15" hidden="1" customHeight="1">
      <c r="AB12142" s="9"/>
      <c r="AC12142" s="9"/>
      <c r="AD12142" s="9"/>
      <c r="AF12142" s="10"/>
      <c r="AG12142" s="10"/>
      <c r="AH12142" s="10"/>
      <c r="AI12142" s="10"/>
    </row>
    <row r="12143" spans="28:35" ht="15" hidden="1" customHeight="1">
      <c r="AB12143" s="9"/>
      <c r="AC12143" s="9"/>
      <c r="AD12143" s="9"/>
      <c r="AF12143" s="10"/>
      <c r="AG12143" s="10"/>
      <c r="AH12143" s="10"/>
      <c r="AI12143" s="10"/>
    </row>
    <row r="12144" spans="28:35" ht="15" hidden="1" customHeight="1">
      <c r="AB12144" s="9"/>
      <c r="AC12144" s="9"/>
      <c r="AD12144" s="9"/>
      <c r="AF12144" s="10"/>
      <c r="AG12144" s="10"/>
      <c r="AH12144" s="10"/>
      <c r="AI12144" s="10"/>
    </row>
    <row r="12145" spans="28:35" ht="15" hidden="1" customHeight="1">
      <c r="AB12145" s="9"/>
      <c r="AC12145" s="9"/>
      <c r="AD12145" s="9"/>
      <c r="AF12145" s="10"/>
      <c r="AG12145" s="10"/>
      <c r="AH12145" s="10"/>
      <c r="AI12145" s="10"/>
    </row>
    <row r="12146" spans="28:35" ht="15" hidden="1" customHeight="1">
      <c r="AB12146" s="9"/>
      <c r="AC12146" s="9"/>
      <c r="AD12146" s="9"/>
      <c r="AF12146" s="10"/>
      <c r="AG12146" s="10"/>
      <c r="AH12146" s="10"/>
      <c r="AI12146" s="10"/>
    </row>
    <row r="12147" spans="28:35" ht="15" hidden="1" customHeight="1">
      <c r="AB12147" s="9"/>
      <c r="AC12147" s="9"/>
      <c r="AD12147" s="9"/>
      <c r="AF12147" s="10"/>
      <c r="AG12147" s="10"/>
      <c r="AH12147" s="10"/>
      <c r="AI12147" s="10"/>
    </row>
    <row r="12148" spans="28:35" ht="15" hidden="1" customHeight="1">
      <c r="AB12148" s="9"/>
      <c r="AC12148" s="9"/>
      <c r="AD12148" s="9"/>
      <c r="AF12148" s="10"/>
      <c r="AG12148" s="10"/>
      <c r="AH12148" s="10"/>
      <c r="AI12148" s="10"/>
    </row>
    <row r="12149" spans="28:35" ht="15" hidden="1" customHeight="1">
      <c r="AB12149" s="9"/>
      <c r="AC12149" s="9"/>
      <c r="AD12149" s="9"/>
      <c r="AF12149" s="10"/>
      <c r="AG12149" s="10"/>
      <c r="AH12149" s="10"/>
      <c r="AI12149" s="10"/>
    </row>
    <row r="12150" spans="28:35" ht="15" hidden="1" customHeight="1">
      <c r="AB12150" s="9"/>
      <c r="AC12150" s="9"/>
      <c r="AD12150" s="9"/>
      <c r="AF12150" s="10"/>
      <c r="AG12150" s="10"/>
      <c r="AH12150" s="10"/>
      <c r="AI12150" s="10"/>
    </row>
    <row r="12151" spans="28:35" ht="15" hidden="1" customHeight="1">
      <c r="AB12151" s="9"/>
      <c r="AC12151" s="9"/>
      <c r="AD12151" s="9"/>
      <c r="AF12151" s="10"/>
      <c r="AG12151" s="10"/>
      <c r="AH12151" s="10"/>
      <c r="AI12151" s="10"/>
    </row>
    <row r="12152" spans="28:35" ht="15" hidden="1" customHeight="1">
      <c r="AB12152" s="9"/>
      <c r="AC12152" s="9"/>
      <c r="AD12152" s="9"/>
      <c r="AF12152" s="10"/>
      <c r="AG12152" s="10"/>
      <c r="AH12152" s="10"/>
      <c r="AI12152" s="10"/>
    </row>
    <row r="12153" spans="28:35" ht="15" hidden="1" customHeight="1">
      <c r="AB12153" s="9"/>
      <c r="AC12153" s="9"/>
      <c r="AD12153" s="9"/>
      <c r="AF12153" s="10"/>
      <c r="AG12153" s="10"/>
      <c r="AH12153" s="10"/>
      <c r="AI12153" s="10"/>
    </row>
    <row r="12154" spans="28:35" ht="15" hidden="1" customHeight="1">
      <c r="AB12154" s="9"/>
      <c r="AC12154" s="9"/>
      <c r="AD12154" s="9"/>
      <c r="AF12154" s="10"/>
      <c r="AG12154" s="10"/>
      <c r="AH12154" s="10"/>
      <c r="AI12154" s="10"/>
    </row>
    <row r="12155" spans="28:35" ht="15" hidden="1" customHeight="1">
      <c r="AB12155" s="9"/>
      <c r="AC12155" s="9"/>
      <c r="AD12155" s="9"/>
      <c r="AF12155" s="10"/>
      <c r="AG12155" s="10"/>
      <c r="AH12155" s="10"/>
      <c r="AI12155" s="10"/>
    </row>
    <row r="12156" spans="28:35" ht="15" hidden="1" customHeight="1">
      <c r="AB12156" s="9"/>
      <c r="AC12156" s="9"/>
      <c r="AD12156" s="9"/>
      <c r="AF12156" s="10"/>
      <c r="AG12156" s="10"/>
      <c r="AH12156" s="10"/>
      <c r="AI12156" s="10"/>
    </row>
    <row r="12157" spans="28:35" ht="15" hidden="1" customHeight="1">
      <c r="AB12157" s="9"/>
      <c r="AC12157" s="9"/>
      <c r="AD12157" s="9"/>
      <c r="AF12157" s="10"/>
      <c r="AG12157" s="10"/>
      <c r="AH12157" s="10"/>
      <c r="AI12157" s="10"/>
    </row>
    <row r="12158" spans="28:35" ht="15" hidden="1" customHeight="1">
      <c r="AB12158" s="9"/>
      <c r="AC12158" s="9"/>
      <c r="AD12158" s="9"/>
      <c r="AF12158" s="10"/>
      <c r="AG12158" s="10"/>
      <c r="AH12158" s="10"/>
      <c r="AI12158" s="10"/>
    </row>
    <row r="12159" spans="28:35" ht="15" hidden="1" customHeight="1">
      <c r="AB12159" s="9"/>
      <c r="AC12159" s="9"/>
      <c r="AD12159" s="9"/>
      <c r="AF12159" s="10"/>
      <c r="AG12159" s="10"/>
      <c r="AH12159" s="10"/>
      <c r="AI12159" s="10"/>
    </row>
    <row r="12160" spans="28:35" ht="15" hidden="1" customHeight="1">
      <c r="AB12160" s="9"/>
      <c r="AC12160" s="9"/>
      <c r="AD12160" s="9"/>
      <c r="AF12160" s="10"/>
      <c r="AG12160" s="10"/>
      <c r="AH12160" s="10"/>
      <c r="AI12160" s="10"/>
    </row>
    <row r="12161" spans="28:35" ht="15" hidden="1" customHeight="1">
      <c r="AB12161" s="9"/>
      <c r="AC12161" s="9"/>
      <c r="AD12161" s="9"/>
      <c r="AF12161" s="10"/>
      <c r="AG12161" s="10"/>
      <c r="AH12161" s="10"/>
      <c r="AI12161" s="10"/>
    </row>
    <row r="12162" spans="28:35" ht="15" hidden="1" customHeight="1">
      <c r="AB12162" s="9"/>
      <c r="AC12162" s="9"/>
      <c r="AD12162" s="9"/>
      <c r="AF12162" s="10"/>
      <c r="AG12162" s="10"/>
      <c r="AH12162" s="10"/>
      <c r="AI12162" s="10"/>
    </row>
    <row r="12163" spans="28:35" ht="15" hidden="1" customHeight="1">
      <c r="AB12163" s="9"/>
      <c r="AC12163" s="9"/>
      <c r="AD12163" s="9"/>
      <c r="AF12163" s="10"/>
      <c r="AG12163" s="10"/>
      <c r="AH12163" s="10"/>
      <c r="AI12163" s="10"/>
    </row>
    <row r="12164" spans="28:35" ht="15" hidden="1" customHeight="1">
      <c r="AB12164" s="9"/>
      <c r="AC12164" s="9"/>
      <c r="AD12164" s="9"/>
      <c r="AF12164" s="10"/>
      <c r="AG12164" s="10"/>
      <c r="AH12164" s="10"/>
      <c r="AI12164" s="10"/>
    </row>
    <row r="12165" spans="28:35" ht="15" hidden="1" customHeight="1">
      <c r="AB12165" s="9"/>
      <c r="AC12165" s="9"/>
      <c r="AD12165" s="9"/>
      <c r="AF12165" s="10"/>
      <c r="AG12165" s="10"/>
      <c r="AH12165" s="10"/>
      <c r="AI12165" s="10"/>
    </row>
    <row r="12166" spans="28:35" ht="15" hidden="1" customHeight="1">
      <c r="AB12166" s="9"/>
      <c r="AC12166" s="9"/>
      <c r="AD12166" s="9"/>
      <c r="AF12166" s="10"/>
      <c r="AG12166" s="10"/>
      <c r="AH12166" s="10"/>
      <c r="AI12166" s="10"/>
    </row>
    <row r="12167" spans="28:35" ht="15" hidden="1" customHeight="1">
      <c r="AB12167" s="9"/>
      <c r="AC12167" s="9"/>
      <c r="AD12167" s="9"/>
      <c r="AF12167" s="10"/>
      <c r="AG12167" s="10"/>
      <c r="AH12167" s="10"/>
      <c r="AI12167" s="10"/>
    </row>
    <row r="12168" spans="28:35" ht="15" hidden="1" customHeight="1">
      <c r="AB12168" s="9"/>
      <c r="AC12168" s="9"/>
      <c r="AD12168" s="9"/>
      <c r="AF12168" s="10"/>
      <c r="AG12168" s="10"/>
      <c r="AH12168" s="10"/>
      <c r="AI12168" s="10"/>
    </row>
    <row r="12169" spans="28:35" ht="15" hidden="1" customHeight="1">
      <c r="AB12169" s="9"/>
      <c r="AC12169" s="9"/>
      <c r="AD12169" s="9"/>
      <c r="AF12169" s="10"/>
      <c r="AG12169" s="10"/>
      <c r="AH12169" s="10"/>
      <c r="AI12169" s="10"/>
    </row>
    <row r="12170" spans="28:35" ht="15" hidden="1" customHeight="1">
      <c r="AB12170" s="9"/>
      <c r="AC12170" s="9"/>
      <c r="AD12170" s="9"/>
      <c r="AF12170" s="10"/>
      <c r="AG12170" s="10"/>
      <c r="AH12170" s="10"/>
      <c r="AI12170" s="10"/>
    </row>
    <row r="12171" spans="28:35" ht="15" hidden="1" customHeight="1">
      <c r="AB12171" s="9"/>
      <c r="AC12171" s="9"/>
      <c r="AD12171" s="9"/>
      <c r="AF12171" s="10"/>
      <c r="AG12171" s="10"/>
      <c r="AH12171" s="10"/>
      <c r="AI12171" s="10"/>
    </row>
    <row r="12172" spans="28:35" ht="15" hidden="1" customHeight="1">
      <c r="AB12172" s="9"/>
      <c r="AC12172" s="9"/>
      <c r="AD12172" s="9"/>
      <c r="AF12172" s="10"/>
      <c r="AG12172" s="10"/>
      <c r="AH12172" s="10"/>
      <c r="AI12172" s="10"/>
    </row>
    <row r="12173" spans="28:35" ht="15" hidden="1" customHeight="1">
      <c r="AB12173" s="9"/>
      <c r="AC12173" s="9"/>
      <c r="AD12173" s="9"/>
      <c r="AF12173" s="10"/>
      <c r="AG12173" s="10"/>
      <c r="AH12173" s="10"/>
      <c r="AI12173" s="10"/>
    </row>
    <row r="12174" spans="28:35" ht="15" hidden="1" customHeight="1">
      <c r="AB12174" s="9"/>
      <c r="AC12174" s="9"/>
      <c r="AD12174" s="9"/>
      <c r="AF12174" s="10"/>
      <c r="AG12174" s="10"/>
      <c r="AH12174" s="10"/>
      <c r="AI12174" s="10"/>
    </row>
    <row r="12175" spans="28:35" ht="15" hidden="1" customHeight="1">
      <c r="AB12175" s="9"/>
      <c r="AC12175" s="9"/>
      <c r="AD12175" s="9"/>
      <c r="AF12175" s="10"/>
      <c r="AG12175" s="10"/>
      <c r="AH12175" s="10"/>
      <c r="AI12175" s="10"/>
    </row>
    <row r="12176" spans="28:35" ht="15" hidden="1" customHeight="1">
      <c r="AB12176" s="9"/>
      <c r="AC12176" s="9"/>
      <c r="AD12176" s="9"/>
      <c r="AF12176" s="10"/>
      <c r="AG12176" s="10"/>
      <c r="AH12176" s="10"/>
      <c r="AI12176" s="10"/>
    </row>
    <row r="12177" spans="28:35" ht="15" hidden="1" customHeight="1">
      <c r="AB12177" s="9"/>
      <c r="AC12177" s="9"/>
      <c r="AD12177" s="9"/>
      <c r="AF12177" s="10"/>
      <c r="AG12177" s="10"/>
      <c r="AH12177" s="10"/>
      <c r="AI12177" s="10"/>
    </row>
    <row r="12178" spans="28:35" ht="15" hidden="1" customHeight="1">
      <c r="AB12178" s="9"/>
      <c r="AC12178" s="9"/>
      <c r="AD12178" s="9"/>
      <c r="AF12178" s="10"/>
      <c r="AG12178" s="10"/>
      <c r="AH12178" s="10"/>
      <c r="AI12178" s="10"/>
    </row>
    <row r="12179" spans="28:35" ht="15" hidden="1" customHeight="1">
      <c r="AB12179" s="9"/>
      <c r="AC12179" s="9"/>
      <c r="AD12179" s="9"/>
      <c r="AF12179" s="10"/>
      <c r="AG12179" s="10"/>
      <c r="AH12179" s="10"/>
      <c r="AI12179" s="10"/>
    </row>
    <row r="12180" spans="28:35" ht="15" hidden="1" customHeight="1">
      <c r="AB12180" s="9"/>
      <c r="AC12180" s="9"/>
      <c r="AD12180" s="9"/>
      <c r="AF12180" s="10"/>
      <c r="AG12180" s="10"/>
      <c r="AH12180" s="10"/>
      <c r="AI12180" s="10"/>
    </row>
    <row r="12181" spans="28:35" ht="15" hidden="1" customHeight="1">
      <c r="AB12181" s="9"/>
      <c r="AC12181" s="9"/>
      <c r="AD12181" s="9"/>
      <c r="AF12181" s="10"/>
      <c r="AG12181" s="10"/>
      <c r="AH12181" s="10"/>
      <c r="AI12181" s="10"/>
    </row>
    <row r="12182" spans="28:35" ht="15" hidden="1" customHeight="1">
      <c r="AB12182" s="9"/>
      <c r="AC12182" s="9"/>
      <c r="AD12182" s="9"/>
      <c r="AF12182" s="10"/>
      <c r="AG12182" s="10"/>
      <c r="AH12182" s="10"/>
      <c r="AI12182" s="10"/>
    </row>
    <row r="12183" spans="28:35" ht="15" hidden="1" customHeight="1">
      <c r="AB12183" s="9"/>
      <c r="AC12183" s="9"/>
      <c r="AD12183" s="9"/>
      <c r="AF12183" s="10"/>
      <c r="AG12183" s="10"/>
      <c r="AH12183" s="10"/>
      <c r="AI12183" s="10"/>
    </row>
    <row r="12184" spans="28:35" ht="15" hidden="1" customHeight="1">
      <c r="AB12184" s="9"/>
      <c r="AC12184" s="9"/>
      <c r="AD12184" s="9"/>
      <c r="AF12184" s="10"/>
      <c r="AG12184" s="10"/>
      <c r="AH12184" s="10"/>
      <c r="AI12184" s="10"/>
    </row>
    <row r="12185" spans="28:35" ht="15" hidden="1" customHeight="1">
      <c r="AB12185" s="9"/>
      <c r="AC12185" s="9"/>
      <c r="AD12185" s="9"/>
      <c r="AF12185" s="10"/>
      <c r="AG12185" s="10"/>
      <c r="AH12185" s="10"/>
      <c r="AI12185" s="10"/>
    </row>
    <row r="12186" spans="28:35" ht="15" hidden="1" customHeight="1">
      <c r="AB12186" s="9"/>
      <c r="AC12186" s="9"/>
      <c r="AD12186" s="9"/>
      <c r="AF12186" s="10"/>
      <c r="AG12186" s="10"/>
      <c r="AH12186" s="10"/>
      <c r="AI12186" s="10"/>
    </row>
    <row r="12187" spans="28:35" ht="15" hidden="1" customHeight="1">
      <c r="AB12187" s="9"/>
      <c r="AC12187" s="9"/>
      <c r="AD12187" s="9"/>
      <c r="AF12187" s="10"/>
      <c r="AG12187" s="10"/>
      <c r="AH12187" s="10"/>
      <c r="AI12187" s="10"/>
    </row>
    <row r="12188" spans="28:35" ht="15" hidden="1" customHeight="1">
      <c r="AB12188" s="9"/>
      <c r="AC12188" s="9"/>
      <c r="AD12188" s="9"/>
      <c r="AF12188" s="10"/>
      <c r="AG12188" s="10"/>
      <c r="AH12188" s="10"/>
      <c r="AI12188" s="10"/>
    </row>
    <row r="12189" spans="28:35" ht="15" hidden="1" customHeight="1">
      <c r="AB12189" s="9"/>
      <c r="AC12189" s="9"/>
      <c r="AD12189" s="9"/>
      <c r="AF12189" s="10"/>
      <c r="AG12189" s="10"/>
      <c r="AH12189" s="10"/>
      <c r="AI12189" s="10"/>
    </row>
    <row r="12190" spans="28:35" ht="15" hidden="1" customHeight="1">
      <c r="AB12190" s="9"/>
      <c r="AC12190" s="9"/>
      <c r="AD12190" s="9"/>
      <c r="AF12190" s="10"/>
      <c r="AG12190" s="10"/>
      <c r="AH12190" s="10"/>
      <c r="AI12190" s="10"/>
    </row>
    <row r="12191" spans="28:35" ht="15" hidden="1" customHeight="1">
      <c r="AB12191" s="9"/>
      <c r="AC12191" s="9"/>
      <c r="AD12191" s="9"/>
      <c r="AF12191" s="10"/>
      <c r="AG12191" s="10"/>
      <c r="AH12191" s="10"/>
      <c r="AI12191" s="10"/>
    </row>
    <row r="12192" spans="28:35" ht="15" hidden="1" customHeight="1">
      <c r="AB12192" s="9"/>
      <c r="AC12192" s="9"/>
      <c r="AD12192" s="9"/>
      <c r="AF12192" s="10"/>
      <c r="AG12192" s="10"/>
      <c r="AH12192" s="10"/>
      <c r="AI12192" s="10"/>
    </row>
    <row r="12193" spans="28:35" ht="15" hidden="1" customHeight="1">
      <c r="AB12193" s="9"/>
      <c r="AC12193" s="9"/>
      <c r="AD12193" s="9"/>
      <c r="AF12193" s="10"/>
      <c r="AG12193" s="10"/>
      <c r="AH12193" s="10"/>
      <c r="AI12193" s="10"/>
    </row>
    <row r="12194" spans="28:35" ht="15" hidden="1" customHeight="1">
      <c r="AB12194" s="9"/>
      <c r="AC12194" s="9"/>
      <c r="AD12194" s="9"/>
      <c r="AF12194" s="10"/>
      <c r="AG12194" s="10"/>
      <c r="AH12194" s="10"/>
      <c r="AI12194" s="10"/>
    </row>
    <row r="12195" spans="28:35" ht="15" hidden="1" customHeight="1">
      <c r="AB12195" s="9"/>
      <c r="AC12195" s="9"/>
      <c r="AD12195" s="9"/>
      <c r="AF12195" s="10"/>
      <c r="AG12195" s="10"/>
      <c r="AH12195" s="10"/>
      <c r="AI12195" s="10"/>
    </row>
    <row r="12196" spans="28:35" ht="15" hidden="1" customHeight="1">
      <c r="AB12196" s="9"/>
      <c r="AC12196" s="9"/>
      <c r="AD12196" s="9"/>
      <c r="AF12196" s="10"/>
      <c r="AG12196" s="10"/>
      <c r="AH12196" s="10"/>
      <c r="AI12196" s="10"/>
    </row>
    <row r="12197" spans="28:35" ht="15" hidden="1" customHeight="1">
      <c r="AB12197" s="9"/>
      <c r="AC12197" s="9"/>
      <c r="AD12197" s="9"/>
      <c r="AF12197" s="10"/>
      <c r="AG12197" s="10"/>
      <c r="AH12197" s="10"/>
      <c r="AI12197" s="10"/>
    </row>
    <row r="12198" spans="28:35" ht="15" hidden="1" customHeight="1">
      <c r="AB12198" s="9"/>
      <c r="AC12198" s="9"/>
      <c r="AD12198" s="9"/>
      <c r="AF12198" s="10"/>
      <c r="AG12198" s="10"/>
      <c r="AH12198" s="10"/>
      <c r="AI12198" s="10"/>
    </row>
    <row r="12199" spans="28:35" ht="15" hidden="1" customHeight="1">
      <c r="AB12199" s="9"/>
      <c r="AC12199" s="9"/>
      <c r="AD12199" s="9"/>
      <c r="AF12199" s="10"/>
      <c r="AG12199" s="10"/>
      <c r="AH12199" s="10"/>
      <c r="AI12199" s="10"/>
    </row>
    <row r="12200" spans="28:35" ht="15" hidden="1" customHeight="1">
      <c r="AB12200" s="9"/>
      <c r="AC12200" s="9"/>
      <c r="AD12200" s="9"/>
      <c r="AF12200" s="10"/>
      <c r="AG12200" s="10"/>
      <c r="AH12200" s="10"/>
      <c r="AI12200" s="10"/>
    </row>
    <row r="12201" spans="28:35" ht="15" hidden="1" customHeight="1">
      <c r="AB12201" s="9"/>
      <c r="AC12201" s="9"/>
      <c r="AD12201" s="9"/>
      <c r="AF12201" s="10"/>
      <c r="AG12201" s="10"/>
      <c r="AH12201" s="10"/>
      <c r="AI12201" s="10"/>
    </row>
    <row r="12202" spans="28:35" ht="15" hidden="1" customHeight="1">
      <c r="AB12202" s="9"/>
      <c r="AC12202" s="9"/>
      <c r="AD12202" s="9"/>
      <c r="AF12202" s="10"/>
      <c r="AG12202" s="10"/>
      <c r="AH12202" s="10"/>
      <c r="AI12202" s="10"/>
    </row>
    <row r="12203" spans="28:35" ht="15" hidden="1" customHeight="1">
      <c r="AB12203" s="9"/>
      <c r="AC12203" s="9"/>
      <c r="AD12203" s="9"/>
      <c r="AF12203" s="10"/>
      <c r="AG12203" s="10"/>
      <c r="AH12203" s="10"/>
      <c r="AI12203" s="10"/>
    </row>
    <row r="12204" spans="28:35" ht="15" hidden="1" customHeight="1">
      <c r="AB12204" s="9"/>
      <c r="AC12204" s="9"/>
      <c r="AD12204" s="9"/>
      <c r="AF12204" s="10"/>
      <c r="AG12204" s="10"/>
      <c r="AH12204" s="10"/>
      <c r="AI12204" s="10"/>
    </row>
    <row r="12205" spans="28:35" ht="15" hidden="1" customHeight="1">
      <c r="AB12205" s="9"/>
      <c r="AC12205" s="9"/>
      <c r="AD12205" s="9"/>
      <c r="AF12205" s="10"/>
      <c r="AG12205" s="10"/>
      <c r="AH12205" s="10"/>
      <c r="AI12205" s="10"/>
    </row>
    <row r="12206" spans="28:35" ht="15" hidden="1" customHeight="1">
      <c r="AB12206" s="9"/>
      <c r="AC12206" s="9"/>
      <c r="AD12206" s="9"/>
      <c r="AF12206" s="10"/>
      <c r="AG12206" s="10"/>
      <c r="AH12206" s="10"/>
      <c r="AI12206" s="10"/>
    </row>
    <row r="12207" spans="28:35" ht="15" hidden="1" customHeight="1">
      <c r="AB12207" s="9"/>
      <c r="AC12207" s="9"/>
      <c r="AD12207" s="9"/>
      <c r="AF12207" s="10"/>
      <c r="AG12207" s="10"/>
      <c r="AH12207" s="10"/>
      <c r="AI12207" s="10"/>
    </row>
    <row r="12208" spans="28:35" ht="15" hidden="1" customHeight="1">
      <c r="AB12208" s="9"/>
      <c r="AC12208" s="9"/>
      <c r="AD12208" s="9"/>
      <c r="AF12208" s="10"/>
      <c r="AG12208" s="10"/>
      <c r="AH12208" s="10"/>
      <c r="AI12208" s="10"/>
    </row>
    <row r="12209" spans="28:35" ht="15" hidden="1" customHeight="1">
      <c r="AB12209" s="9"/>
      <c r="AC12209" s="9"/>
      <c r="AD12209" s="9"/>
      <c r="AF12209" s="10"/>
      <c r="AG12209" s="10"/>
      <c r="AH12209" s="10"/>
      <c r="AI12209" s="10"/>
    </row>
    <row r="12210" spans="28:35" ht="15" hidden="1" customHeight="1">
      <c r="AB12210" s="9"/>
      <c r="AC12210" s="9"/>
      <c r="AD12210" s="9"/>
      <c r="AF12210" s="10"/>
      <c r="AG12210" s="10"/>
      <c r="AH12210" s="10"/>
      <c r="AI12210" s="10"/>
    </row>
    <row r="12211" spans="28:35" ht="15" hidden="1" customHeight="1">
      <c r="AB12211" s="9"/>
      <c r="AC12211" s="9"/>
      <c r="AD12211" s="9"/>
      <c r="AF12211" s="10"/>
      <c r="AG12211" s="10"/>
      <c r="AH12211" s="10"/>
      <c r="AI12211" s="10"/>
    </row>
    <row r="12212" spans="28:35" ht="15" hidden="1" customHeight="1">
      <c r="AB12212" s="9"/>
      <c r="AC12212" s="9"/>
      <c r="AD12212" s="9"/>
      <c r="AF12212" s="10"/>
      <c r="AG12212" s="10"/>
      <c r="AH12212" s="10"/>
      <c r="AI12212" s="10"/>
    </row>
    <row r="12213" spans="28:35" ht="15" hidden="1" customHeight="1">
      <c r="AB12213" s="9"/>
      <c r="AC12213" s="9"/>
      <c r="AD12213" s="9"/>
      <c r="AF12213" s="10"/>
      <c r="AG12213" s="10"/>
      <c r="AH12213" s="10"/>
      <c r="AI12213" s="10"/>
    </row>
    <row r="12214" spans="28:35" ht="15" hidden="1" customHeight="1">
      <c r="AB12214" s="9"/>
      <c r="AC12214" s="9"/>
      <c r="AD12214" s="9"/>
      <c r="AF12214" s="10"/>
      <c r="AG12214" s="10"/>
      <c r="AH12214" s="10"/>
      <c r="AI12214" s="10"/>
    </row>
    <row r="12215" spans="28:35" ht="15" hidden="1" customHeight="1">
      <c r="AB12215" s="9"/>
      <c r="AC12215" s="9"/>
      <c r="AD12215" s="9"/>
      <c r="AF12215" s="10"/>
      <c r="AG12215" s="10"/>
      <c r="AH12215" s="10"/>
      <c r="AI12215" s="10"/>
    </row>
    <row r="12216" spans="28:35" ht="15" hidden="1" customHeight="1">
      <c r="AB12216" s="9"/>
      <c r="AC12216" s="9"/>
      <c r="AD12216" s="9"/>
      <c r="AF12216" s="10"/>
      <c r="AG12216" s="10"/>
      <c r="AH12216" s="10"/>
      <c r="AI12216" s="10"/>
    </row>
    <row r="12217" spans="28:35" ht="15" hidden="1" customHeight="1">
      <c r="AB12217" s="9"/>
      <c r="AC12217" s="9"/>
      <c r="AD12217" s="9"/>
      <c r="AF12217" s="10"/>
      <c r="AG12217" s="10"/>
      <c r="AH12217" s="10"/>
      <c r="AI12217" s="10"/>
    </row>
    <row r="12218" spans="28:35" ht="15" hidden="1" customHeight="1">
      <c r="AB12218" s="9"/>
      <c r="AC12218" s="9"/>
      <c r="AD12218" s="9"/>
      <c r="AF12218" s="10"/>
      <c r="AG12218" s="10"/>
      <c r="AH12218" s="10"/>
      <c r="AI12218" s="10"/>
    </row>
    <row r="12219" spans="28:35" ht="15" hidden="1" customHeight="1">
      <c r="AB12219" s="9"/>
      <c r="AC12219" s="9"/>
      <c r="AD12219" s="9"/>
      <c r="AF12219" s="10"/>
      <c r="AG12219" s="10"/>
      <c r="AH12219" s="10"/>
      <c r="AI12219" s="10"/>
    </row>
    <row r="12220" spans="28:35" ht="15" hidden="1" customHeight="1">
      <c r="AB12220" s="9"/>
      <c r="AC12220" s="9"/>
      <c r="AD12220" s="9"/>
      <c r="AF12220" s="10"/>
      <c r="AG12220" s="10"/>
      <c r="AH12220" s="10"/>
      <c r="AI12220" s="10"/>
    </row>
    <row r="12221" spans="28:35" ht="15" hidden="1" customHeight="1">
      <c r="AB12221" s="9"/>
      <c r="AC12221" s="9"/>
      <c r="AD12221" s="9"/>
      <c r="AF12221" s="10"/>
      <c r="AG12221" s="10"/>
      <c r="AH12221" s="10"/>
      <c r="AI12221" s="10"/>
    </row>
    <row r="12222" spans="28:35" ht="15" hidden="1" customHeight="1">
      <c r="AB12222" s="9"/>
      <c r="AC12222" s="9"/>
      <c r="AD12222" s="9"/>
      <c r="AF12222" s="10"/>
      <c r="AG12222" s="10"/>
      <c r="AH12222" s="10"/>
      <c r="AI12222" s="10"/>
    </row>
    <row r="12223" spans="28:35" ht="15" hidden="1" customHeight="1">
      <c r="AB12223" s="9"/>
      <c r="AC12223" s="9"/>
      <c r="AD12223" s="9"/>
      <c r="AF12223" s="10"/>
      <c r="AG12223" s="10"/>
      <c r="AH12223" s="10"/>
      <c r="AI12223" s="10"/>
    </row>
    <row r="12224" spans="28:35" ht="15" hidden="1" customHeight="1">
      <c r="AB12224" s="9"/>
      <c r="AC12224" s="9"/>
      <c r="AD12224" s="9"/>
      <c r="AF12224" s="10"/>
      <c r="AG12224" s="10"/>
      <c r="AH12224" s="10"/>
      <c r="AI12224" s="10"/>
    </row>
    <row r="12225" spans="28:35" ht="15" hidden="1" customHeight="1">
      <c r="AB12225" s="9"/>
      <c r="AC12225" s="9"/>
      <c r="AD12225" s="9"/>
      <c r="AF12225" s="10"/>
      <c r="AG12225" s="10"/>
      <c r="AH12225" s="10"/>
      <c r="AI12225" s="10"/>
    </row>
    <row r="12226" spans="28:35" ht="15" hidden="1" customHeight="1">
      <c r="AB12226" s="9"/>
      <c r="AC12226" s="9"/>
      <c r="AD12226" s="9"/>
      <c r="AF12226" s="10"/>
      <c r="AG12226" s="10"/>
      <c r="AH12226" s="10"/>
      <c r="AI12226" s="10"/>
    </row>
    <row r="12227" spans="28:35" ht="15" hidden="1" customHeight="1">
      <c r="AB12227" s="9"/>
      <c r="AC12227" s="9"/>
      <c r="AD12227" s="9"/>
      <c r="AF12227" s="10"/>
      <c r="AG12227" s="10"/>
      <c r="AH12227" s="10"/>
      <c r="AI12227" s="10"/>
    </row>
    <row r="12228" spans="28:35" ht="15" hidden="1" customHeight="1">
      <c r="AB12228" s="9"/>
      <c r="AC12228" s="9"/>
      <c r="AD12228" s="9"/>
      <c r="AF12228" s="10"/>
      <c r="AG12228" s="10"/>
      <c r="AH12228" s="10"/>
      <c r="AI12228" s="10"/>
    </row>
    <row r="12229" spans="28:35" ht="15" hidden="1" customHeight="1">
      <c r="AB12229" s="9"/>
      <c r="AC12229" s="9"/>
      <c r="AD12229" s="9"/>
      <c r="AF12229" s="10"/>
      <c r="AG12229" s="10"/>
      <c r="AH12229" s="10"/>
      <c r="AI12229" s="10"/>
    </row>
    <row r="12230" spans="28:35" ht="15" hidden="1" customHeight="1">
      <c r="AB12230" s="9"/>
      <c r="AC12230" s="9"/>
      <c r="AD12230" s="9"/>
      <c r="AF12230" s="10"/>
      <c r="AG12230" s="10"/>
      <c r="AH12230" s="10"/>
      <c r="AI12230" s="10"/>
    </row>
    <row r="12231" spans="28:35" ht="15" hidden="1" customHeight="1">
      <c r="AB12231" s="9"/>
      <c r="AC12231" s="9"/>
      <c r="AD12231" s="9"/>
      <c r="AF12231" s="10"/>
      <c r="AG12231" s="10"/>
      <c r="AH12231" s="10"/>
      <c r="AI12231" s="10"/>
    </row>
    <row r="12232" spans="28:35" ht="15" hidden="1" customHeight="1">
      <c r="AB12232" s="9"/>
      <c r="AC12232" s="9"/>
      <c r="AD12232" s="9"/>
      <c r="AF12232" s="10"/>
      <c r="AG12232" s="10"/>
      <c r="AH12232" s="10"/>
      <c r="AI12232" s="10"/>
    </row>
    <row r="12233" spans="28:35" ht="15" hidden="1" customHeight="1">
      <c r="AB12233" s="9"/>
      <c r="AC12233" s="9"/>
      <c r="AD12233" s="9"/>
      <c r="AF12233" s="10"/>
      <c r="AG12233" s="10"/>
      <c r="AH12233" s="10"/>
      <c r="AI12233" s="10"/>
    </row>
    <row r="12234" spans="28:35" ht="15" hidden="1" customHeight="1">
      <c r="AB12234" s="9"/>
      <c r="AC12234" s="9"/>
      <c r="AD12234" s="9"/>
      <c r="AF12234" s="10"/>
      <c r="AG12234" s="10"/>
      <c r="AH12234" s="10"/>
      <c r="AI12234" s="10"/>
    </row>
    <row r="12235" spans="28:35" ht="15" hidden="1" customHeight="1">
      <c r="AB12235" s="9"/>
      <c r="AC12235" s="9"/>
      <c r="AD12235" s="9"/>
      <c r="AF12235" s="10"/>
      <c r="AG12235" s="10"/>
      <c r="AH12235" s="10"/>
      <c r="AI12235" s="10"/>
    </row>
    <row r="12236" spans="28:35" ht="15" hidden="1" customHeight="1">
      <c r="AB12236" s="9"/>
      <c r="AC12236" s="9"/>
      <c r="AD12236" s="9"/>
      <c r="AF12236" s="10"/>
      <c r="AG12236" s="10"/>
      <c r="AH12236" s="10"/>
      <c r="AI12236" s="10"/>
    </row>
    <row r="12237" spans="28:35" ht="15" hidden="1" customHeight="1">
      <c r="AB12237" s="9"/>
      <c r="AC12237" s="9"/>
      <c r="AD12237" s="9"/>
      <c r="AF12237" s="10"/>
      <c r="AG12237" s="10"/>
      <c r="AH12237" s="10"/>
      <c r="AI12237" s="10"/>
    </row>
    <row r="12238" spans="28:35" ht="15" hidden="1" customHeight="1">
      <c r="AB12238" s="9"/>
      <c r="AC12238" s="9"/>
      <c r="AD12238" s="9"/>
      <c r="AF12238" s="10"/>
      <c r="AG12238" s="10"/>
      <c r="AH12238" s="10"/>
      <c r="AI12238" s="10"/>
    </row>
    <row r="12239" spans="28:35" ht="15" hidden="1" customHeight="1">
      <c r="AB12239" s="9"/>
      <c r="AC12239" s="9"/>
      <c r="AD12239" s="9"/>
      <c r="AF12239" s="10"/>
      <c r="AG12239" s="10"/>
      <c r="AH12239" s="10"/>
      <c r="AI12239" s="10"/>
    </row>
    <row r="12240" spans="28:35" ht="15" hidden="1" customHeight="1">
      <c r="AB12240" s="9"/>
      <c r="AC12240" s="9"/>
      <c r="AD12240" s="9"/>
      <c r="AF12240" s="10"/>
      <c r="AG12240" s="10"/>
      <c r="AH12240" s="10"/>
      <c r="AI12240" s="10"/>
    </row>
    <row r="12241" spans="28:35" ht="15" hidden="1" customHeight="1">
      <c r="AB12241" s="9"/>
      <c r="AC12241" s="9"/>
      <c r="AD12241" s="9"/>
      <c r="AF12241" s="10"/>
      <c r="AG12241" s="10"/>
      <c r="AH12241" s="10"/>
      <c r="AI12241" s="10"/>
    </row>
    <row r="12242" spans="28:35" ht="15" hidden="1" customHeight="1">
      <c r="AB12242" s="9"/>
      <c r="AC12242" s="9"/>
      <c r="AD12242" s="9"/>
      <c r="AF12242" s="10"/>
      <c r="AG12242" s="10"/>
      <c r="AH12242" s="10"/>
      <c r="AI12242" s="10"/>
    </row>
    <row r="12243" spans="28:35" ht="15" hidden="1" customHeight="1">
      <c r="AB12243" s="9"/>
      <c r="AC12243" s="9"/>
      <c r="AD12243" s="9"/>
      <c r="AF12243" s="10"/>
      <c r="AG12243" s="10"/>
      <c r="AH12243" s="10"/>
      <c r="AI12243" s="10"/>
    </row>
    <row r="12244" spans="28:35" ht="15" hidden="1" customHeight="1">
      <c r="AB12244" s="9"/>
      <c r="AC12244" s="9"/>
      <c r="AD12244" s="9"/>
      <c r="AF12244" s="10"/>
      <c r="AG12244" s="10"/>
      <c r="AH12244" s="10"/>
      <c r="AI12244" s="10"/>
    </row>
    <row r="12245" spans="28:35" ht="15" hidden="1" customHeight="1">
      <c r="AB12245" s="9"/>
      <c r="AC12245" s="9"/>
      <c r="AD12245" s="9"/>
      <c r="AF12245" s="10"/>
      <c r="AG12245" s="10"/>
      <c r="AH12245" s="10"/>
      <c r="AI12245" s="10"/>
    </row>
    <row r="12246" spans="28:35" ht="15" hidden="1" customHeight="1">
      <c r="AB12246" s="9"/>
      <c r="AC12246" s="9"/>
      <c r="AD12246" s="9"/>
      <c r="AF12246" s="10"/>
      <c r="AG12246" s="10"/>
      <c r="AH12246" s="10"/>
      <c r="AI12246" s="10"/>
    </row>
    <row r="12247" spans="28:35" ht="15" hidden="1" customHeight="1">
      <c r="AB12247" s="9"/>
      <c r="AC12247" s="9"/>
      <c r="AD12247" s="9"/>
      <c r="AF12247" s="10"/>
      <c r="AG12247" s="10"/>
      <c r="AH12247" s="10"/>
      <c r="AI12247" s="10"/>
    </row>
    <row r="12248" spans="28:35" ht="15" hidden="1" customHeight="1">
      <c r="AB12248" s="9"/>
      <c r="AC12248" s="9"/>
      <c r="AD12248" s="9"/>
      <c r="AF12248" s="10"/>
      <c r="AG12248" s="10"/>
      <c r="AH12248" s="10"/>
      <c r="AI12248" s="10"/>
    </row>
    <row r="12249" spans="28:35" ht="15" hidden="1" customHeight="1">
      <c r="AB12249" s="9"/>
      <c r="AC12249" s="9"/>
      <c r="AD12249" s="9"/>
      <c r="AF12249" s="10"/>
      <c r="AG12249" s="10"/>
      <c r="AH12249" s="10"/>
      <c r="AI12249" s="10"/>
    </row>
    <row r="12250" spans="28:35" ht="15" hidden="1" customHeight="1">
      <c r="AB12250" s="9"/>
      <c r="AC12250" s="9"/>
      <c r="AD12250" s="9"/>
      <c r="AF12250" s="10"/>
      <c r="AG12250" s="10"/>
      <c r="AH12250" s="10"/>
      <c r="AI12250" s="10"/>
    </row>
    <row r="12251" spans="28:35" ht="15" hidden="1" customHeight="1">
      <c r="AB12251" s="9"/>
      <c r="AC12251" s="9"/>
      <c r="AD12251" s="9"/>
      <c r="AF12251" s="10"/>
      <c r="AG12251" s="10"/>
      <c r="AH12251" s="10"/>
      <c r="AI12251" s="10"/>
    </row>
    <row r="12252" spans="28:35" ht="15" hidden="1" customHeight="1">
      <c r="AB12252" s="9"/>
      <c r="AC12252" s="9"/>
      <c r="AD12252" s="9"/>
      <c r="AF12252" s="10"/>
      <c r="AG12252" s="10"/>
      <c r="AH12252" s="10"/>
      <c r="AI12252" s="10"/>
    </row>
    <row r="12253" spans="28:35" ht="15" hidden="1" customHeight="1">
      <c r="AB12253" s="9"/>
      <c r="AC12253" s="9"/>
      <c r="AD12253" s="9"/>
      <c r="AF12253" s="10"/>
      <c r="AG12253" s="10"/>
      <c r="AH12253" s="10"/>
      <c r="AI12253" s="10"/>
    </row>
    <row r="12254" spans="28:35" ht="15" hidden="1" customHeight="1">
      <c r="AB12254" s="9"/>
      <c r="AC12254" s="9"/>
      <c r="AD12254" s="9"/>
      <c r="AF12254" s="10"/>
      <c r="AG12254" s="10"/>
      <c r="AH12254" s="10"/>
      <c r="AI12254" s="10"/>
    </row>
    <row r="12255" spans="28:35" ht="15" hidden="1" customHeight="1">
      <c r="AB12255" s="9"/>
      <c r="AC12255" s="9"/>
      <c r="AD12255" s="9"/>
      <c r="AF12255" s="10"/>
      <c r="AG12255" s="10"/>
      <c r="AH12255" s="10"/>
      <c r="AI12255" s="10"/>
    </row>
    <row r="12256" spans="28:35" ht="15" hidden="1" customHeight="1">
      <c r="AB12256" s="9"/>
      <c r="AC12256" s="9"/>
      <c r="AD12256" s="9"/>
      <c r="AF12256" s="10"/>
      <c r="AG12256" s="10"/>
      <c r="AH12256" s="10"/>
      <c r="AI12256" s="10"/>
    </row>
    <row r="12257" spans="28:35" ht="15" hidden="1" customHeight="1">
      <c r="AB12257" s="9"/>
      <c r="AC12257" s="9"/>
      <c r="AD12257" s="9"/>
      <c r="AF12257" s="10"/>
      <c r="AG12257" s="10"/>
      <c r="AH12257" s="10"/>
      <c r="AI12257" s="10"/>
    </row>
    <row r="12258" spans="28:35" ht="15" hidden="1" customHeight="1">
      <c r="AB12258" s="9"/>
      <c r="AC12258" s="9"/>
      <c r="AD12258" s="9"/>
      <c r="AF12258" s="10"/>
      <c r="AG12258" s="10"/>
      <c r="AH12258" s="10"/>
      <c r="AI12258" s="10"/>
    </row>
    <row r="12259" spans="28:35" ht="15" hidden="1" customHeight="1">
      <c r="AB12259" s="9"/>
      <c r="AC12259" s="9"/>
      <c r="AD12259" s="9"/>
      <c r="AF12259" s="10"/>
      <c r="AG12259" s="10"/>
      <c r="AH12259" s="10"/>
      <c r="AI12259" s="10"/>
    </row>
    <row r="12260" spans="28:35" ht="15" hidden="1" customHeight="1">
      <c r="AB12260" s="9"/>
      <c r="AC12260" s="9"/>
      <c r="AD12260" s="9"/>
      <c r="AF12260" s="10"/>
      <c r="AG12260" s="10"/>
      <c r="AH12260" s="10"/>
      <c r="AI12260" s="10"/>
    </row>
    <row r="12261" spans="28:35" ht="15" hidden="1" customHeight="1">
      <c r="AB12261" s="9"/>
      <c r="AC12261" s="9"/>
      <c r="AD12261" s="9"/>
      <c r="AF12261" s="10"/>
      <c r="AG12261" s="10"/>
      <c r="AH12261" s="10"/>
      <c r="AI12261" s="10"/>
    </row>
    <row r="12262" spans="28:35" ht="15" hidden="1" customHeight="1">
      <c r="AB12262" s="9"/>
      <c r="AC12262" s="9"/>
      <c r="AD12262" s="9"/>
      <c r="AF12262" s="10"/>
      <c r="AG12262" s="10"/>
      <c r="AH12262" s="10"/>
      <c r="AI12262" s="10"/>
    </row>
    <row r="12263" spans="28:35" ht="15" hidden="1" customHeight="1">
      <c r="AB12263" s="9"/>
      <c r="AC12263" s="9"/>
      <c r="AD12263" s="9"/>
      <c r="AF12263" s="10"/>
      <c r="AG12263" s="10"/>
      <c r="AH12263" s="10"/>
      <c r="AI12263" s="10"/>
    </row>
    <row r="12264" spans="28:35" ht="15" hidden="1" customHeight="1">
      <c r="AB12264" s="9"/>
      <c r="AC12264" s="9"/>
      <c r="AD12264" s="9"/>
      <c r="AF12264" s="10"/>
      <c r="AG12264" s="10"/>
      <c r="AH12264" s="10"/>
      <c r="AI12264" s="10"/>
    </row>
    <row r="12265" spans="28:35" ht="15" hidden="1" customHeight="1">
      <c r="AB12265" s="9"/>
      <c r="AC12265" s="9"/>
      <c r="AD12265" s="9"/>
      <c r="AF12265" s="10"/>
      <c r="AG12265" s="10"/>
      <c r="AH12265" s="10"/>
      <c r="AI12265" s="10"/>
    </row>
    <row r="12266" spans="28:35" ht="15" hidden="1" customHeight="1">
      <c r="AB12266" s="9"/>
      <c r="AC12266" s="9"/>
      <c r="AD12266" s="9"/>
      <c r="AF12266" s="10"/>
      <c r="AG12266" s="10"/>
      <c r="AH12266" s="10"/>
      <c r="AI12266" s="10"/>
    </row>
    <row r="12267" spans="28:35" ht="15" hidden="1" customHeight="1">
      <c r="AB12267" s="9"/>
      <c r="AC12267" s="9"/>
      <c r="AD12267" s="9"/>
      <c r="AF12267" s="10"/>
      <c r="AG12267" s="10"/>
      <c r="AH12267" s="10"/>
      <c r="AI12267" s="10"/>
    </row>
    <row r="12268" spans="28:35" ht="15" hidden="1" customHeight="1">
      <c r="AB12268" s="9"/>
      <c r="AC12268" s="9"/>
      <c r="AD12268" s="9"/>
      <c r="AF12268" s="10"/>
      <c r="AG12268" s="10"/>
      <c r="AH12268" s="10"/>
      <c r="AI12268" s="10"/>
    </row>
    <row r="12269" spans="28:35" ht="15" hidden="1" customHeight="1">
      <c r="AB12269" s="9"/>
      <c r="AC12269" s="9"/>
      <c r="AD12269" s="9"/>
      <c r="AF12269" s="10"/>
      <c r="AG12269" s="10"/>
      <c r="AH12269" s="10"/>
      <c r="AI12269" s="10"/>
    </row>
    <row r="12270" spans="28:35" ht="15" hidden="1" customHeight="1">
      <c r="AB12270" s="9"/>
      <c r="AC12270" s="9"/>
      <c r="AD12270" s="9"/>
      <c r="AF12270" s="10"/>
      <c r="AG12270" s="10"/>
      <c r="AH12270" s="10"/>
      <c r="AI12270" s="10"/>
    </row>
    <row r="12271" spans="28:35" ht="15" hidden="1" customHeight="1">
      <c r="AB12271" s="9"/>
      <c r="AC12271" s="9"/>
      <c r="AD12271" s="9"/>
      <c r="AF12271" s="10"/>
      <c r="AG12271" s="10"/>
      <c r="AH12271" s="10"/>
      <c r="AI12271" s="10"/>
    </row>
    <row r="12272" spans="28:35" ht="15" hidden="1" customHeight="1">
      <c r="AB12272" s="9"/>
      <c r="AC12272" s="9"/>
      <c r="AD12272" s="9"/>
      <c r="AF12272" s="10"/>
      <c r="AG12272" s="10"/>
      <c r="AH12272" s="10"/>
      <c r="AI12272" s="10"/>
    </row>
    <row r="12273" spans="28:35" ht="15" hidden="1" customHeight="1">
      <c r="AB12273" s="9"/>
      <c r="AC12273" s="9"/>
      <c r="AD12273" s="9"/>
      <c r="AF12273" s="10"/>
      <c r="AG12273" s="10"/>
      <c r="AH12273" s="10"/>
      <c r="AI12273" s="10"/>
    </row>
    <row r="12274" spans="28:35" ht="15" hidden="1" customHeight="1">
      <c r="AB12274" s="9"/>
      <c r="AC12274" s="9"/>
      <c r="AD12274" s="9"/>
      <c r="AF12274" s="10"/>
      <c r="AG12274" s="10"/>
      <c r="AH12274" s="10"/>
      <c r="AI12274" s="10"/>
    </row>
    <row r="12275" spans="28:35" ht="15" hidden="1" customHeight="1">
      <c r="AB12275" s="9"/>
      <c r="AC12275" s="9"/>
      <c r="AD12275" s="9"/>
      <c r="AF12275" s="10"/>
      <c r="AG12275" s="10"/>
      <c r="AH12275" s="10"/>
      <c r="AI12275" s="10"/>
    </row>
    <row r="12276" spans="28:35" ht="15" hidden="1" customHeight="1">
      <c r="AB12276" s="9"/>
      <c r="AC12276" s="9"/>
      <c r="AD12276" s="9"/>
      <c r="AF12276" s="10"/>
      <c r="AG12276" s="10"/>
      <c r="AH12276" s="10"/>
      <c r="AI12276" s="10"/>
    </row>
    <row r="12277" spans="28:35" ht="15" hidden="1" customHeight="1">
      <c r="AB12277" s="9"/>
      <c r="AC12277" s="9"/>
      <c r="AD12277" s="9"/>
      <c r="AF12277" s="10"/>
      <c r="AG12277" s="10"/>
      <c r="AH12277" s="10"/>
      <c r="AI12277" s="10"/>
    </row>
    <row r="12278" spans="28:35" ht="15" hidden="1" customHeight="1">
      <c r="AB12278" s="9"/>
      <c r="AC12278" s="9"/>
      <c r="AD12278" s="9"/>
      <c r="AF12278" s="10"/>
      <c r="AG12278" s="10"/>
      <c r="AH12278" s="10"/>
      <c r="AI12278" s="10"/>
    </row>
    <row r="12279" spans="28:35" ht="15" hidden="1" customHeight="1">
      <c r="AB12279" s="9"/>
      <c r="AC12279" s="9"/>
      <c r="AD12279" s="9"/>
      <c r="AF12279" s="10"/>
      <c r="AG12279" s="10"/>
      <c r="AH12279" s="10"/>
      <c r="AI12279" s="10"/>
    </row>
    <row r="12280" spans="28:35" ht="15" hidden="1" customHeight="1">
      <c r="AB12280" s="9"/>
      <c r="AC12280" s="9"/>
      <c r="AD12280" s="9"/>
      <c r="AF12280" s="10"/>
      <c r="AG12280" s="10"/>
      <c r="AH12280" s="10"/>
      <c r="AI12280" s="10"/>
    </row>
    <row r="12281" spans="28:35" ht="15" hidden="1" customHeight="1">
      <c r="AB12281" s="9"/>
      <c r="AC12281" s="9"/>
      <c r="AD12281" s="9"/>
      <c r="AF12281" s="10"/>
      <c r="AG12281" s="10"/>
      <c r="AH12281" s="10"/>
      <c r="AI12281" s="10"/>
    </row>
    <row r="12282" spans="28:35" ht="15" hidden="1" customHeight="1">
      <c r="AB12282" s="9"/>
      <c r="AC12282" s="9"/>
      <c r="AD12282" s="9"/>
      <c r="AF12282" s="10"/>
      <c r="AG12282" s="10"/>
      <c r="AH12282" s="10"/>
      <c r="AI12282" s="10"/>
    </row>
    <row r="12283" spans="28:35" ht="15" hidden="1" customHeight="1">
      <c r="AB12283" s="9"/>
      <c r="AC12283" s="9"/>
      <c r="AD12283" s="9"/>
      <c r="AF12283" s="10"/>
      <c r="AG12283" s="10"/>
      <c r="AH12283" s="10"/>
      <c r="AI12283" s="10"/>
    </row>
    <row r="12284" spans="28:35" ht="15" hidden="1" customHeight="1">
      <c r="AB12284" s="9"/>
      <c r="AC12284" s="9"/>
      <c r="AD12284" s="9"/>
      <c r="AF12284" s="10"/>
      <c r="AG12284" s="10"/>
      <c r="AH12284" s="10"/>
      <c r="AI12284" s="10"/>
    </row>
    <row r="12285" spans="28:35" ht="15" hidden="1" customHeight="1">
      <c r="AB12285" s="9"/>
      <c r="AC12285" s="9"/>
      <c r="AD12285" s="9"/>
      <c r="AF12285" s="10"/>
      <c r="AG12285" s="10"/>
      <c r="AH12285" s="10"/>
      <c r="AI12285" s="10"/>
    </row>
    <row r="12286" spans="28:35" ht="15" hidden="1" customHeight="1">
      <c r="AB12286" s="9"/>
      <c r="AC12286" s="9"/>
      <c r="AD12286" s="9"/>
      <c r="AF12286" s="10"/>
      <c r="AG12286" s="10"/>
      <c r="AH12286" s="10"/>
      <c r="AI12286" s="10"/>
    </row>
    <row r="12287" spans="28:35" ht="15" hidden="1" customHeight="1">
      <c r="AB12287" s="9"/>
      <c r="AC12287" s="9"/>
      <c r="AD12287" s="9"/>
      <c r="AF12287" s="10"/>
      <c r="AG12287" s="10"/>
      <c r="AH12287" s="10"/>
      <c r="AI12287" s="10"/>
    </row>
    <row r="12288" spans="28:35" ht="15" hidden="1" customHeight="1">
      <c r="AB12288" s="9"/>
      <c r="AC12288" s="9"/>
      <c r="AD12288" s="9"/>
      <c r="AF12288" s="10"/>
      <c r="AG12288" s="10"/>
      <c r="AH12288" s="10"/>
      <c r="AI12288" s="10"/>
    </row>
    <row r="12289" spans="28:35" ht="15" hidden="1" customHeight="1">
      <c r="AB12289" s="9"/>
      <c r="AC12289" s="9"/>
      <c r="AD12289" s="9"/>
      <c r="AF12289" s="10"/>
      <c r="AG12289" s="10"/>
      <c r="AH12289" s="10"/>
      <c r="AI12289" s="10"/>
    </row>
    <row r="12290" spans="28:35" ht="15" hidden="1" customHeight="1">
      <c r="AB12290" s="9"/>
      <c r="AC12290" s="9"/>
      <c r="AD12290" s="9"/>
      <c r="AF12290" s="10"/>
      <c r="AG12290" s="10"/>
      <c r="AH12290" s="10"/>
      <c r="AI12290" s="10"/>
    </row>
    <row r="12291" spans="28:35" ht="15" hidden="1" customHeight="1">
      <c r="AB12291" s="9"/>
      <c r="AC12291" s="9"/>
      <c r="AD12291" s="9"/>
      <c r="AF12291" s="10"/>
      <c r="AG12291" s="10"/>
      <c r="AH12291" s="10"/>
      <c r="AI12291" s="10"/>
    </row>
    <row r="12292" spans="28:35" ht="15" hidden="1" customHeight="1">
      <c r="AB12292" s="9"/>
      <c r="AC12292" s="9"/>
      <c r="AD12292" s="9"/>
      <c r="AF12292" s="10"/>
      <c r="AG12292" s="10"/>
      <c r="AH12292" s="10"/>
      <c r="AI12292" s="10"/>
    </row>
    <row r="12293" spans="28:35" ht="15" hidden="1" customHeight="1">
      <c r="AB12293" s="9"/>
      <c r="AC12293" s="9"/>
      <c r="AD12293" s="9"/>
      <c r="AF12293" s="10"/>
      <c r="AG12293" s="10"/>
      <c r="AH12293" s="10"/>
      <c r="AI12293" s="10"/>
    </row>
    <row r="12294" spans="28:35" ht="15" hidden="1" customHeight="1">
      <c r="AB12294" s="9"/>
      <c r="AC12294" s="9"/>
      <c r="AD12294" s="9"/>
      <c r="AF12294" s="10"/>
      <c r="AG12294" s="10"/>
      <c r="AH12294" s="10"/>
      <c r="AI12294" s="10"/>
    </row>
    <row r="12295" spans="28:35" ht="15" hidden="1" customHeight="1">
      <c r="AB12295" s="9"/>
      <c r="AC12295" s="9"/>
      <c r="AD12295" s="9"/>
      <c r="AF12295" s="10"/>
      <c r="AG12295" s="10"/>
      <c r="AH12295" s="10"/>
      <c r="AI12295" s="10"/>
    </row>
    <row r="12296" spans="28:35" ht="15" hidden="1" customHeight="1">
      <c r="AB12296" s="9"/>
      <c r="AC12296" s="9"/>
      <c r="AD12296" s="9"/>
      <c r="AF12296" s="10"/>
      <c r="AG12296" s="10"/>
      <c r="AH12296" s="10"/>
      <c r="AI12296" s="10"/>
    </row>
    <row r="12297" spans="28:35" ht="15" hidden="1" customHeight="1">
      <c r="AB12297" s="9"/>
      <c r="AC12297" s="9"/>
      <c r="AD12297" s="9"/>
      <c r="AF12297" s="10"/>
      <c r="AG12297" s="10"/>
      <c r="AH12297" s="10"/>
      <c r="AI12297" s="10"/>
    </row>
    <row r="12298" spans="28:35" ht="15" hidden="1" customHeight="1">
      <c r="AB12298" s="9"/>
      <c r="AC12298" s="9"/>
      <c r="AD12298" s="9"/>
      <c r="AF12298" s="10"/>
      <c r="AG12298" s="10"/>
      <c r="AH12298" s="10"/>
      <c r="AI12298" s="10"/>
    </row>
    <row r="12299" spans="28:35" ht="15" hidden="1" customHeight="1">
      <c r="AB12299" s="9"/>
      <c r="AC12299" s="9"/>
      <c r="AD12299" s="9"/>
      <c r="AF12299" s="10"/>
      <c r="AG12299" s="10"/>
      <c r="AH12299" s="10"/>
      <c r="AI12299" s="10"/>
    </row>
    <row r="12300" spans="28:35" ht="15" hidden="1" customHeight="1">
      <c r="AB12300" s="9"/>
      <c r="AC12300" s="9"/>
      <c r="AD12300" s="9"/>
      <c r="AF12300" s="10"/>
      <c r="AG12300" s="10"/>
      <c r="AH12300" s="10"/>
      <c r="AI12300" s="10"/>
    </row>
    <row r="12301" spans="28:35" ht="15" hidden="1" customHeight="1">
      <c r="AB12301" s="9"/>
      <c r="AC12301" s="9"/>
      <c r="AD12301" s="9"/>
      <c r="AF12301" s="10"/>
      <c r="AG12301" s="10"/>
      <c r="AH12301" s="10"/>
      <c r="AI12301" s="10"/>
    </row>
    <row r="12302" spans="28:35" ht="15" hidden="1" customHeight="1">
      <c r="AB12302" s="9"/>
      <c r="AC12302" s="9"/>
      <c r="AD12302" s="9"/>
      <c r="AF12302" s="10"/>
      <c r="AG12302" s="10"/>
      <c r="AH12302" s="10"/>
      <c r="AI12302" s="10"/>
    </row>
    <row r="12303" spans="28:35" ht="15" hidden="1" customHeight="1">
      <c r="AB12303" s="9"/>
      <c r="AC12303" s="9"/>
      <c r="AD12303" s="9"/>
      <c r="AF12303" s="10"/>
      <c r="AG12303" s="10"/>
      <c r="AH12303" s="10"/>
      <c r="AI12303" s="10"/>
    </row>
    <row r="12304" spans="28:35" ht="15" hidden="1" customHeight="1">
      <c r="AB12304" s="9"/>
      <c r="AC12304" s="9"/>
      <c r="AD12304" s="9"/>
      <c r="AF12304" s="10"/>
      <c r="AG12304" s="10"/>
      <c r="AH12304" s="10"/>
      <c r="AI12304" s="10"/>
    </row>
    <row r="12305" spans="28:35" ht="15" hidden="1" customHeight="1">
      <c r="AB12305" s="9"/>
      <c r="AC12305" s="9"/>
      <c r="AD12305" s="9"/>
      <c r="AF12305" s="10"/>
      <c r="AG12305" s="10"/>
      <c r="AH12305" s="10"/>
      <c r="AI12305" s="10"/>
    </row>
    <row r="12306" spans="28:35" ht="15" hidden="1" customHeight="1">
      <c r="AB12306" s="9"/>
      <c r="AC12306" s="9"/>
      <c r="AD12306" s="9"/>
      <c r="AF12306" s="10"/>
      <c r="AG12306" s="10"/>
      <c r="AH12306" s="10"/>
      <c r="AI12306" s="10"/>
    </row>
    <row r="12307" spans="28:35" ht="15" hidden="1" customHeight="1">
      <c r="AB12307" s="9"/>
      <c r="AC12307" s="9"/>
      <c r="AD12307" s="9"/>
      <c r="AF12307" s="10"/>
      <c r="AG12307" s="10"/>
      <c r="AH12307" s="10"/>
      <c r="AI12307" s="10"/>
    </row>
    <row r="12308" spans="28:35" ht="15" hidden="1" customHeight="1">
      <c r="AB12308" s="9"/>
      <c r="AC12308" s="9"/>
      <c r="AD12308" s="9"/>
      <c r="AF12308" s="10"/>
      <c r="AG12308" s="10"/>
      <c r="AH12308" s="10"/>
      <c r="AI12308" s="10"/>
    </row>
    <row r="12309" spans="28:35" ht="15" hidden="1" customHeight="1">
      <c r="AB12309" s="9"/>
      <c r="AC12309" s="9"/>
      <c r="AD12309" s="9"/>
      <c r="AF12309" s="10"/>
      <c r="AG12309" s="10"/>
      <c r="AH12309" s="10"/>
      <c r="AI12309" s="10"/>
    </row>
    <row r="12310" spans="28:35" ht="15" hidden="1" customHeight="1">
      <c r="AB12310" s="9"/>
      <c r="AC12310" s="9"/>
      <c r="AD12310" s="9"/>
      <c r="AF12310" s="10"/>
      <c r="AG12310" s="10"/>
      <c r="AH12310" s="10"/>
      <c r="AI12310" s="10"/>
    </row>
    <row r="12311" spans="28:35" ht="15" hidden="1" customHeight="1">
      <c r="AB12311" s="9"/>
      <c r="AC12311" s="9"/>
      <c r="AD12311" s="9"/>
      <c r="AF12311" s="10"/>
      <c r="AG12311" s="10"/>
      <c r="AH12311" s="10"/>
      <c r="AI12311" s="10"/>
    </row>
    <row r="12312" spans="28:35" ht="15" hidden="1" customHeight="1">
      <c r="AB12312" s="9"/>
      <c r="AC12312" s="9"/>
      <c r="AD12312" s="9"/>
      <c r="AF12312" s="10"/>
      <c r="AG12312" s="10"/>
      <c r="AH12312" s="10"/>
      <c r="AI12312" s="10"/>
    </row>
    <row r="12313" spans="28:35" ht="15" hidden="1" customHeight="1">
      <c r="AB12313" s="9"/>
      <c r="AC12313" s="9"/>
      <c r="AD12313" s="9"/>
      <c r="AF12313" s="10"/>
      <c r="AG12313" s="10"/>
      <c r="AH12313" s="10"/>
      <c r="AI12313" s="10"/>
    </row>
    <row r="12314" spans="28:35" ht="15" hidden="1" customHeight="1">
      <c r="AB12314" s="9"/>
      <c r="AC12314" s="9"/>
      <c r="AD12314" s="9"/>
      <c r="AF12314" s="10"/>
      <c r="AG12314" s="10"/>
      <c r="AH12314" s="10"/>
      <c r="AI12314" s="10"/>
    </row>
    <row r="12315" spans="28:35" ht="15" hidden="1" customHeight="1">
      <c r="AB12315" s="9"/>
      <c r="AC12315" s="9"/>
      <c r="AD12315" s="9"/>
      <c r="AF12315" s="10"/>
      <c r="AG12315" s="10"/>
      <c r="AH12315" s="10"/>
      <c r="AI12315" s="10"/>
    </row>
    <row r="12316" spans="28:35" ht="15" hidden="1" customHeight="1">
      <c r="AB12316" s="9"/>
      <c r="AC12316" s="9"/>
      <c r="AD12316" s="9"/>
      <c r="AF12316" s="10"/>
      <c r="AG12316" s="10"/>
      <c r="AH12316" s="10"/>
      <c r="AI12316" s="10"/>
    </row>
    <row r="12317" spans="28:35" ht="15" hidden="1" customHeight="1">
      <c r="AB12317" s="9"/>
      <c r="AC12317" s="9"/>
      <c r="AD12317" s="9"/>
      <c r="AF12317" s="10"/>
      <c r="AG12317" s="10"/>
      <c r="AH12317" s="10"/>
      <c r="AI12317" s="10"/>
    </row>
    <row r="12318" spans="28:35" ht="15" hidden="1" customHeight="1">
      <c r="AB12318" s="9"/>
      <c r="AC12318" s="9"/>
      <c r="AD12318" s="9"/>
      <c r="AF12318" s="10"/>
      <c r="AG12318" s="10"/>
      <c r="AH12318" s="10"/>
      <c r="AI12318" s="10"/>
    </row>
    <row r="12319" spans="28:35" ht="15" hidden="1" customHeight="1">
      <c r="AB12319" s="9"/>
      <c r="AC12319" s="9"/>
      <c r="AD12319" s="9"/>
      <c r="AF12319" s="10"/>
      <c r="AG12319" s="10"/>
      <c r="AH12319" s="10"/>
      <c r="AI12319" s="10"/>
    </row>
    <row r="12320" spans="28:35" ht="15" hidden="1" customHeight="1">
      <c r="AB12320" s="9"/>
      <c r="AC12320" s="9"/>
      <c r="AD12320" s="9"/>
      <c r="AF12320" s="10"/>
      <c r="AG12320" s="10"/>
      <c r="AH12320" s="10"/>
      <c r="AI12320" s="10"/>
    </row>
    <row r="12321" spans="28:35" ht="15" hidden="1" customHeight="1">
      <c r="AB12321" s="9"/>
      <c r="AC12321" s="9"/>
      <c r="AD12321" s="9"/>
      <c r="AF12321" s="10"/>
      <c r="AG12321" s="10"/>
      <c r="AH12321" s="10"/>
      <c r="AI12321" s="10"/>
    </row>
    <row r="12322" spans="28:35" ht="15" hidden="1" customHeight="1">
      <c r="AB12322" s="9"/>
      <c r="AC12322" s="9"/>
      <c r="AD12322" s="9"/>
      <c r="AF12322" s="10"/>
      <c r="AG12322" s="10"/>
      <c r="AH12322" s="10"/>
      <c r="AI12322" s="10"/>
    </row>
    <row r="12323" spans="28:35" ht="15" hidden="1" customHeight="1">
      <c r="AB12323" s="9"/>
      <c r="AC12323" s="9"/>
      <c r="AD12323" s="9"/>
      <c r="AF12323" s="10"/>
      <c r="AG12323" s="10"/>
      <c r="AH12323" s="10"/>
      <c r="AI12323" s="10"/>
    </row>
    <row r="12324" spans="28:35" ht="15" hidden="1" customHeight="1">
      <c r="AB12324" s="9"/>
      <c r="AC12324" s="9"/>
      <c r="AD12324" s="9"/>
      <c r="AF12324" s="10"/>
      <c r="AG12324" s="10"/>
      <c r="AH12324" s="10"/>
      <c r="AI12324" s="10"/>
    </row>
    <row r="12325" spans="28:35" ht="15" hidden="1" customHeight="1">
      <c r="AB12325" s="9"/>
      <c r="AC12325" s="9"/>
      <c r="AD12325" s="9"/>
      <c r="AF12325" s="10"/>
      <c r="AG12325" s="10"/>
      <c r="AH12325" s="10"/>
      <c r="AI12325" s="10"/>
    </row>
    <row r="12326" spans="28:35" ht="15" hidden="1" customHeight="1">
      <c r="AB12326" s="9"/>
      <c r="AC12326" s="9"/>
      <c r="AD12326" s="9"/>
      <c r="AF12326" s="10"/>
      <c r="AG12326" s="10"/>
      <c r="AH12326" s="10"/>
      <c r="AI12326" s="10"/>
    </row>
    <row r="12327" spans="28:35" ht="15" hidden="1" customHeight="1">
      <c r="AB12327" s="9"/>
      <c r="AC12327" s="9"/>
      <c r="AD12327" s="9"/>
      <c r="AF12327" s="10"/>
      <c r="AG12327" s="10"/>
      <c r="AH12327" s="10"/>
      <c r="AI12327" s="10"/>
    </row>
    <row r="12328" spans="28:35" ht="15" hidden="1" customHeight="1">
      <c r="AB12328" s="9"/>
      <c r="AC12328" s="9"/>
      <c r="AD12328" s="9"/>
      <c r="AF12328" s="10"/>
      <c r="AG12328" s="10"/>
      <c r="AH12328" s="10"/>
      <c r="AI12328" s="10"/>
    </row>
    <row r="12329" spans="28:35" ht="15" hidden="1" customHeight="1">
      <c r="AB12329" s="9"/>
      <c r="AC12329" s="9"/>
      <c r="AD12329" s="9"/>
      <c r="AF12329" s="10"/>
      <c r="AG12329" s="10"/>
      <c r="AH12329" s="10"/>
      <c r="AI12329" s="10"/>
    </row>
    <row r="12330" spans="28:35" ht="15" hidden="1" customHeight="1">
      <c r="AB12330" s="9"/>
      <c r="AC12330" s="9"/>
      <c r="AD12330" s="9"/>
      <c r="AF12330" s="10"/>
      <c r="AG12330" s="10"/>
      <c r="AH12330" s="10"/>
      <c r="AI12330" s="10"/>
    </row>
    <row r="12331" spans="28:35" ht="15" hidden="1" customHeight="1">
      <c r="AB12331" s="9"/>
      <c r="AC12331" s="9"/>
      <c r="AD12331" s="9"/>
      <c r="AF12331" s="10"/>
      <c r="AG12331" s="10"/>
      <c r="AH12331" s="10"/>
      <c r="AI12331" s="10"/>
    </row>
    <row r="12332" spans="28:35" ht="15" hidden="1" customHeight="1">
      <c r="AB12332" s="9"/>
      <c r="AC12332" s="9"/>
      <c r="AD12332" s="9"/>
      <c r="AF12332" s="10"/>
      <c r="AG12332" s="10"/>
      <c r="AH12332" s="10"/>
      <c r="AI12332" s="10"/>
    </row>
    <row r="12333" spans="28:35" ht="15" hidden="1" customHeight="1">
      <c r="AB12333" s="9"/>
      <c r="AC12333" s="9"/>
      <c r="AD12333" s="9"/>
      <c r="AF12333" s="10"/>
      <c r="AG12333" s="10"/>
      <c r="AH12333" s="10"/>
      <c r="AI12333" s="10"/>
    </row>
    <row r="12334" spans="28:35" ht="15" hidden="1" customHeight="1">
      <c r="AB12334" s="9"/>
      <c r="AC12334" s="9"/>
      <c r="AD12334" s="9"/>
      <c r="AF12334" s="10"/>
      <c r="AG12334" s="10"/>
      <c r="AH12334" s="10"/>
      <c r="AI12334" s="10"/>
    </row>
    <row r="12335" spans="28:35" ht="15" hidden="1" customHeight="1">
      <c r="AB12335" s="9"/>
      <c r="AC12335" s="9"/>
      <c r="AD12335" s="9"/>
      <c r="AF12335" s="10"/>
      <c r="AG12335" s="10"/>
      <c r="AH12335" s="10"/>
      <c r="AI12335" s="10"/>
    </row>
    <row r="12336" spans="28:35" ht="15" hidden="1" customHeight="1">
      <c r="AB12336" s="9"/>
      <c r="AC12336" s="9"/>
      <c r="AD12336" s="9"/>
      <c r="AF12336" s="10"/>
      <c r="AG12336" s="10"/>
      <c r="AH12336" s="10"/>
      <c r="AI12336" s="10"/>
    </row>
    <row r="12337" spans="28:35" ht="15" hidden="1" customHeight="1">
      <c r="AB12337" s="9"/>
      <c r="AC12337" s="9"/>
      <c r="AD12337" s="9"/>
      <c r="AF12337" s="10"/>
      <c r="AG12337" s="10"/>
      <c r="AH12337" s="10"/>
      <c r="AI12337" s="10"/>
    </row>
    <row r="12338" spans="28:35" ht="15" hidden="1" customHeight="1">
      <c r="AB12338" s="9"/>
      <c r="AC12338" s="9"/>
      <c r="AD12338" s="9"/>
      <c r="AF12338" s="10"/>
      <c r="AG12338" s="10"/>
      <c r="AH12338" s="10"/>
      <c r="AI12338" s="10"/>
    </row>
    <row r="12339" spans="28:35" ht="15" hidden="1" customHeight="1">
      <c r="AB12339" s="9"/>
      <c r="AC12339" s="9"/>
      <c r="AD12339" s="9"/>
      <c r="AF12339" s="10"/>
      <c r="AG12339" s="10"/>
      <c r="AH12339" s="10"/>
      <c r="AI12339" s="10"/>
    </row>
    <row r="12340" spans="28:35" ht="15" hidden="1" customHeight="1">
      <c r="AB12340" s="9"/>
      <c r="AC12340" s="9"/>
      <c r="AD12340" s="9"/>
      <c r="AF12340" s="10"/>
      <c r="AG12340" s="10"/>
      <c r="AH12340" s="10"/>
      <c r="AI12340" s="10"/>
    </row>
    <row r="12341" spans="28:35" ht="15" hidden="1" customHeight="1">
      <c r="AB12341" s="9"/>
      <c r="AC12341" s="9"/>
      <c r="AD12341" s="9"/>
      <c r="AF12341" s="10"/>
      <c r="AG12341" s="10"/>
      <c r="AH12341" s="10"/>
      <c r="AI12341" s="10"/>
    </row>
    <row r="12342" spans="28:35" ht="15" hidden="1" customHeight="1">
      <c r="AB12342" s="9"/>
      <c r="AC12342" s="9"/>
      <c r="AD12342" s="9"/>
      <c r="AF12342" s="10"/>
      <c r="AG12342" s="10"/>
      <c r="AH12342" s="10"/>
      <c r="AI12342" s="10"/>
    </row>
    <row r="12343" spans="28:35" ht="15" hidden="1" customHeight="1">
      <c r="AB12343" s="9"/>
      <c r="AC12343" s="9"/>
      <c r="AD12343" s="9"/>
      <c r="AF12343" s="10"/>
      <c r="AG12343" s="10"/>
      <c r="AH12343" s="10"/>
      <c r="AI12343" s="10"/>
    </row>
    <row r="12344" spans="28:35" ht="15" hidden="1" customHeight="1">
      <c r="AB12344" s="9"/>
      <c r="AC12344" s="9"/>
      <c r="AD12344" s="9"/>
      <c r="AF12344" s="10"/>
      <c r="AG12344" s="10"/>
      <c r="AH12344" s="10"/>
      <c r="AI12344" s="10"/>
    </row>
    <row r="12345" spans="28:35" ht="15" hidden="1" customHeight="1">
      <c r="AB12345" s="9"/>
      <c r="AC12345" s="9"/>
      <c r="AD12345" s="9"/>
      <c r="AF12345" s="10"/>
      <c r="AG12345" s="10"/>
      <c r="AH12345" s="10"/>
      <c r="AI12345" s="10"/>
    </row>
    <row r="12346" spans="28:35" ht="15" hidden="1" customHeight="1">
      <c r="AB12346" s="9"/>
      <c r="AC12346" s="9"/>
      <c r="AD12346" s="9"/>
      <c r="AF12346" s="10"/>
      <c r="AG12346" s="10"/>
      <c r="AH12346" s="10"/>
      <c r="AI12346" s="10"/>
    </row>
    <row r="12347" spans="28:35" ht="15" hidden="1" customHeight="1">
      <c r="AB12347" s="9"/>
      <c r="AC12347" s="9"/>
      <c r="AD12347" s="9"/>
      <c r="AF12347" s="10"/>
      <c r="AG12347" s="10"/>
      <c r="AH12347" s="10"/>
      <c r="AI12347" s="10"/>
    </row>
    <row r="12348" spans="28:35" ht="15" hidden="1" customHeight="1">
      <c r="AB12348" s="9"/>
      <c r="AC12348" s="9"/>
      <c r="AD12348" s="9"/>
      <c r="AF12348" s="10"/>
      <c r="AG12348" s="10"/>
      <c r="AH12348" s="10"/>
      <c r="AI12348" s="10"/>
    </row>
    <row r="12349" spans="28:35" ht="15" hidden="1" customHeight="1">
      <c r="AB12349" s="9"/>
      <c r="AC12349" s="9"/>
      <c r="AD12349" s="9"/>
      <c r="AF12349" s="10"/>
      <c r="AG12349" s="10"/>
      <c r="AH12349" s="10"/>
      <c r="AI12349" s="10"/>
    </row>
    <row r="12350" spans="28:35" ht="15" hidden="1" customHeight="1">
      <c r="AB12350" s="9"/>
      <c r="AC12350" s="9"/>
      <c r="AD12350" s="9"/>
      <c r="AF12350" s="10"/>
      <c r="AG12350" s="10"/>
      <c r="AH12350" s="10"/>
      <c r="AI12350" s="10"/>
    </row>
    <row r="12351" spans="28:35" ht="15" hidden="1" customHeight="1">
      <c r="AB12351" s="9"/>
      <c r="AC12351" s="9"/>
      <c r="AD12351" s="9"/>
      <c r="AF12351" s="10"/>
      <c r="AG12351" s="10"/>
      <c r="AH12351" s="10"/>
      <c r="AI12351" s="10"/>
    </row>
    <row r="12352" spans="28:35" ht="15" hidden="1" customHeight="1">
      <c r="AB12352" s="9"/>
      <c r="AC12352" s="9"/>
      <c r="AD12352" s="9"/>
      <c r="AF12352" s="10"/>
      <c r="AG12352" s="10"/>
      <c r="AH12352" s="10"/>
      <c r="AI12352" s="10"/>
    </row>
    <row r="12353" spans="28:35" ht="15" hidden="1" customHeight="1">
      <c r="AB12353" s="9"/>
      <c r="AC12353" s="9"/>
      <c r="AD12353" s="9"/>
      <c r="AF12353" s="10"/>
      <c r="AG12353" s="10"/>
      <c r="AH12353" s="10"/>
      <c r="AI12353" s="10"/>
    </row>
    <row r="12354" spans="28:35" ht="15" hidden="1" customHeight="1">
      <c r="AB12354" s="9"/>
      <c r="AC12354" s="9"/>
      <c r="AD12354" s="9"/>
      <c r="AF12354" s="10"/>
      <c r="AG12354" s="10"/>
      <c r="AH12354" s="10"/>
      <c r="AI12354" s="10"/>
    </row>
    <row r="12355" spans="28:35" ht="15" hidden="1" customHeight="1">
      <c r="AB12355" s="9"/>
      <c r="AC12355" s="9"/>
      <c r="AD12355" s="9"/>
      <c r="AF12355" s="10"/>
      <c r="AG12355" s="10"/>
      <c r="AH12355" s="10"/>
      <c r="AI12355" s="10"/>
    </row>
    <row r="12356" spans="28:35" ht="15" hidden="1" customHeight="1">
      <c r="AB12356" s="9"/>
      <c r="AC12356" s="9"/>
      <c r="AD12356" s="9"/>
      <c r="AF12356" s="10"/>
      <c r="AG12356" s="10"/>
      <c r="AH12356" s="10"/>
      <c r="AI12356" s="10"/>
    </row>
    <row r="12357" spans="28:35" ht="15" hidden="1" customHeight="1">
      <c r="AB12357" s="9"/>
      <c r="AC12357" s="9"/>
      <c r="AD12357" s="9"/>
      <c r="AF12357" s="10"/>
      <c r="AG12357" s="10"/>
      <c r="AH12357" s="10"/>
      <c r="AI12357" s="10"/>
    </row>
    <row r="12358" spans="28:35" ht="15" hidden="1" customHeight="1">
      <c r="AB12358" s="9"/>
      <c r="AC12358" s="9"/>
      <c r="AD12358" s="9"/>
      <c r="AF12358" s="10"/>
      <c r="AG12358" s="10"/>
      <c r="AH12358" s="10"/>
      <c r="AI12358" s="10"/>
    </row>
    <row r="12359" spans="28:35" ht="15" hidden="1" customHeight="1">
      <c r="AB12359" s="9"/>
      <c r="AC12359" s="9"/>
      <c r="AD12359" s="9"/>
      <c r="AF12359" s="10"/>
      <c r="AG12359" s="10"/>
      <c r="AH12359" s="10"/>
      <c r="AI12359" s="10"/>
    </row>
    <row r="12360" spans="28:35" ht="15" hidden="1" customHeight="1">
      <c r="AB12360" s="9"/>
      <c r="AC12360" s="9"/>
      <c r="AD12360" s="9"/>
      <c r="AF12360" s="10"/>
      <c r="AG12360" s="10"/>
      <c r="AH12360" s="10"/>
      <c r="AI12360" s="10"/>
    </row>
    <row r="12361" spans="28:35" ht="15" hidden="1" customHeight="1">
      <c r="AB12361" s="9"/>
      <c r="AC12361" s="9"/>
      <c r="AD12361" s="9"/>
      <c r="AF12361" s="10"/>
      <c r="AG12361" s="10"/>
      <c r="AH12361" s="10"/>
      <c r="AI12361" s="10"/>
    </row>
    <row r="12362" spans="28:35" ht="15" hidden="1" customHeight="1">
      <c r="AB12362" s="9"/>
      <c r="AC12362" s="9"/>
      <c r="AD12362" s="9"/>
      <c r="AF12362" s="10"/>
      <c r="AG12362" s="10"/>
      <c r="AH12362" s="10"/>
      <c r="AI12362" s="10"/>
    </row>
    <row r="12363" spans="28:35" ht="15" hidden="1" customHeight="1">
      <c r="AB12363" s="9"/>
      <c r="AC12363" s="9"/>
      <c r="AD12363" s="9"/>
      <c r="AF12363" s="10"/>
      <c r="AG12363" s="10"/>
      <c r="AH12363" s="10"/>
      <c r="AI12363" s="10"/>
    </row>
    <row r="12364" spans="28:35" ht="15" hidden="1" customHeight="1">
      <c r="AB12364" s="9"/>
      <c r="AC12364" s="9"/>
      <c r="AD12364" s="9"/>
      <c r="AF12364" s="10"/>
      <c r="AG12364" s="10"/>
      <c r="AH12364" s="10"/>
      <c r="AI12364" s="10"/>
    </row>
    <row r="12365" spans="28:35" ht="15" hidden="1" customHeight="1">
      <c r="AB12365" s="9"/>
      <c r="AC12365" s="9"/>
      <c r="AD12365" s="9"/>
      <c r="AF12365" s="10"/>
      <c r="AG12365" s="10"/>
      <c r="AH12365" s="10"/>
      <c r="AI12365" s="10"/>
    </row>
    <row r="12366" spans="28:35" ht="15" hidden="1" customHeight="1">
      <c r="AB12366" s="9"/>
      <c r="AC12366" s="9"/>
      <c r="AD12366" s="9"/>
      <c r="AF12366" s="10"/>
      <c r="AG12366" s="10"/>
      <c r="AH12366" s="10"/>
      <c r="AI12366" s="10"/>
    </row>
    <row r="12367" spans="28:35" ht="15" hidden="1" customHeight="1">
      <c r="AB12367" s="9"/>
      <c r="AC12367" s="9"/>
      <c r="AD12367" s="9"/>
      <c r="AF12367" s="10"/>
      <c r="AG12367" s="10"/>
      <c r="AH12367" s="10"/>
      <c r="AI12367" s="10"/>
    </row>
    <row r="12368" spans="28:35" ht="15" hidden="1" customHeight="1">
      <c r="AB12368" s="9"/>
      <c r="AC12368" s="9"/>
      <c r="AD12368" s="9"/>
      <c r="AF12368" s="10"/>
      <c r="AG12368" s="10"/>
      <c r="AH12368" s="10"/>
      <c r="AI12368" s="10"/>
    </row>
    <row r="12369" spans="28:35" ht="15" hidden="1" customHeight="1">
      <c r="AB12369" s="9"/>
      <c r="AC12369" s="9"/>
      <c r="AD12369" s="9"/>
      <c r="AF12369" s="10"/>
      <c r="AG12369" s="10"/>
      <c r="AH12369" s="10"/>
      <c r="AI12369" s="10"/>
    </row>
    <row r="12370" spans="28:35" ht="15" hidden="1" customHeight="1">
      <c r="AB12370" s="9"/>
      <c r="AC12370" s="9"/>
      <c r="AD12370" s="9"/>
      <c r="AF12370" s="10"/>
      <c r="AG12370" s="10"/>
      <c r="AH12370" s="10"/>
      <c r="AI12370" s="10"/>
    </row>
    <row r="12371" spans="28:35" ht="15" hidden="1" customHeight="1">
      <c r="AB12371" s="9"/>
      <c r="AC12371" s="9"/>
      <c r="AD12371" s="9"/>
      <c r="AF12371" s="10"/>
      <c r="AG12371" s="10"/>
      <c r="AH12371" s="10"/>
      <c r="AI12371" s="10"/>
    </row>
    <row r="12372" spans="28:35" ht="15" hidden="1" customHeight="1">
      <c r="AB12372" s="9"/>
      <c r="AC12372" s="9"/>
      <c r="AD12372" s="9"/>
      <c r="AF12372" s="10"/>
      <c r="AG12372" s="10"/>
      <c r="AH12372" s="10"/>
      <c r="AI12372" s="10"/>
    </row>
    <row r="12373" spans="28:35" ht="15" hidden="1" customHeight="1">
      <c r="AB12373" s="9"/>
      <c r="AC12373" s="9"/>
      <c r="AD12373" s="9"/>
      <c r="AF12373" s="10"/>
      <c r="AG12373" s="10"/>
      <c r="AH12373" s="10"/>
      <c r="AI12373" s="10"/>
    </row>
    <row r="12374" spans="28:35" ht="15" hidden="1" customHeight="1">
      <c r="AB12374" s="9"/>
      <c r="AC12374" s="9"/>
      <c r="AD12374" s="9"/>
      <c r="AF12374" s="10"/>
      <c r="AG12374" s="10"/>
      <c r="AH12374" s="10"/>
      <c r="AI12374" s="10"/>
    </row>
    <row r="12375" spans="28:35" ht="15" hidden="1" customHeight="1">
      <c r="AB12375" s="9"/>
      <c r="AC12375" s="9"/>
      <c r="AD12375" s="9"/>
      <c r="AF12375" s="10"/>
      <c r="AG12375" s="10"/>
      <c r="AH12375" s="10"/>
      <c r="AI12375" s="10"/>
    </row>
    <row r="12376" spans="28:35" ht="15" hidden="1" customHeight="1">
      <c r="AB12376" s="9"/>
      <c r="AC12376" s="9"/>
      <c r="AD12376" s="9"/>
      <c r="AF12376" s="10"/>
      <c r="AG12376" s="10"/>
      <c r="AH12376" s="10"/>
      <c r="AI12376" s="10"/>
    </row>
    <row r="12377" spans="28:35" ht="15" hidden="1" customHeight="1">
      <c r="AB12377" s="9"/>
      <c r="AC12377" s="9"/>
      <c r="AD12377" s="9"/>
      <c r="AF12377" s="10"/>
      <c r="AG12377" s="10"/>
      <c r="AH12377" s="10"/>
      <c r="AI12377" s="10"/>
    </row>
    <row r="12378" spans="28:35" ht="15" hidden="1" customHeight="1">
      <c r="AB12378" s="9"/>
      <c r="AC12378" s="9"/>
      <c r="AD12378" s="9"/>
      <c r="AF12378" s="10"/>
      <c r="AG12378" s="10"/>
      <c r="AH12378" s="10"/>
      <c r="AI12378" s="10"/>
    </row>
    <row r="12379" spans="28:35" ht="15" hidden="1" customHeight="1">
      <c r="AB12379" s="9"/>
      <c r="AC12379" s="9"/>
      <c r="AD12379" s="9"/>
      <c r="AF12379" s="10"/>
      <c r="AG12379" s="10"/>
      <c r="AH12379" s="10"/>
      <c r="AI12379" s="10"/>
    </row>
    <row r="12380" spans="28:35" ht="15" hidden="1" customHeight="1">
      <c r="AB12380" s="9"/>
      <c r="AC12380" s="9"/>
      <c r="AD12380" s="9"/>
      <c r="AF12380" s="10"/>
      <c r="AG12380" s="10"/>
      <c r="AH12380" s="10"/>
      <c r="AI12380" s="10"/>
    </row>
    <row r="12381" spans="28:35" ht="15" hidden="1" customHeight="1">
      <c r="AB12381" s="9"/>
      <c r="AC12381" s="9"/>
      <c r="AD12381" s="9"/>
      <c r="AF12381" s="10"/>
      <c r="AG12381" s="10"/>
      <c r="AH12381" s="10"/>
      <c r="AI12381" s="10"/>
    </row>
    <row r="12382" spans="28:35" ht="15" hidden="1" customHeight="1">
      <c r="AB12382" s="9"/>
      <c r="AC12382" s="9"/>
      <c r="AD12382" s="9"/>
      <c r="AF12382" s="10"/>
      <c r="AG12382" s="10"/>
      <c r="AH12382" s="10"/>
      <c r="AI12382" s="10"/>
    </row>
    <row r="12383" spans="28:35" ht="15" hidden="1" customHeight="1">
      <c r="AB12383" s="9"/>
      <c r="AC12383" s="9"/>
      <c r="AD12383" s="9"/>
      <c r="AF12383" s="10"/>
      <c r="AG12383" s="10"/>
      <c r="AH12383" s="10"/>
      <c r="AI12383" s="10"/>
    </row>
    <row r="12384" spans="28:35" ht="15" hidden="1" customHeight="1">
      <c r="AB12384" s="9"/>
      <c r="AC12384" s="9"/>
      <c r="AD12384" s="9"/>
      <c r="AF12384" s="10"/>
      <c r="AG12384" s="10"/>
      <c r="AH12384" s="10"/>
      <c r="AI12384" s="10"/>
    </row>
    <row r="12385" spans="28:35" ht="15" hidden="1" customHeight="1">
      <c r="AB12385" s="9"/>
      <c r="AC12385" s="9"/>
      <c r="AD12385" s="9"/>
      <c r="AF12385" s="10"/>
      <c r="AG12385" s="10"/>
      <c r="AH12385" s="10"/>
      <c r="AI12385" s="10"/>
    </row>
    <row r="12386" spans="28:35" ht="15" hidden="1" customHeight="1">
      <c r="AB12386" s="9"/>
      <c r="AC12386" s="9"/>
      <c r="AD12386" s="9"/>
      <c r="AF12386" s="10"/>
      <c r="AG12386" s="10"/>
      <c r="AH12386" s="10"/>
      <c r="AI12386" s="10"/>
    </row>
    <row r="12387" spans="28:35" ht="15" hidden="1" customHeight="1">
      <c r="AB12387" s="9"/>
      <c r="AC12387" s="9"/>
      <c r="AD12387" s="9"/>
      <c r="AF12387" s="10"/>
      <c r="AG12387" s="10"/>
      <c r="AH12387" s="10"/>
      <c r="AI12387" s="10"/>
    </row>
    <row r="12388" spans="28:35" ht="15" hidden="1" customHeight="1">
      <c r="AB12388" s="9"/>
      <c r="AC12388" s="9"/>
      <c r="AD12388" s="9"/>
      <c r="AF12388" s="10"/>
      <c r="AG12388" s="10"/>
      <c r="AH12388" s="10"/>
      <c r="AI12388" s="10"/>
    </row>
    <row r="12389" spans="28:35" ht="15" hidden="1" customHeight="1">
      <c r="AB12389" s="9"/>
      <c r="AC12389" s="9"/>
      <c r="AD12389" s="9"/>
      <c r="AF12389" s="10"/>
      <c r="AG12389" s="10"/>
      <c r="AH12389" s="10"/>
      <c r="AI12389" s="10"/>
    </row>
    <row r="12390" spans="28:35" ht="15" hidden="1" customHeight="1">
      <c r="AB12390" s="9"/>
      <c r="AC12390" s="9"/>
      <c r="AD12390" s="9"/>
      <c r="AF12390" s="10"/>
      <c r="AG12390" s="10"/>
      <c r="AH12390" s="10"/>
      <c r="AI12390" s="10"/>
    </row>
    <row r="12391" spans="28:35" ht="15" hidden="1" customHeight="1">
      <c r="AB12391" s="9"/>
      <c r="AC12391" s="9"/>
      <c r="AD12391" s="9"/>
      <c r="AF12391" s="10"/>
      <c r="AG12391" s="10"/>
      <c r="AH12391" s="10"/>
      <c r="AI12391" s="10"/>
    </row>
    <row r="12392" spans="28:35" ht="15" hidden="1" customHeight="1">
      <c r="AB12392" s="9"/>
      <c r="AC12392" s="9"/>
      <c r="AD12392" s="9"/>
      <c r="AF12392" s="10"/>
      <c r="AG12392" s="10"/>
      <c r="AH12392" s="10"/>
      <c r="AI12392" s="10"/>
    </row>
    <row r="12393" spans="28:35" ht="15" hidden="1" customHeight="1">
      <c r="AB12393" s="9"/>
      <c r="AC12393" s="9"/>
      <c r="AD12393" s="9"/>
      <c r="AF12393" s="10"/>
      <c r="AG12393" s="10"/>
      <c r="AH12393" s="10"/>
      <c r="AI12393" s="10"/>
    </row>
    <row r="12394" spans="28:35" ht="15" hidden="1" customHeight="1">
      <c r="AB12394" s="9"/>
      <c r="AC12394" s="9"/>
      <c r="AD12394" s="9"/>
      <c r="AF12394" s="10"/>
      <c r="AG12394" s="10"/>
      <c r="AH12394" s="10"/>
      <c r="AI12394" s="10"/>
    </row>
    <row r="12395" spans="28:35" ht="15" hidden="1" customHeight="1">
      <c r="AB12395" s="9"/>
      <c r="AC12395" s="9"/>
      <c r="AD12395" s="9"/>
      <c r="AF12395" s="10"/>
      <c r="AG12395" s="10"/>
      <c r="AH12395" s="10"/>
      <c r="AI12395" s="10"/>
    </row>
    <row r="12396" spans="28:35" ht="15" hidden="1" customHeight="1">
      <c r="AB12396" s="9"/>
      <c r="AC12396" s="9"/>
      <c r="AD12396" s="9"/>
      <c r="AF12396" s="10"/>
      <c r="AG12396" s="10"/>
      <c r="AH12396" s="10"/>
      <c r="AI12396" s="10"/>
    </row>
    <row r="12397" spans="28:35" ht="15" hidden="1" customHeight="1">
      <c r="AB12397" s="9"/>
      <c r="AC12397" s="9"/>
      <c r="AD12397" s="9"/>
      <c r="AF12397" s="10"/>
      <c r="AG12397" s="10"/>
      <c r="AH12397" s="10"/>
      <c r="AI12397" s="10"/>
    </row>
    <row r="12398" spans="28:35" ht="15" hidden="1" customHeight="1">
      <c r="AB12398" s="9"/>
      <c r="AC12398" s="9"/>
      <c r="AD12398" s="9"/>
      <c r="AF12398" s="10"/>
      <c r="AG12398" s="10"/>
      <c r="AH12398" s="10"/>
      <c r="AI12398" s="10"/>
    </row>
    <row r="12399" spans="28:35" ht="15" hidden="1" customHeight="1">
      <c r="AB12399" s="9"/>
      <c r="AC12399" s="9"/>
      <c r="AD12399" s="9"/>
      <c r="AF12399" s="10"/>
      <c r="AG12399" s="10"/>
      <c r="AH12399" s="10"/>
      <c r="AI12399" s="10"/>
    </row>
    <row r="12400" spans="28:35" ht="15" hidden="1" customHeight="1">
      <c r="AB12400" s="9"/>
      <c r="AC12400" s="9"/>
      <c r="AD12400" s="9"/>
      <c r="AF12400" s="10"/>
      <c r="AG12400" s="10"/>
      <c r="AH12400" s="10"/>
      <c r="AI12400" s="10"/>
    </row>
    <row r="12401" spans="28:35" ht="15" hidden="1" customHeight="1">
      <c r="AB12401" s="9"/>
      <c r="AC12401" s="9"/>
      <c r="AD12401" s="9"/>
      <c r="AF12401" s="10"/>
      <c r="AG12401" s="10"/>
      <c r="AH12401" s="10"/>
      <c r="AI12401" s="10"/>
    </row>
    <row r="12402" spans="28:35" ht="15" hidden="1" customHeight="1">
      <c r="AB12402" s="9"/>
      <c r="AC12402" s="9"/>
      <c r="AD12402" s="9"/>
      <c r="AF12402" s="10"/>
      <c r="AG12402" s="10"/>
      <c r="AH12402" s="10"/>
      <c r="AI12402" s="10"/>
    </row>
    <row r="12403" spans="28:35" ht="15" hidden="1" customHeight="1">
      <c r="AB12403" s="9"/>
      <c r="AC12403" s="9"/>
      <c r="AD12403" s="9"/>
      <c r="AF12403" s="10"/>
      <c r="AG12403" s="10"/>
      <c r="AH12403" s="10"/>
      <c r="AI12403" s="10"/>
    </row>
    <row r="12404" spans="28:35" ht="15" hidden="1" customHeight="1">
      <c r="AB12404" s="9"/>
      <c r="AC12404" s="9"/>
      <c r="AD12404" s="9"/>
      <c r="AF12404" s="10"/>
      <c r="AG12404" s="10"/>
      <c r="AH12404" s="10"/>
      <c r="AI12404" s="10"/>
    </row>
    <row r="12405" spans="28:35" ht="15" hidden="1" customHeight="1">
      <c r="AB12405" s="9"/>
      <c r="AC12405" s="9"/>
      <c r="AD12405" s="9"/>
      <c r="AF12405" s="10"/>
      <c r="AG12405" s="10"/>
      <c r="AH12405" s="10"/>
      <c r="AI12405" s="10"/>
    </row>
    <row r="12406" spans="28:35" ht="15" hidden="1" customHeight="1">
      <c r="AB12406" s="9"/>
      <c r="AC12406" s="9"/>
      <c r="AD12406" s="9"/>
      <c r="AF12406" s="10"/>
      <c r="AG12406" s="10"/>
      <c r="AH12406" s="10"/>
      <c r="AI12406" s="10"/>
    </row>
    <row r="12407" spans="28:35" ht="15" hidden="1" customHeight="1">
      <c r="AB12407" s="9"/>
      <c r="AC12407" s="9"/>
      <c r="AD12407" s="9"/>
      <c r="AF12407" s="10"/>
      <c r="AG12407" s="10"/>
      <c r="AH12407" s="10"/>
      <c r="AI12407" s="10"/>
    </row>
    <row r="12408" spans="28:35" ht="15" hidden="1" customHeight="1">
      <c r="AB12408" s="9"/>
      <c r="AC12408" s="9"/>
      <c r="AD12408" s="9"/>
      <c r="AF12408" s="10"/>
      <c r="AG12408" s="10"/>
      <c r="AH12408" s="10"/>
      <c r="AI12408" s="10"/>
    </row>
    <row r="12409" spans="28:35" ht="15" hidden="1" customHeight="1">
      <c r="AB12409" s="9"/>
      <c r="AC12409" s="9"/>
      <c r="AD12409" s="9"/>
      <c r="AF12409" s="10"/>
      <c r="AG12409" s="10"/>
      <c r="AH12409" s="10"/>
      <c r="AI12409" s="10"/>
    </row>
    <row r="12410" spans="28:35" ht="15" hidden="1" customHeight="1">
      <c r="AB12410" s="9"/>
      <c r="AC12410" s="9"/>
      <c r="AD12410" s="9"/>
      <c r="AF12410" s="10"/>
      <c r="AG12410" s="10"/>
      <c r="AH12410" s="10"/>
      <c r="AI12410" s="10"/>
    </row>
    <row r="12411" spans="28:35" ht="15" hidden="1" customHeight="1">
      <c r="AB12411" s="9"/>
      <c r="AC12411" s="9"/>
      <c r="AD12411" s="9"/>
      <c r="AF12411" s="10"/>
      <c r="AG12411" s="10"/>
      <c r="AH12411" s="10"/>
      <c r="AI12411" s="10"/>
    </row>
    <row r="12412" spans="28:35" ht="15" hidden="1" customHeight="1">
      <c r="AB12412" s="9"/>
      <c r="AC12412" s="9"/>
      <c r="AD12412" s="9"/>
      <c r="AF12412" s="10"/>
      <c r="AG12412" s="10"/>
      <c r="AH12412" s="10"/>
      <c r="AI12412" s="10"/>
    </row>
    <row r="12413" spans="28:35" ht="15" hidden="1" customHeight="1">
      <c r="AB12413" s="9"/>
      <c r="AC12413" s="9"/>
      <c r="AD12413" s="9"/>
      <c r="AF12413" s="10"/>
      <c r="AG12413" s="10"/>
      <c r="AH12413" s="10"/>
      <c r="AI12413" s="10"/>
    </row>
    <row r="12414" spans="28:35" ht="15" hidden="1" customHeight="1">
      <c r="AB12414" s="9"/>
      <c r="AC12414" s="9"/>
      <c r="AD12414" s="9"/>
      <c r="AF12414" s="10"/>
      <c r="AG12414" s="10"/>
      <c r="AH12414" s="10"/>
      <c r="AI12414" s="10"/>
    </row>
    <row r="12415" spans="28:35" ht="15" hidden="1" customHeight="1">
      <c r="AB12415" s="9"/>
      <c r="AC12415" s="9"/>
      <c r="AD12415" s="9"/>
      <c r="AF12415" s="10"/>
      <c r="AG12415" s="10"/>
      <c r="AH12415" s="10"/>
      <c r="AI12415" s="10"/>
    </row>
    <row r="12416" spans="28:35" ht="15" hidden="1" customHeight="1">
      <c r="AB12416" s="9"/>
      <c r="AC12416" s="9"/>
      <c r="AD12416" s="9"/>
      <c r="AF12416" s="10"/>
      <c r="AG12416" s="10"/>
      <c r="AH12416" s="10"/>
      <c r="AI12416" s="10"/>
    </row>
    <row r="12417" spans="28:35" ht="15" hidden="1" customHeight="1">
      <c r="AB12417" s="9"/>
      <c r="AC12417" s="9"/>
      <c r="AD12417" s="9"/>
      <c r="AF12417" s="10"/>
      <c r="AG12417" s="10"/>
      <c r="AH12417" s="10"/>
      <c r="AI12417" s="10"/>
    </row>
    <row r="12418" spans="28:35" ht="15" hidden="1" customHeight="1">
      <c r="AB12418" s="9"/>
      <c r="AC12418" s="9"/>
      <c r="AD12418" s="9"/>
      <c r="AF12418" s="10"/>
      <c r="AG12418" s="10"/>
      <c r="AH12418" s="10"/>
      <c r="AI12418" s="10"/>
    </row>
    <row r="12419" spans="28:35" ht="15" hidden="1" customHeight="1">
      <c r="AB12419" s="9"/>
      <c r="AC12419" s="9"/>
      <c r="AD12419" s="9"/>
      <c r="AF12419" s="10"/>
      <c r="AG12419" s="10"/>
      <c r="AH12419" s="10"/>
      <c r="AI12419" s="10"/>
    </row>
    <row r="12420" spans="28:35" ht="15" hidden="1" customHeight="1">
      <c r="AB12420" s="9"/>
      <c r="AC12420" s="9"/>
      <c r="AD12420" s="9"/>
      <c r="AF12420" s="10"/>
      <c r="AG12420" s="10"/>
      <c r="AH12420" s="10"/>
      <c r="AI12420" s="10"/>
    </row>
    <row r="12421" spans="28:35" ht="15" hidden="1" customHeight="1">
      <c r="AB12421" s="9"/>
      <c r="AC12421" s="9"/>
      <c r="AD12421" s="9"/>
      <c r="AF12421" s="10"/>
      <c r="AG12421" s="10"/>
      <c r="AH12421" s="10"/>
      <c r="AI12421" s="10"/>
    </row>
    <row r="12422" spans="28:35" ht="15" hidden="1" customHeight="1">
      <c r="AB12422" s="9"/>
      <c r="AC12422" s="9"/>
      <c r="AD12422" s="9"/>
      <c r="AF12422" s="10"/>
      <c r="AG12422" s="10"/>
      <c r="AH12422" s="10"/>
      <c r="AI12422" s="10"/>
    </row>
    <row r="12423" spans="28:35" ht="15" hidden="1" customHeight="1">
      <c r="AB12423" s="9"/>
      <c r="AC12423" s="9"/>
      <c r="AD12423" s="9"/>
      <c r="AF12423" s="10"/>
      <c r="AG12423" s="10"/>
      <c r="AH12423" s="10"/>
      <c r="AI12423" s="10"/>
    </row>
    <row r="12424" spans="28:35" ht="15" hidden="1" customHeight="1">
      <c r="AB12424" s="9"/>
      <c r="AC12424" s="9"/>
      <c r="AD12424" s="9"/>
      <c r="AF12424" s="10"/>
      <c r="AG12424" s="10"/>
      <c r="AH12424" s="10"/>
      <c r="AI12424" s="10"/>
    </row>
    <row r="12425" spans="28:35" ht="15" hidden="1" customHeight="1">
      <c r="AB12425" s="9"/>
      <c r="AC12425" s="9"/>
      <c r="AD12425" s="9"/>
      <c r="AF12425" s="10"/>
      <c r="AG12425" s="10"/>
      <c r="AH12425" s="10"/>
      <c r="AI12425" s="10"/>
    </row>
    <row r="12426" spans="28:35" ht="15" hidden="1" customHeight="1">
      <c r="AB12426" s="9"/>
      <c r="AC12426" s="9"/>
      <c r="AD12426" s="9"/>
      <c r="AF12426" s="10"/>
      <c r="AG12426" s="10"/>
      <c r="AH12426" s="10"/>
      <c r="AI12426" s="10"/>
    </row>
    <row r="12427" spans="28:35" ht="15" hidden="1" customHeight="1">
      <c r="AB12427" s="9"/>
      <c r="AC12427" s="9"/>
      <c r="AD12427" s="9"/>
      <c r="AF12427" s="10"/>
      <c r="AG12427" s="10"/>
      <c r="AH12427" s="10"/>
      <c r="AI12427" s="10"/>
    </row>
    <row r="12428" spans="28:35" ht="15" hidden="1" customHeight="1">
      <c r="AB12428" s="9"/>
      <c r="AC12428" s="9"/>
      <c r="AD12428" s="9"/>
      <c r="AF12428" s="10"/>
      <c r="AG12428" s="10"/>
      <c r="AH12428" s="10"/>
      <c r="AI12428" s="10"/>
    </row>
    <row r="12429" spans="28:35" ht="15" hidden="1" customHeight="1">
      <c r="AB12429" s="9"/>
      <c r="AC12429" s="9"/>
      <c r="AD12429" s="9"/>
      <c r="AF12429" s="10"/>
      <c r="AG12429" s="10"/>
      <c r="AH12429" s="10"/>
      <c r="AI12429" s="10"/>
    </row>
    <row r="12430" spans="28:35" ht="15" hidden="1" customHeight="1">
      <c r="AB12430" s="9"/>
      <c r="AC12430" s="9"/>
      <c r="AD12430" s="9"/>
      <c r="AF12430" s="10"/>
      <c r="AG12430" s="10"/>
      <c r="AH12430" s="10"/>
      <c r="AI12430" s="10"/>
    </row>
    <row r="12431" spans="28:35" ht="15" hidden="1" customHeight="1">
      <c r="AB12431" s="9"/>
      <c r="AC12431" s="9"/>
      <c r="AD12431" s="9"/>
      <c r="AF12431" s="10"/>
      <c r="AG12431" s="10"/>
      <c r="AH12431" s="10"/>
      <c r="AI12431" s="10"/>
    </row>
    <row r="12432" spans="28:35" ht="15" hidden="1" customHeight="1">
      <c r="AB12432" s="9"/>
      <c r="AC12432" s="9"/>
      <c r="AD12432" s="9"/>
      <c r="AF12432" s="10"/>
      <c r="AG12432" s="10"/>
      <c r="AH12432" s="10"/>
      <c r="AI12432" s="10"/>
    </row>
    <row r="12433" spans="28:35" ht="15" hidden="1" customHeight="1">
      <c r="AB12433" s="9"/>
      <c r="AC12433" s="9"/>
      <c r="AD12433" s="9"/>
      <c r="AF12433" s="10"/>
      <c r="AG12433" s="10"/>
      <c r="AH12433" s="10"/>
      <c r="AI12433" s="10"/>
    </row>
    <row r="12434" spans="28:35" ht="15" hidden="1" customHeight="1">
      <c r="AB12434" s="9"/>
      <c r="AC12434" s="9"/>
      <c r="AD12434" s="9"/>
      <c r="AF12434" s="10"/>
      <c r="AG12434" s="10"/>
      <c r="AH12434" s="10"/>
      <c r="AI12434" s="10"/>
    </row>
    <row r="12435" spans="28:35" ht="15" hidden="1" customHeight="1">
      <c r="AB12435" s="9"/>
      <c r="AC12435" s="9"/>
      <c r="AD12435" s="9"/>
      <c r="AF12435" s="10"/>
      <c r="AG12435" s="10"/>
      <c r="AH12435" s="10"/>
      <c r="AI12435" s="10"/>
    </row>
    <row r="12436" spans="28:35" ht="15" hidden="1" customHeight="1">
      <c r="AB12436" s="9"/>
      <c r="AC12436" s="9"/>
      <c r="AD12436" s="9"/>
      <c r="AF12436" s="10"/>
      <c r="AG12436" s="10"/>
      <c r="AH12436" s="10"/>
      <c r="AI12436" s="10"/>
    </row>
    <row r="12437" spans="28:35" ht="15" hidden="1" customHeight="1">
      <c r="AB12437" s="9"/>
      <c r="AC12437" s="9"/>
      <c r="AD12437" s="9"/>
      <c r="AF12437" s="10"/>
      <c r="AG12437" s="10"/>
      <c r="AH12437" s="10"/>
      <c r="AI12437" s="10"/>
    </row>
    <row r="12438" spans="28:35" ht="15" hidden="1" customHeight="1">
      <c r="AB12438" s="9"/>
      <c r="AC12438" s="9"/>
      <c r="AD12438" s="9"/>
      <c r="AF12438" s="10"/>
      <c r="AG12438" s="10"/>
      <c r="AH12438" s="10"/>
      <c r="AI12438" s="10"/>
    </row>
    <row r="12439" spans="28:35" ht="15" hidden="1" customHeight="1">
      <c r="AB12439" s="9"/>
      <c r="AC12439" s="9"/>
      <c r="AD12439" s="9"/>
      <c r="AF12439" s="10"/>
      <c r="AG12439" s="10"/>
      <c r="AH12439" s="10"/>
      <c r="AI12439" s="10"/>
    </row>
    <row r="12440" spans="28:35" ht="15" hidden="1" customHeight="1">
      <c r="AB12440" s="9"/>
      <c r="AC12440" s="9"/>
      <c r="AD12440" s="9"/>
      <c r="AF12440" s="10"/>
      <c r="AG12440" s="10"/>
      <c r="AH12440" s="10"/>
      <c r="AI12440" s="10"/>
    </row>
    <row r="12441" spans="28:35" ht="15" hidden="1" customHeight="1">
      <c r="AB12441" s="9"/>
      <c r="AC12441" s="9"/>
      <c r="AD12441" s="9"/>
      <c r="AF12441" s="10"/>
      <c r="AG12441" s="10"/>
      <c r="AH12441" s="10"/>
      <c r="AI12441" s="10"/>
    </row>
    <row r="12442" spans="28:35" ht="15" hidden="1" customHeight="1">
      <c r="AB12442" s="9"/>
      <c r="AC12442" s="9"/>
      <c r="AD12442" s="9"/>
      <c r="AF12442" s="10"/>
      <c r="AG12442" s="10"/>
      <c r="AH12442" s="10"/>
      <c r="AI12442" s="10"/>
    </row>
    <row r="12443" spans="28:35" ht="15" hidden="1" customHeight="1">
      <c r="AB12443" s="9"/>
      <c r="AC12443" s="9"/>
      <c r="AD12443" s="9"/>
      <c r="AF12443" s="10"/>
      <c r="AG12443" s="10"/>
      <c r="AH12443" s="10"/>
      <c r="AI12443" s="10"/>
    </row>
    <row r="12444" spans="28:35" ht="15" hidden="1" customHeight="1">
      <c r="AB12444" s="9"/>
      <c r="AC12444" s="9"/>
      <c r="AD12444" s="9"/>
      <c r="AF12444" s="10"/>
      <c r="AG12444" s="10"/>
      <c r="AH12444" s="10"/>
      <c r="AI12444" s="10"/>
    </row>
    <row r="12445" spans="28:35" ht="15" hidden="1" customHeight="1">
      <c r="AB12445" s="9"/>
      <c r="AC12445" s="9"/>
      <c r="AD12445" s="9"/>
      <c r="AF12445" s="10"/>
      <c r="AG12445" s="10"/>
      <c r="AH12445" s="10"/>
      <c r="AI12445" s="10"/>
    </row>
    <row r="12446" spans="28:35" ht="15" hidden="1" customHeight="1">
      <c r="AB12446" s="9"/>
      <c r="AC12446" s="9"/>
      <c r="AD12446" s="9"/>
      <c r="AF12446" s="10"/>
      <c r="AG12446" s="10"/>
      <c r="AH12446" s="10"/>
      <c r="AI12446" s="10"/>
    </row>
    <row r="12447" spans="28:35" ht="15" hidden="1" customHeight="1">
      <c r="AB12447" s="9"/>
      <c r="AC12447" s="9"/>
      <c r="AD12447" s="9"/>
      <c r="AF12447" s="10"/>
      <c r="AG12447" s="10"/>
      <c r="AH12447" s="10"/>
      <c r="AI12447" s="10"/>
    </row>
    <row r="12448" spans="28:35" ht="15" hidden="1" customHeight="1">
      <c r="AB12448" s="9"/>
      <c r="AC12448" s="9"/>
      <c r="AD12448" s="9"/>
      <c r="AF12448" s="10"/>
      <c r="AG12448" s="10"/>
      <c r="AH12448" s="10"/>
      <c r="AI12448" s="10"/>
    </row>
    <row r="12449" spans="28:35" ht="15" hidden="1" customHeight="1">
      <c r="AB12449" s="9"/>
      <c r="AC12449" s="9"/>
      <c r="AD12449" s="9"/>
      <c r="AF12449" s="10"/>
      <c r="AG12449" s="10"/>
      <c r="AH12449" s="10"/>
      <c r="AI12449" s="10"/>
    </row>
    <row r="12450" spans="28:35" ht="15" hidden="1" customHeight="1">
      <c r="AB12450" s="9"/>
      <c r="AC12450" s="9"/>
      <c r="AD12450" s="9"/>
      <c r="AF12450" s="10"/>
      <c r="AG12450" s="10"/>
      <c r="AH12450" s="10"/>
      <c r="AI12450" s="10"/>
    </row>
    <row r="12451" spans="28:35" ht="15" hidden="1" customHeight="1">
      <c r="AB12451" s="9"/>
      <c r="AC12451" s="9"/>
      <c r="AD12451" s="9"/>
      <c r="AF12451" s="10"/>
      <c r="AG12451" s="10"/>
      <c r="AH12451" s="10"/>
      <c r="AI12451" s="10"/>
    </row>
    <row r="12452" spans="28:35" ht="15" hidden="1" customHeight="1">
      <c r="AB12452" s="9"/>
      <c r="AC12452" s="9"/>
      <c r="AD12452" s="9"/>
      <c r="AF12452" s="10"/>
      <c r="AG12452" s="10"/>
      <c r="AH12452" s="10"/>
      <c r="AI12452" s="10"/>
    </row>
    <row r="12453" spans="28:35" ht="15" hidden="1" customHeight="1">
      <c r="AB12453" s="9"/>
      <c r="AC12453" s="9"/>
      <c r="AD12453" s="9"/>
      <c r="AF12453" s="10"/>
      <c r="AG12453" s="10"/>
      <c r="AH12453" s="10"/>
      <c r="AI12453" s="10"/>
    </row>
    <row r="12454" spans="28:35" ht="15" hidden="1" customHeight="1">
      <c r="AB12454" s="9"/>
      <c r="AC12454" s="9"/>
      <c r="AD12454" s="9"/>
      <c r="AF12454" s="10"/>
      <c r="AG12454" s="10"/>
      <c r="AH12454" s="10"/>
      <c r="AI12454" s="10"/>
    </row>
    <row r="12455" spans="28:35" ht="15" hidden="1" customHeight="1">
      <c r="AB12455" s="9"/>
      <c r="AC12455" s="9"/>
      <c r="AD12455" s="9"/>
      <c r="AF12455" s="10"/>
      <c r="AG12455" s="10"/>
      <c r="AH12455" s="10"/>
      <c r="AI12455" s="10"/>
    </row>
    <row r="12456" spans="28:35" ht="15" hidden="1" customHeight="1">
      <c r="AB12456" s="9"/>
      <c r="AC12456" s="9"/>
      <c r="AD12456" s="9"/>
      <c r="AF12456" s="10"/>
      <c r="AG12456" s="10"/>
      <c r="AH12456" s="10"/>
      <c r="AI12456" s="10"/>
    </row>
    <row r="12457" spans="28:35" ht="15" hidden="1" customHeight="1">
      <c r="AB12457" s="9"/>
      <c r="AC12457" s="9"/>
      <c r="AD12457" s="9"/>
      <c r="AF12457" s="10"/>
      <c r="AG12457" s="10"/>
      <c r="AH12457" s="10"/>
      <c r="AI12457" s="10"/>
    </row>
    <row r="12458" spans="28:35" ht="15" hidden="1" customHeight="1">
      <c r="AB12458" s="9"/>
      <c r="AC12458" s="9"/>
      <c r="AD12458" s="9"/>
      <c r="AF12458" s="10"/>
      <c r="AG12458" s="10"/>
      <c r="AH12458" s="10"/>
      <c r="AI12458" s="10"/>
    </row>
    <row r="12459" spans="28:35" ht="15" hidden="1" customHeight="1">
      <c r="AB12459" s="9"/>
      <c r="AC12459" s="9"/>
      <c r="AD12459" s="9"/>
      <c r="AF12459" s="10"/>
      <c r="AG12459" s="10"/>
      <c r="AH12459" s="10"/>
      <c r="AI12459" s="10"/>
    </row>
    <row r="12460" spans="28:35" ht="15" hidden="1" customHeight="1">
      <c r="AB12460" s="9"/>
      <c r="AC12460" s="9"/>
      <c r="AD12460" s="9"/>
      <c r="AF12460" s="10"/>
      <c r="AG12460" s="10"/>
      <c r="AH12460" s="10"/>
      <c r="AI12460" s="10"/>
    </row>
    <row r="12461" spans="28:35" ht="15" hidden="1" customHeight="1">
      <c r="AB12461" s="9"/>
      <c r="AC12461" s="9"/>
      <c r="AD12461" s="9"/>
      <c r="AF12461" s="10"/>
      <c r="AG12461" s="10"/>
      <c r="AH12461" s="10"/>
      <c r="AI12461" s="10"/>
    </row>
    <row r="12462" spans="28:35" ht="15" hidden="1" customHeight="1">
      <c r="AB12462" s="9"/>
      <c r="AC12462" s="9"/>
      <c r="AD12462" s="9"/>
      <c r="AF12462" s="10"/>
      <c r="AG12462" s="10"/>
      <c r="AH12462" s="10"/>
      <c r="AI12462" s="10"/>
    </row>
    <row r="12463" spans="28:35" ht="15" hidden="1" customHeight="1">
      <c r="AB12463" s="9"/>
      <c r="AC12463" s="9"/>
      <c r="AD12463" s="9"/>
      <c r="AF12463" s="10"/>
      <c r="AG12463" s="10"/>
      <c r="AH12463" s="10"/>
      <c r="AI12463" s="10"/>
    </row>
    <row r="12464" spans="28:35" ht="15" hidden="1" customHeight="1">
      <c r="AB12464" s="9"/>
      <c r="AC12464" s="9"/>
      <c r="AD12464" s="9"/>
      <c r="AF12464" s="10"/>
      <c r="AG12464" s="10"/>
      <c r="AH12464" s="10"/>
      <c r="AI12464" s="10"/>
    </row>
    <row r="12465" spans="28:35" ht="15" hidden="1" customHeight="1">
      <c r="AB12465" s="9"/>
      <c r="AC12465" s="9"/>
      <c r="AD12465" s="9"/>
      <c r="AF12465" s="10"/>
      <c r="AG12465" s="10"/>
      <c r="AH12465" s="10"/>
      <c r="AI12465" s="10"/>
    </row>
    <row r="12466" spans="28:35" ht="15" hidden="1" customHeight="1">
      <c r="AB12466" s="9"/>
      <c r="AC12466" s="9"/>
      <c r="AD12466" s="9"/>
      <c r="AF12466" s="10"/>
      <c r="AG12466" s="10"/>
      <c r="AH12466" s="10"/>
      <c r="AI12466" s="10"/>
    </row>
    <row r="12467" spans="28:35" ht="15" hidden="1" customHeight="1">
      <c r="AB12467" s="9"/>
      <c r="AC12467" s="9"/>
      <c r="AD12467" s="9"/>
      <c r="AF12467" s="10"/>
      <c r="AG12467" s="10"/>
      <c r="AH12467" s="10"/>
      <c r="AI12467" s="10"/>
    </row>
    <row r="12468" spans="28:35" ht="15" hidden="1" customHeight="1">
      <c r="AB12468" s="9"/>
      <c r="AC12468" s="9"/>
      <c r="AD12468" s="9"/>
      <c r="AF12468" s="10"/>
      <c r="AG12468" s="10"/>
      <c r="AH12468" s="10"/>
      <c r="AI12468" s="10"/>
    </row>
    <row r="12469" spans="28:35" ht="15" hidden="1" customHeight="1">
      <c r="AB12469" s="9"/>
      <c r="AC12469" s="9"/>
      <c r="AD12469" s="9"/>
      <c r="AF12469" s="10"/>
      <c r="AG12469" s="10"/>
      <c r="AH12469" s="10"/>
      <c r="AI12469" s="10"/>
    </row>
    <row r="12470" spans="28:35" ht="15" hidden="1" customHeight="1">
      <c r="AB12470" s="9"/>
      <c r="AC12470" s="9"/>
      <c r="AD12470" s="9"/>
      <c r="AF12470" s="10"/>
      <c r="AG12470" s="10"/>
      <c r="AH12470" s="10"/>
      <c r="AI12470" s="10"/>
    </row>
    <row r="12471" spans="28:35" ht="15" hidden="1" customHeight="1">
      <c r="AB12471" s="9"/>
      <c r="AC12471" s="9"/>
      <c r="AD12471" s="9"/>
      <c r="AF12471" s="10"/>
      <c r="AG12471" s="10"/>
      <c r="AH12471" s="10"/>
      <c r="AI12471" s="10"/>
    </row>
    <row r="12472" spans="28:35" ht="15" hidden="1" customHeight="1">
      <c r="AB12472" s="9"/>
      <c r="AC12472" s="9"/>
      <c r="AD12472" s="9"/>
      <c r="AF12472" s="10"/>
      <c r="AG12472" s="10"/>
      <c r="AH12472" s="10"/>
      <c r="AI12472" s="10"/>
    </row>
    <row r="12473" spans="28:35" ht="15" hidden="1" customHeight="1">
      <c r="AB12473" s="9"/>
      <c r="AC12473" s="9"/>
      <c r="AD12473" s="9"/>
      <c r="AF12473" s="10"/>
      <c r="AG12473" s="10"/>
      <c r="AH12473" s="10"/>
      <c r="AI12473" s="10"/>
    </row>
    <row r="12474" spans="28:35" ht="15" hidden="1" customHeight="1">
      <c r="AB12474" s="9"/>
      <c r="AC12474" s="9"/>
      <c r="AD12474" s="9"/>
      <c r="AF12474" s="10"/>
      <c r="AG12474" s="10"/>
      <c r="AH12474" s="10"/>
      <c r="AI12474" s="10"/>
    </row>
    <row r="12475" spans="28:35" ht="15" hidden="1" customHeight="1">
      <c r="AB12475" s="9"/>
      <c r="AC12475" s="9"/>
      <c r="AD12475" s="9"/>
      <c r="AF12475" s="10"/>
      <c r="AG12475" s="10"/>
      <c r="AH12475" s="10"/>
      <c r="AI12475" s="10"/>
    </row>
    <row r="12476" spans="28:35" ht="15" hidden="1" customHeight="1">
      <c r="AB12476" s="9"/>
      <c r="AC12476" s="9"/>
      <c r="AD12476" s="9"/>
      <c r="AF12476" s="10"/>
      <c r="AG12476" s="10"/>
      <c r="AH12476" s="10"/>
      <c r="AI12476" s="10"/>
    </row>
    <row r="12477" spans="28:35" ht="15" hidden="1" customHeight="1">
      <c r="AB12477" s="9"/>
      <c r="AC12477" s="9"/>
      <c r="AD12477" s="9"/>
      <c r="AF12477" s="10"/>
      <c r="AG12477" s="10"/>
      <c r="AH12477" s="10"/>
      <c r="AI12477" s="10"/>
    </row>
    <row r="12478" spans="28:35" ht="15" hidden="1" customHeight="1">
      <c r="AB12478" s="9"/>
      <c r="AC12478" s="9"/>
      <c r="AD12478" s="9"/>
      <c r="AF12478" s="10"/>
      <c r="AG12478" s="10"/>
      <c r="AH12478" s="10"/>
      <c r="AI12478" s="10"/>
    </row>
    <row r="12479" spans="28:35" ht="15" hidden="1" customHeight="1">
      <c r="AB12479" s="9"/>
      <c r="AC12479" s="9"/>
      <c r="AD12479" s="9"/>
      <c r="AF12479" s="10"/>
      <c r="AG12479" s="10"/>
      <c r="AH12479" s="10"/>
      <c r="AI12479" s="10"/>
    </row>
    <row r="12480" spans="28:35" ht="15" hidden="1" customHeight="1">
      <c r="AB12480" s="9"/>
      <c r="AC12480" s="9"/>
      <c r="AD12480" s="9"/>
      <c r="AF12480" s="10"/>
      <c r="AG12480" s="10"/>
      <c r="AH12480" s="10"/>
      <c r="AI12480" s="10"/>
    </row>
    <row r="12481" spans="28:35" ht="15" hidden="1" customHeight="1">
      <c r="AB12481" s="9"/>
      <c r="AC12481" s="9"/>
      <c r="AD12481" s="9"/>
      <c r="AF12481" s="10"/>
      <c r="AG12481" s="10"/>
      <c r="AH12481" s="10"/>
      <c r="AI12481" s="10"/>
    </row>
    <row r="12482" spans="28:35" ht="15" hidden="1" customHeight="1">
      <c r="AB12482" s="9"/>
      <c r="AC12482" s="9"/>
      <c r="AD12482" s="9"/>
      <c r="AF12482" s="10"/>
      <c r="AG12482" s="10"/>
      <c r="AH12482" s="10"/>
      <c r="AI12482" s="10"/>
    </row>
    <row r="12483" spans="28:35" ht="15" hidden="1" customHeight="1">
      <c r="AB12483" s="9"/>
      <c r="AC12483" s="9"/>
      <c r="AD12483" s="9"/>
      <c r="AF12483" s="10"/>
      <c r="AG12483" s="10"/>
      <c r="AH12483" s="10"/>
      <c r="AI12483" s="10"/>
    </row>
    <row r="12484" spans="28:35" ht="15" hidden="1" customHeight="1">
      <c r="AB12484" s="9"/>
      <c r="AC12484" s="9"/>
      <c r="AD12484" s="9"/>
      <c r="AF12484" s="10"/>
      <c r="AG12484" s="10"/>
      <c r="AH12484" s="10"/>
      <c r="AI12484" s="10"/>
    </row>
    <row r="12485" spans="28:35" ht="15" hidden="1" customHeight="1">
      <c r="AB12485" s="9"/>
      <c r="AC12485" s="9"/>
      <c r="AD12485" s="9"/>
      <c r="AF12485" s="10"/>
      <c r="AG12485" s="10"/>
      <c r="AH12485" s="10"/>
      <c r="AI12485" s="10"/>
    </row>
    <row r="12486" spans="28:35" ht="15" hidden="1" customHeight="1">
      <c r="AB12486" s="9"/>
      <c r="AC12486" s="9"/>
      <c r="AD12486" s="9"/>
      <c r="AF12486" s="10"/>
      <c r="AG12486" s="10"/>
      <c r="AH12486" s="10"/>
      <c r="AI12486" s="10"/>
    </row>
    <row r="12487" spans="28:35" ht="15" hidden="1" customHeight="1">
      <c r="AB12487" s="9"/>
      <c r="AC12487" s="9"/>
      <c r="AD12487" s="9"/>
      <c r="AF12487" s="10"/>
      <c r="AG12487" s="10"/>
      <c r="AH12487" s="10"/>
      <c r="AI12487" s="10"/>
    </row>
    <row r="12488" spans="28:35" ht="15" hidden="1" customHeight="1">
      <c r="AB12488" s="9"/>
      <c r="AC12488" s="9"/>
      <c r="AD12488" s="9"/>
      <c r="AF12488" s="10"/>
      <c r="AG12488" s="10"/>
      <c r="AH12488" s="10"/>
      <c r="AI12488" s="10"/>
    </row>
    <row r="12489" spans="28:35" ht="15" hidden="1" customHeight="1">
      <c r="AB12489" s="9"/>
      <c r="AC12489" s="9"/>
      <c r="AD12489" s="9"/>
      <c r="AF12489" s="10"/>
      <c r="AG12489" s="10"/>
      <c r="AH12489" s="10"/>
      <c r="AI12489" s="10"/>
    </row>
    <row r="12490" spans="28:35" ht="15" hidden="1" customHeight="1">
      <c r="AB12490" s="9"/>
      <c r="AC12490" s="9"/>
      <c r="AD12490" s="9"/>
      <c r="AF12490" s="10"/>
      <c r="AG12490" s="10"/>
      <c r="AH12490" s="10"/>
      <c r="AI12490" s="10"/>
    </row>
    <row r="12491" spans="28:35" ht="15" hidden="1" customHeight="1">
      <c r="AB12491" s="9"/>
      <c r="AC12491" s="9"/>
      <c r="AD12491" s="9"/>
      <c r="AF12491" s="10"/>
      <c r="AG12491" s="10"/>
      <c r="AH12491" s="10"/>
      <c r="AI12491" s="10"/>
    </row>
    <row r="12492" spans="28:35" ht="15" hidden="1" customHeight="1">
      <c r="AB12492" s="9"/>
      <c r="AC12492" s="9"/>
      <c r="AD12492" s="9"/>
      <c r="AF12492" s="10"/>
      <c r="AG12492" s="10"/>
      <c r="AH12492" s="10"/>
      <c r="AI12492" s="10"/>
    </row>
    <row r="12493" spans="28:35" ht="15" hidden="1" customHeight="1">
      <c r="AB12493" s="9"/>
      <c r="AC12493" s="9"/>
      <c r="AD12493" s="9"/>
      <c r="AF12493" s="10"/>
      <c r="AG12493" s="10"/>
      <c r="AH12493" s="10"/>
      <c r="AI12493" s="10"/>
    </row>
    <row r="12494" spans="28:35" ht="15" hidden="1" customHeight="1">
      <c r="AB12494" s="9"/>
      <c r="AC12494" s="9"/>
      <c r="AD12494" s="9"/>
      <c r="AF12494" s="10"/>
      <c r="AG12494" s="10"/>
      <c r="AH12494" s="10"/>
      <c r="AI12494" s="10"/>
    </row>
    <row r="12495" spans="28:35" ht="15" hidden="1" customHeight="1">
      <c r="AB12495" s="9"/>
      <c r="AC12495" s="9"/>
      <c r="AD12495" s="9"/>
      <c r="AF12495" s="10"/>
      <c r="AG12495" s="10"/>
      <c r="AH12495" s="10"/>
      <c r="AI12495" s="10"/>
    </row>
    <row r="12496" spans="28:35" ht="15" hidden="1" customHeight="1">
      <c r="AB12496" s="9"/>
      <c r="AC12496" s="9"/>
      <c r="AD12496" s="9"/>
      <c r="AF12496" s="10"/>
      <c r="AG12496" s="10"/>
      <c r="AH12496" s="10"/>
      <c r="AI12496" s="10"/>
    </row>
    <row r="12497" spans="28:35" ht="15" hidden="1" customHeight="1">
      <c r="AB12497" s="9"/>
      <c r="AC12497" s="9"/>
      <c r="AD12497" s="9"/>
      <c r="AF12497" s="10"/>
      <c r="AG12497" s="10"/>
      <c r="AH12497" s="10"/>
      <c r="AI12497" s="10"/>
    </row>
    <row r="12498" spans="28:35" ht="15" hidden="1" customHeight="1">
      <c r="AB12498" s="9"/>
      <c r="AC12498" s="9"/>
      <c r="AD12498" s="9"/>
      <c r="AF12498" s="10"/>
      <c r="AG12498" s="10"/>
      <c r="AH12498" s="10"/>
      <c r="AI12498" s="10"/>
    </row>
    <row r="12499" spans="28:35" ht="15" hidden="1" customHeight="1">
      <c r="AB12499" s="9"/>
      <c r="AC12499" s="9"/>
      <c r="AD12499" s="9"/>
      <c r="AF12499" s="10"/>
      <c r="AG12499" s="10"/>
      <c r="AH12499" s="10"/>
      <c r="AI12499" s="10"/>
    </row>
    <row r="12500" spans="28:35" ht="15" hidden="1" customHeight="1">
      <c r="AB12500" s="9"/>
      <c r="AC12500" s="9"/>
      <c r="AD12500" s="9"/>
      <c r="AF12500" s="10"/>
      <c r="AG12500" s="10"/>
      <c r="AH12500" s="10"/>
      <c r="AI12500" s="10"/>
    </row>
    <row r="12501" spans="28:35" ht="15" hidden="1" customHeight="1">
      <c r="AB12501" s="9"/>
      <c r="AC12501" s="9"/>
      <c r="AD12501" s="9"/>
      <c r="AF12501" s="10"/>
      <c r="AG12501" s="10"/>
      <c r="AH12501" s="10"/>
      <c r="AI12501" s="10"/>
    </row>
    <row r="12502" spans="28:35" ht="15" hidden="1" customHeight="1">
      <c r="AB12502" s="9"/>
      <c r="AC12502" s="9"/>
      <c r="AD12502" s="9"/>
      <c r="AF12502" s="10"/>
      <c r="AG12502" s="10"/>
      <c r="AH12502" s="10"/>
      <c r="AI12502" s="10"/>
    </row>
    <row r="12503" spans="28:35" ht="15" hidden="1" customHeight="1">
      <c r="AB12503" s="9"/>
      <c r="AC12503" s="9"/>
      <c r="AD12503" s="9"/>
      <c r="AF12503" s="10"/>
      <c r="AG12503" s="10"/>
      <c r="AH12503" s="10"/>
      <c r="AI12503" s="10"/>
    </row>
    <row r="12504" spans="28:35" ht="15" hidden="1" customHeight="1">
      <c r="AB12504" s="9"/>
      <c r="AC12504" s="9"/>
      <c r="AD12504" s="9"/>
      <c r="AF12504" s="10"/>
      <c r="AG12504" s="10"/>
      <c r="AH12504" s="10"/>
      <c r="AI12504" s="10"/>
    </row>
    <row r="12505" spans="28:35" ht="15" hidden="1" customHeight="1">
      <c r="AB12505" s="9"/>
      <c r="AC12505" s="9"/>
      <c r="AD12505" s="9"/>
      <c r="AF12505" s="10"/>
      <c r="AG12505" s="10"/>
      <c r="AH12505" s="10"/>
      <c r="AI12505" s="10"/>
    </row>
    <row r="12506" spans="28:35" ht="15" hidden="1" customHeight="1">
      <c r="AB12506" s="9"/>
      <c r="AC12506" s="9"/>
      <c r="AD12506" s="9"/>
      <c r="AF12506" s="10"/>
      <c r="AG12506" s="10"/>
      <c r="AH12506" s="10"/>
      <c r="AI12506" s="10"/>
    </row>
    <row r="12507" spans="28:35" ht="15" hidden="1" customHeight="1">
      <c r="AB12507" s="9"/>
      <c r="AC12507" s="9"/>
      <c r="AD12507" s="9"/>
      <c r="AF12507" s="10"/>
      <c r="AG12507" s="10"/>
      <c r="AH12507" s="10"/>
      <c r="AI12507" s="10"/>
    </row>
    <row r="12508" spans="28:35" ht="15" hidden="1" customHeight="1">
      <c r="AB12508" s="9"/>
      <c r="AC12508" s="9"/>
      <c r="AD12508" s="9"/>
      <c r="AF12508" s="10"/>
      <c r="AG12508" s="10"/>
      <c r="AH12508" s="10"/>
      <c r="AI12508" s="10"/>
    </row>
    <row r="12509" spans="28:35" ht="15" hidden="1" customHeight="1">
      <c r="AB12509" s="9"/>
      <c r="AC12509" s="9"/>
      <c r="AD12509" s="9"/>
      <c r="AF12509" s="10"/>
      <c r="AG12509" s="10"/>
      <c r="AH12509" s="10"/>
      <c r="AI12509" s="10"/>
    </row>
    <row r="12510" spans="28:35" ht="15" hidden="1" customHeight="1">
      <c r="AB12510" s="9"/>
      <c r="AC12510" s="9"/>
      <c r="AD12510" s="9"/>
      <c r="AF12510" s="10"/>
      <c r="AG12510" s="10"/>
      <c r="AH12510" s="10"/>
      <c r="AI12510" s="10"/>
    </row>
    <row r="12511" spans="28:35" ht="15" hidden="1" customHeight="1">
      <c r="AB12511" s="9"/>
      <c r="AC12511" s="9"/>
      <c r="AD12511" s="9"/>
      <c r="AF12511" s="10"/>
      <c r="AG12511" s="10"/>
      <c r="AH12511" s="10"/>
      <c r="AI12511" s="10"/>
    </row>
    <row r="12512" spans="28:35" ht="15" hidden="1" customHeight="1">
      <c r="AB12512" s="9"/>
      <c r="AC12512" s="9"/>
      <c r="AD12512" s="9"/>
      <c r="AF12512" s="10"/>
      <c r="AG12512" s="10"/>
      <c r="AH12512" s="10"/>
      <c r="AI12512" s="10"/>
    </row>
    <row r="12513" spans="28:35" ht="15" hidden="1" customHeight="1">
      <c r="AB12513" s="9"/>
      <c r="AC12513" s="9"/>
      <c r="AD12513" s="9"/>
      <c r="AF12513" s="10"/>
      <c r="AG12513" s="10"/>
      <c r="AH12513" s="10"/>
      <c r="AI12513" s="10"/>
    </row>
    <row r="12514" spans="28:35" ht="15" hidden="1" customHeight="1">
      <c r="AB12514" s="9"/>
      <c r="AC12514" s="9"/>
      <c r="AD12514" s="9"/>
      <c r="AF12514" s="10"/>
      <c r="AG12514" s="10"/>
      <c r="AH12514" s="10"/>
      <c r="AI12514" s="10"/>
    </row>
    <row r="12515" spans="28:35" ht="15" hidden="1" customHeight="1">
      <c r="AB12515" s="9"/>
      <c r="AC12515" s="9"/>
      <c r="AD12515" s="9"/>
      <c r="AF12515" s="10"/>
      <c r="AG12515" s="10"/>
      <c r="AH12515" s="10"/>
      <c r="AI12515" s="10"/>
    </row>
    <row r="12516" spans="28:35" ht="15" hidden="1" customHeight="1">
      <c r="AB12516" s="9"/>
      <c r="AC12516" s="9"/>
      <c r="AD12516" s="9"/>
      <c r="AF12516" s="10"/>
      <c r="AG12516" s="10"/>
      <c r="AH12516" s="10"/>
      <c r="AI12516" s="10"/>
    </row>
    <row r="12517" spans="28:35" ht="15" hidden="1" customHeight="1">
      <c r="AB12517" s="9"/>
      <c r="AC12517" s="9"/>
      <c r="AD12517" s="9"/>
      <c r="AF12517" s="10"/>
      <c r="AG12517" s="10"/>
      <c r="AH12517" s="10"/>
      <c r="AI12517" s="10"/>
    </row>
    <row r="12518" spans="28:35" ht="15" hidden="1" customHeight="1">
      <c r="AB12518" s="9"/>
      <c r="AC12518" s="9"/>
      <c r="AD12518" s="9"/>
      <c r="AF12518" s="10"/>
      <c r="AG12518" s="10"/>
      <c r="AH12518" s="10"/>
      <c r="AI12518" s="10"/>
    </row>
    <row r="12519" spans="28:35" ht="15" hidden="1" customHeight="1">
      <c r="AB12519" s="9"/>
      <c r="AC12519" s="9"/>
      <c r="AD12519" s="9"/>
      <c r="AF12519" s="10"/>
      <c r="AG12519" s="10"/>
      <c r="AH12519" s="10"/>
      <c r="AI12519" s="10"/>
    </row>
    <row r="12520" spans="28:35" ht="15" hidden="1" customHeight="1">
      <c r="AB12520" s="9"/>
      <c r="AC12520" s="9"/>
      <c r="AD12520" s="9"/>
      <c r="AF12520" s="10"/>
      <c r="AG12520" s="10"/>
      <c r="AH12520" s="10"/>
      <c r="AI12520" s="10"/>
    </row>
    <row r="12521" spans="28:35" ht="15" hidden="1" customHeight="1">
      <c r="AB12521" s="9"/>
      <c r="AC12521" s="9"/>
      <c r="AD12521" s="9"/>
      <c r="AF12521" s="10"/>
      <c r="AG12521" s="10"/>
      <c r="AH12521" s="10"/>
      <c r="AI12521" s="10"/>
    </row>
    <row r="12522" spans="28:35" ht="15" hidden="1" customHeight="1">
      <c r="AB12522" s="9"/>
      <c r="AC12522" s="9"/>
      <c r="AD12522" s="9"/>
      <c r="AF12522" s="10"/>
      <c r="AG12522" s="10"/>
      <c r="AH12522" s="10"/>
      <c r="AI12522" s="10"/>
    </row>
    <row r="12523" spans="28:35" ht="15" hidden="1" customHeight="1">
      <c r="AB12523" s="9"/>
      <c r="AC12523" s="9"/>
      <c r="AD12523" s="9"/>
      <c r="AF12523" s="10"/>
      <c r="AG12523" s="10"/>
      <c r="AH12523" s="10"/>
      <c r="AI12523" s="10"/>
    </row>
    <row r="12524" spans="28:35" ht="15" hidden="1" customHeight="1">
      <c r="AB12524" s="9"/>
      <c r="AC12524" s="9"/>
      <c r="AD12524" s="9"/>
      <c r="AF12524" s="10"/>
      <c r="AG12524" s="10"/>
      <c r="AH12524" s="10"/>
      <c r="AI12524" s="10"/>
    </row>
    <row r="12525" spans="28:35" ht="15" hidden="1" customHeight="1">
      <c r="AB12525" s="9"/>
      <c r="AC12525" s="9"/>
      <c r="AD12525" s="9"/>
      <c r="AF12525" s="10"/>
      <c r="AG12525" s="10"/>
      <c r="AH12525" s="10"/>
      <c r="AI12525" s="10"/>
    </row>
    <row r="12526" spans="28:35" ht="15" hidden="1" customHeight="1">
      <c r="AB12526" s="9"/>
      <c r="AC12526" s="9"/>
      <c r="AD12526" s="9"/>
      <c r="AF12526" s="10"/>
      <c r="AG12526" s="10"/>
      <c r="AH12526" s="10"/>
      <c r="AI12526" s="10"/>
    </row>
    <row r="12527" spans="28:35" ht="15" hidden="1" customHeight="1">
      <c r="AB12527" s="9"/>
      <c r="AC12527" s="9"/>
      <c r="AD12527" s="9"/>
      <c r="AF12527" s="10"/>
      <c r="AG12527" s="10"/>
      <c r="AH12527" s="10"/>
      <c r="AI12527" s="10"/>
    </row>
    <row r="12528" spans="28:35" ht="15" hidden="1" customHeight="1">
      <c r="AB12528" s="9"/>
      <c r="AC12528" s="9"/>
      <c r="AD12528" s="9"/>
      <c r="AF12528" s="10"/>
      <c r="AG12528" s="10"/>
      <c r="AH12528" s="10"/>
      <c r="AI12528" s="10"/>
    </row>
    <row r="12529" spans="28:35" ht="15" hidden="1" customHeight="1">
      <c r="AB12529" s="9"/>
      <c r="AC12529" s="9"/>
      <c r="AD12529" s="9"/>
      <c r="AF12529" s="10"/>
      <c r="AG12529" s="10"/>
      <c r="AH12529" s="10"/>
      <c r="AI12529" s="10"/>
    </row>
    <row r="12530" spans="28:35" ht="15" hidden="1" customHeight="1">
      <c r="AB12530" s="9"/>
      <c r="AC12530" s="9"/>
      <c r="AD12530" s="9"/>
      <c r="AF12530" s="10"/>
      <c r="AG12530" s="10"/>
      <c r="AH12530" s="10"/>
      <c r="AI12530" s="10"/>
    </row>
    <row r="12531" spans="28:35" ht="15" hidden="1" customHeight="1">
      <c r="AB12531" s="9"/>
      <c r="AC12531" s="9"/>
      <c r="AD12531" s="9"/>
      <c r="AF12531" s="10"/>
      <c r="AG12531" s="10"/>
      <c r="AH12531" s="10"/>
      <c r="AI12531" s="10"/>
    </row>
    <row r="12532" spans="28:35" ht="15" hidden="1" customHeight="1">
      <c r="AB12532" s="9"/>
      <c r="AC12532" s="9"/>
      <c r="AD12532" s="9"/>
      <c r="AF12532" s="10"/>
      <c r="AG12532" s="10"/>
      <c r="AH12532" s="10"/>
      <c r="AI12532" s="10"/>
    </row>
    <row r="12533" spans="28:35" ht="15" hidden="1" customHeight="1">
      <c r="AB12533" s="9"/>
      <c r="AC12533" s="9"/>
      <c r="AD12533" s="9"/>
      <c r="AF12533" s="10"/>
      <c r="AG12533" s="10"/>
      <c r="AH12533" s="10"/>
      <c r="AI12533" s="10"/>
    </row>
    <row r="12534" spans="28:35" ht="15" hidden="1" customHeight="1">
      <c r="AB12534" s="9"/>
      <c r="AC12534" s="9"/>
      <c r="AD12534" s="9"/>
      <c r="AF12534" s="10"/>
      <c r="AG12534" s="10"/>
      <c r="AH12534" s="10"/>
      <c r="AI12534" s="10"/>
    </row>
    <row r="12535" spans="28:35" ht="15" hidden="1" customHeight="1">
      <c r="AB12535" s="9"/>
      <c r="AC12535" s="9"/>
      <c r="AD12535" s="9"/>
      <c r="AF12535" s="10"/>
      <c r="AG12535" s="10"/>
      <c r="AH12535" s="10"/>
      <c r="AI12535" s="10"/>
    </row>
    <row r="12536" spans="28:35" ht="15" hidden="1" customHeight="1">
      <c r="AB12536" s="9"/>
      <c r="AC12536" s="9"/>
      <c r="AD12536" s="9"/>
      <c r="AF12536" s="10"/>
      <c r="AG12536" s="10"/>
      <c r="AH12536" s="10"/>
      <c r="AI12536" s="10"/>
    </row>
    <row r="12537" spans="28:35" ht="15" hidden="1" customHeight="1">
      <c r="AB12537" s="9"/>
      <c r="AC12537" s="9"/>
      <c r="AD12537" s="9"/>
      <c r="AF12537" s="10"/>
      <c r="AG12537" s="10"/>
      <c r="AH12537" s="10"/>
      <c r="AI12537" s="10"/>
    </row>
    <row r="12538" spans="28:35" ht="15" hidden="1" customHeight="1">
      <c r="AB12538" s="9"/>
      <c r="AC12538" s="9"/>
      <c r="AD12538" s="9"/>
      <c r="AF12538" s="10"/>
      <c r="AG12538" s="10"/>
      <c r="AH12538" s="10"/>
      <c r="AI12538" s="10"/>
    </row>
    <row r="12539" spans="28:35" ht="15" hidden="1" customHeight="1">
      <c r="AB12539" s="9"/>
      <c r="AC12539" s="9"/>
      <c r="AD12539" s="9"/>
      <c r="AF12539" s="10"/>
      <c r="AG12539" s="10"/>
      <c r="AH12539" s="10"/>
      <c r="AI12539" s="10"/>
    </row>
    <row r="12540" spans="28:35" ht="15" hidden="1" customHeight="1">
      <c r="AB12540" s="9"/>
      <c r="AC12540" s="9"/>
      <c r="AD12540" s="9"/>
      <c r="AF12540" s="10"/>
      <c r="AG12540" s="10"/>
      <c r="AH12540" s="10"/>
      <c r="AI12540" s="10"/>
    </row>
    <row r="12541" spans="28:35" ht="15" hidden="1" customHeight="1">
      <c r="AB12541" s="9"/>
      <c r="AC12541" s="9"/>
      <c r="AD12541" s="9"/>
      <c r="AF12541" s="10"/>
      <c r="AG12541" s="10"/>
      <c r="AH12541" s="10"/>
      <c r="AI12541" s="10"/>
    </row>
    <row r="12542" spans="28:35" ht="15" hidden="1" customHeight="1">
      <c r="AB12542" s="9"/>
      <c r="AC12542" s="9"/>
      <c r="AD12542" s="9"/>
      <c r="AF12542" s="10"/>
      <c r="AG12542" s="10"/>
      <c r="AH12542" s="10"/>
      <c r="AI12542" s="10"/>
    </row>
    <row r="12543" spans="28:35" ht="15" hidden="1" customHeight="1">
      <c r="AB12543" s="9"/>
      <c r="AC12543" s="9"/>
      <c r="AD12543" s="9"/>
      <c r="AF12543" s="10"/>
      <c r="AG12543" s="10"/>
      <c r="AH12543" s="10"/>
      <c r="AI12543" s="10"/>
    </row>
    <row r="12544" spans="28:35" ht="15" hidden="1" customHeight="1">
      <c r="AB12544" s="9"/>
      <c r="AC12544" s="9"/>
      <c r="AD12544" s="9"/>
      <c r="AF12544" s="10"/>
      <c r="AG12544" s="10"/>
      <c r="AH12544" s="10"/>
      <c r="AI12544" s="10"/>
    </row>
    <row r="12545" spans="28:35" ht="15" hidden="1" customHeight="1">
      <c r="AB12545" s="9"/>
      <c r="AC12545" s="9"/>
      <c r="AD12545" s="9"/>
      <c r="AF12545" s="10"/>
      <c r="AG12545" s="10"/>
      <c r="AH12545" s="10"/>
      <c r="AI12545" s="10"/>
    </row>
    <row r="12546" spans="28:35" ht="15" hidden="1" customHeight="1">
      <c r="AB12546" s="9"/>
      <c r="AC12546" s="9"/>
      <c r="AD12546" s="9"/>
      <c r="AF12546" s="10"/>
      <c r="AG12546" s="10"/>
      <c r="AH12546" s="10"/>
      <c r="AI12546" s="10"/>
    </row>
    <row r="12547" spans="28:35" ht="15" hidden="1" customHeight="1">
      <c r="AB12547" s="9"/>
      <c r="AC12547" s="9"/>
      <c r="AD12547" s="9"/>
      <c r="AF12547" s="10"/>
      <c r="AG12547" s="10"/>
      <c r="AH12547" s="10"/>
      <c r="AI12547" s="10"/>
    </row>
    <row r="12548" spans="28:35" ht="15" hidden="1" customHeight="1">
      <c r="AB12548" s="9"/>
      <c r="AC12548" s="9"/>
      <c r="AD12548" s="9"/>
      <c r="AF12548" s="10"/>
      <c r="AG12548" s="10"/>
      <c r="AH12548" s="10"/>
      <c r="AI12548" s="10"/>
    </row>
    <row r="12549" spans="28:35" ht="15" hidden="1" customHeight="1">
      <c r="AB12549" s="9"/>
      <c r="AC12549" s="9"/>
      <c r="AD12549" s="9"/>
      <c r="AF12549" s="10"/>
      <c r="AG12549" s="10"/>
      <c r="AH12549" s="10"/>
      <c r="AI12549" s="10"/>
    </row>
    <row r="12550" spans="28:35" ht="15" hidden="1" customHeight="1">
      <c r="AB12550" s="9"/>
      <c r="AC12550" s="9"/>
      <c r="AD12550" s="9"/>
      <c r="AF12550" s="10"/>
      <c r="AG12550" s="10"/>
      <c r="AH12550" s="10"/>
      <c r="AI12550" s="10"/>
    </row>
    <row r="12551" spans="28:35" ht="15" hidden="1" customHeight="1">
      <c r="AB12551" s="9"/>
      <c r="AC12551" s="9"/>
      <c r="AD12551" s="9"/>
      <c r="AF12551" s="10"/>
      <c r="AG12551" s="10"/>
      <c r="AH12551" s="10"/>
      <c r="AI12551" s="10"/>
    </row>
    <row r="12552" spans="28:35" ht="15" hidden="1" customHeight="1">
      <c r="AB12552" s="9"/>
      <c r="AC12552" s="9"/>
      <c r="AD12552" s="9"/>
      <c r="AF12552" s="10"/>
      <c r="AG12552" s="10"/>
      <c r="AH12552" s="10"/>
      <c r="AI12552" s="10"/>
    </row>
    <row r="12553" spans="28:35" ht="15" hidden="1" customHeight="1">
      <c r="AB12553" s="9"/>
      <c r="AC12553" s="9"/>
      <c r="AD12553" s="9"/>
      <c r="AF12553" s="10"/>
      <c r="AG12553" s="10"/>
      <c r="AH12553" s="10"/>
      <c r="AI12553" s="10"/>
    </row>
    <row r="12554" spans="28:35" ht="15" hidden="1" customHeight="1">
      <c r="AB12554" s="9"/>
      <c r="AC12554" s="9"/>
      <c r="AD12554" s="9"/>
      <c r="AF12554" s="10"/>
      <c r="AG12554" s="10"/>
      <c r="AH12554" s="10"/>
      <c r="AI12554" s="10"/>
    </row>
    <row r="12555" spans="28:35" ht="15" hidden="1" customHeight="1">
      <c r="AB12555" s="9"/>
      <c r="AC12555" s="9"/>
      <c r="AD12555" s="9"/>
      <c r="AF12555" s="10"/>
      <c r="AG12555" s="10"/>
      <c r="AH12555" s="10"/>
      <c r="AI12555" s="10"/>
    </row>
    <row r="12556" spans="28:35" ht="15" hidden="1" customHeight="1">
      <c r="AB12556" s="9"/>
      <c r="AC12556" s="9"/>
      <c r="AD12556" s="9"/>
      <c r="AF12556" s="10"/>
      <c r="AG12556" s="10"/>
      <c r="AH12556" s="10"/>
      <c r="AI12556" s="10"/>
    </row>
    <row r="12557" spans="28:35" ht="15" hidden="1" customHeight="1">
      <c r="AB12557" s="9"/>
      <c r="AC12557" s="9"/>
      <c r="AD12557" s="9"/>
      <c r="AF12557" s="10"/>
      <c r="AG12557" s="10"/>
      <c r="AH12557" s="10"/>
      <c r="AI12557" s="10"/>
    </row>
    <row r="12558" spans="28:35" ht="15" hidden="1" customHeight="1">
      <c r="AB12558" s="9"/>
      <c r="AC12558" s="9"/>
      <c r="AD12558" s="9"/>
      <c r="AF12558" s="10"/>
      <c r="AG12558" s="10"/>
      <c r="AH12558" s="10"/>
      <c r="AI12558" s="10"/>
    </row>
    <row r="12559" spans="28:35" ht="15" hidden="1" customHeight="1">
      <c r="AB12559" s="9"/>
      <c r="AC12559" s="9"/>
      <c r="AD12559" s="9"/>
      <c r="AF12559" s="10"/>
      <c r="AG12559" s="10"/>
      <c r="AH12559" s="10"/>
      <c r="AI12559" s="10"/>
    </row>
    <row r="12560" spans="28:35" ht="15" hidden="1" customHeight="1">
      <c r="AB12560" s="9"/>
      <c r="AC12560" s="9"/>
      <c r="AD12560" s="9"/>
      <c r="AF12560" s="10"/>
      <c r="AG12560" s="10"/>
      <c r="AH12560" s="10"/>
      <c r="AI12560" s="10"/>
    </row>
    <row r="12561" spans="28:35" ht="15" hidden="1" customHeight="1">
      <c r="AB12561" s="9"/>
      <c r="AC12561" s="9"/>
      <c r="AD12561" s="9"/>
      <c r="AF12561" s="10"/>
      <c r="AG12561" s="10"/>
      <c r="AH12561" s="10"/>
      <c r="AI12561" s="10"/>
    </row>
    <row r="12562" spans="28:35" ht="15" hidden="1" customHeight="1">
      <c r="AB12562" s="9"/>
      <c r="AC12562" s="9"/>
      <c r="AD12562" s="9"/>
      <c r="AF12562" s="10"/>
      <c r="AG12562" s="10"/>
      <c r="AH12562" s="10"/>
      <c r="AI12562" s="10"/>
    </row>
    <row r="12563" spans="28:35" ht="15" hidden="1" customHeight="1">
      <c r="AB12563" s="9"/>
      <c r="AC12563" s="9"/>
      <c r="AD12563" s="9"/>
      <c r="AF12563" s="10"/>
      <c r="AG12563" s="10"/>
      <c r="AH12563" s="10"/>
      <c r="AI12563" s="10"/>
    </row>
    <row r="12564" spans="28:35" ht="15" hidden="1" customHeight="1">
      <c r="AB12564" s="9"/>
      <c r="AC12564" s="9"/>
      <c r="AD12564" s="9"/>
      <c r="AF12564" s="10"/>
      <c r="AG12564" s="10"/>
      <c r="AH12564" s="10"/>
      <c r="AI12564" s="10"/>
    </row>
    <row r="12565" spans="28:35" ht="15" hidden="1" customHeight="1">
      <c r="AB12565" s="9"/>
      <c r="AC12565" s="9"/>
      <c r="AD12565" s="9"/>
      <c r="AF12565" s="10"/>
      <c r="AG12565" s="10"/>
      <c r="AH12565" s="10"/>
      <c r="AI12565" s="10"/>
    </row>
    <row r="12566" spans="28:35" ht="15" hidden="1" customHeight="1">
      <c r="AB12566" s="9"/>
      <c r="AC12566" s="9"/>
      <c r="AD12566" s="9"/>
      <c r="AF12566" s="10"/>
      <c r="AG12566" s="10"/>
      <c r="AH12566" s="10"/>
      <c r="AI12566" s="10"/>
    </row>
    <row r="12567" spans="28:35" ht="15" hidden="1" customHeight="1">
      <c r="AB12567" s="9"/>
      <c r="AC12567" s="9"/>
      <c r="AD12567" s="9"/>
      <c r="AF12567" s="10"/>
      <c r="AG12567" s="10"/>
      <c r="AH12567" s="10"/>
      <c r="AI12567" s="10"/>
    </row>
    <row r="12568" spans="28:35" ht="15" hidden="1" customHeight="1">
      <c r="AB12568" s="9"/>
      <c r="AC12568" s="9"/>
      <c r="AD12568" s="9"/>
      <c r="AF12568" s="10"/>
      <c r="AG12568" s="10"/>
      <c r="AH12568" s="10"/>
      <c r="AI12568" s="10"/>
    </row>
    <row r="12569" spans="28:35" ht="15" hidden="1" customHeight="1">
      <c r="AB12569" s="9"/>
      <c r="AC12569" s="9"/>
      <c r="AD12569" s="9"/>
      <c r="AF12569" s="10"/>
      <c r="AG12569" s="10"/>
      <c r="AH12569" s="10"/>
      <c r="AI12569" s="10"/>
    </row>
    <row r="12570" spans="28:35" ht="15" hidden="1" customHeight="1">
      <c r="AB12570" s="9"/>
      <c r="AC12570" s="9"/>
      <c r="AD12570" s="9"/>
      <c r="AF12570" s="10"/>
      <c r="AG12570" s="10"/>
      <c r="AH12570" s="10"/>
      <c r="AI12570" s="10"/>
    </row>
    <row r="12571" spans="28:35" ht="15" hidden="1" customHeight="1">
      <c r="AB12571" s="9"/>
      <c r="AC12571" s="9"/>
      <c r="AD12571" s="9"/>
      <c r="AF12571" s="10"/>
      <c r="AG12571" s="10"/>
      <c r="AH12571" s="10"/>
      <c r="AI12571" s="10"/>
    </row>
    <row r="12572" spans="28:35" ht="15" hidden="1" customHeight="1">
      <c r="AB12572" s="9"/>
      <c r="AC12572" s="9"/>
      <c r="AD12572" s="9"/>
      <c r="AF12572" s="10"/>
      <c r="AG12572" s="10"/>
      <c r="AH12572" s="10"/>
      <c r="AI12572" s="10"/>
    </row>
    <row r="12573" spans="28:35" ht="15" hidden="1" customHeight="1">
      <c r="AB12573" s="9"/>
      <c r="AC12573" s="9"/>
      <c r="AD12573" s="9"/>
      <c r="AF12573" s="10"/>
      <c r="AG12573" s="10"/>
      <c r="AH12573" s="10"/>
      <c r="AI12573" s="10"/>
    </row>
    <row r="12574" spans="28:35" ht="15" hidden="1" customHeight="1">
      <c r="AB12574" s="9"/>
      <c r="AC12574" s="9"/>
      <c r="AD12574" s="9"/>
      <c r="AF12574" s="10"/>
      <c r="AG12574" s="10"/>
      <c r="AH12574" s="10"/>
      <c r="AI12574" s="10"/>
    </row>
    <row r="12575" spans="28:35" ht="15" hidden="1" customHeight="1">
      <c r="AB12575" s="9"/>
      <c r="AC12575" s="9"/>
      <c r="AD12575" s="9"/>
      <c r="AF12575" s="10"/>
      <c r="AG12575" s="10"/>
      <c r="AH12575" s="10"/>
      <c r="AI12575" s="10"/>
    </row>
    <row r="12576" spans="28:35" ht="15" hidden="1" customHeight="1">
      <c r="AB12576" s="9"/>
      <c r="AC12576" s="9"/>
      <c r="AD12576" s="9"/>
      <c r="AF12576" s="10"/>
      <c r="AG12576" s="10"/>
      <c r="AH12576" s="10"/>
      <c r="AI12576" s="10"/>
    </row>
    <row r="12577" spans="28:35" ht="15" hidden="1" customHeight="1">
      <c r="AB12577" s="9"/>
      <c r="AC12577" s="9"/>
      <c r="AD12577" s="9"/>
      <c r="AF12577" s="10"/>
      <c r="AG12577" s="10"/>
      <c r="AH12577" s="10"/>
      <c r="AI12577" s="10"/>
    </row>
    <row r="12578" spans="28:35" ht="15" hidden="1" customHeight="1">
      <c r="AB12578" s="9"/>
      <c r="AC12578" s="9"/>
      <c r="AD12578" s="9"/>
      <c r="AF12578" s="10"/>
      <c r="AG12578" s="10"/>
      <c r="AH12578" s="10"/>
      <c r="AI12578" s="10"/>
    </row>
    <row r="12579" spans="28:35" ht="15" hidden="1" customHeight="1">
      <c r="AB12579" s="9"/>
      <c r="AC12579" s="9"/>
      <c r="AD12579" s="9"/>
      <c r="AF12579" s="10"/>
      <c r="AG12579" s="10"/>
      <c r="AH12579" s="10"/>
      <c r="AI12579" s="10"/>
    </row>
    <row r="12580" spans="28:35" ht="15" hidden="1" customHeight="1">
      <c r="AB12580" s="9"/>
      <c r="AC12580" s="9"/>
      <c r="AD12580" s="9"/>
      <c r="AF12580" s="10"/>
      <c r="AG12580" s="10"/>
      <c r="AH12580" s="10"/>
      <c r="AI12580" s="10"/>
    </row>
    <row r="12581" spans="28:35" ht="15" hidden="1" customHeight="1">
      <c r="AB12581" s="9"/>
      <c r="AC12581" s="9"/>
      <c r="AD12581" s="9"/>
      <c r="AF12581" s="10"/>
      <c r="AG12581" s="10"/>
      <c r="AH12581" s="10"/>
      <c r="AI12581" s="10"/>
    </row>
    <row r="12582" spans="28:35" ht="15" hidden="1" customHeight="1">
      <c r="AB12582" s="9"/>
      <c r="AC12582" s="9"/>
      <c r="AD12582" s="9"/>
      <c r="AF12582" s="10"/>
      <c r="AG12582" s="10"/>
      <c r="AH12582" s="10"/>
      <c r="AI12582" s="10"/>
    </row>
    <row r="12583" spans="28:35" ht="15" hidden="1" customHeight="1">
      <c r="AB12583" s="9"/>
      <c r="AC12583" s="9"/>
      <c r="AD12583" s="9"/>
      <c r="AF12583" s="10"/>
      <c r="AG12583" s="10"/>
      <c r="AH12583" s="10"/>
      <c r="AI12583" s="10"/>
    </row>
    <row r="12584" spans="28:35" ht="15" hidden="1" customHeight="1">
      <c r="AB12584" s="9"/>
      <c r="AC12584" s="9"/>
      <c r="AD12584" s="9"/>
      <c r="AF12584" s="10"/>
      <c r="AG12584" s="10"/>
      <c r="AH12584" s="10"/>
      <c r="AI12584" s="10"/>
    </row>
    <row r="12585" spans="28:35" ht="15" hidden="1" customHeight="1">
      <c r="AB12585" s="9"/>
      <c r="AC12585" s="9"/>
      <c r="AD12585" s="9"/>
      <c r="AF12585" s="10"/>
      <c r="AG12585" s="10"/>
      <c r="AH12585" s="10"/>
      <c r="AI12585" s="10"/>
    </row>
    <row r="12586" spans="28:35" ht="15" hidden="1" customHeight="1">
      <c r="AB12586" s="9"/>
      <c r="AC12586" s="9"/>
      <c r="AD12586" s="9"/>
      <c r="AF12586" s="10"/>
      <c r="AG12586" s="10"/>
      <c r="AH12586" s="10"/>
      <c r="AI12586" s="10"/>
    </row>
    <row r="12587" spans="28:35" ht="15" hidden="1" customHeight="1">
      <c r="AB12587" s="9"/>
      <c r="AC12587" s="9"/>
      <c r="AD12587" s="9"/>
      <c r="AF12587" s="10"/>
      <c r="AG12587" s="10"/>
      <c r="AH12587" s="10"/>
      <c r="AI12587" s="10"/>
    </row>
    <row r="12588" spans="28:35" ht="15" hidden="1" customHeight="1">
      <c r="AB12588" s="9"/>
      <c r="AC12588" s="9"/>
      <c r="AD12588" s="9"/>
      <c r="AF12588" s="10"/>
      <c r="AG12588" s="10"/>
      <c r="AH12588" s="10"/>
      <c r="AI12588" s="10"/>
    </row>
    <row r="12589" spans="28:35" ht="15" hidden="1" customHeight="1">
      <c r="AB12589" s="9"/>
      <c r="AC12589" s="9"/>
      <c r="AD12589" s="9"/>
      <c r="AF12589" s="10"/>
      <c r="AG12589" s="10"/>
      <c r="AH12589" s="10"/>
      <c r="AI12589" s="10"/>
    </row>
    <row r="12590" spans="28:35" ht="15" hidden="1" customHeight="1">
      <c r="AB12590" s="9"/>
      <c r="AC12590" s="9"/>
      <c r="AD12590" s="9"/>
      <c r="AF12590" s="10"/>
      <c r="AG12590" s="10"/>
      <c r="AH12590" s="10"/>
      <c r="AI12590" s="10"/>
    </row>
    <row r="12591" spans="28:35" ht="15" hidden="1" customHeight="1">
      <c r="AB12591" s="9"/>
      <c r="AC12591" s="9"/>
      <c r="AD12591" s="9"/>
      <c r="AF12591" s="10"/>
      <c r="AG12591" s="10"/>
      <c r="AH12591" s="10"/>
      <c r="AI12591" s="10"/>
    </row>
    <row r="12592" spans="28:35" ht="15" hidden="1" customHeight="1">
      <c r="AB12592" s="9"/>
      <c r="AC12592" s="9"/>
      <c r="AD12592" s="9"/>
      <c r="AF12592" s="10"/>
      <c r="AG12592" s="10"/>
      <c r="AH12592" s="10"/>
      <c r="AI12592" s="10"/>
    </row>
    <row r="12593" spans="28:35" ht="15" hidden="1" customHeight="1">
      <c r="AB12593" s="9"/>
      <c r="AC12593" s="9"/>
      <c r="AD12593" s="9"/>
      <c r="AF12593" s="10"/>
      <c r="AG12593" s="10"/>
      <c r="AH12593" s="10"/>
      <c r="AI12593" s="10"/>
    </row>
    <row r="12594" spans="28:35" ht="15" hidden="1" customHeight="1">
      <c r="AB12594" s="9"/>
      <c r="AC12594" s="9"/>
      <c r="AD12594" s="9"/>
      <c r="AF12594" s="10"/>
      <c r="AG12594" s="10"/>
      <c r="AH12594" s="10"/>
      <c r="AI12594" s="10"/>
    </row>
    <row r="12595" spans="28:35" ht="15" hidden="1" customHeight="1">
      <c r="AB12595" s="9"/>
      <c r="AC12595" s="9"/>
      <c r="AD12595" s="9"/>
      <c r="AF12595" s="10"/>
      <c r="AG12595" s="10"/>
      <c r="AH12595" s="10"/>
      <c r="AI12595" s="10"/>
    </row>
    <row r="12596" spans="28:35" ht="15" hidden="1" customHeight="1">
      <c r="AB12596" s="9"/>
      <c r="AC12596" s="9"/>
      <c r="AD12596" s="9"/>
      <c r="AF12596" s="10"/>
      <c r="AG12596" s="10"/>
      <c r="AH12596" s="10"/>
      <c r="AI12596" s="10"/>
    </row>
    <row r="12597" spans="28:35" ht="15" hidden="1" customHeight="1">
      <c r="AB12597" s="9"/>
      <c r="AC12597" s="9"/>
      <c r="AD12597" s="9"/>
      <c r="AF12597" s="10"/>
      <c r="AG12597" s="10"/>
      <c r="AH12597" s="10"/>
      <c r="AI12597" s="10"/>
    </row>
    <row r="12598" spans="28:35" ht="15" hidden="1" customHeight="1">
      <c r="AB12598" s="9"/>
      <c r="AC12598" s="9"/>
      <c r="AD12598" s="9"/>
      <c r="AF12598" s="10"/>
      <c r="AG12598" s="10"/>
      <c r="AH12598" s="10"/>
      <c r="AI12598" s="10"/>
    </row>
    <row r="12599" spans="28:35" ht="15" hidden="1" customHeight="1">
      <c r="AB12599" s="9"/>
      <c r="AC12599" s="9"/>
      <c r="AD12599" s="9"/>
      <c r="AF12599" s="10"/>
      <c r="AG12599" s="10"/>
      <c r="AH12599" s="10"/>
      <c r="AI12599" s="10"/>
    </row>
    <row r="12600" spans="28:35" ht="15" hidden="1" customHeight="1">
      <c r="AB12600" s="9"/>
      <c r="AC12600" s="9"/>
      <c r="AD12600" s="9"/>
      <c r="AF12600" s="10"/>
      <c r="AG12600" s="10"/>
      <c r="AH12600" s="10"/>
      <c r="AI12600" s="10"/>
    </row>
    <row r="12601" spans="28:35" ht="15" hidden="1" customHeight="1">
      <c r="AB12601" s="9"/>
      <c r="AC12601" s="9"/>
      <c r="AD12601" s="9"/>
      <c r="AF12601" s="10"/>
      <c r="AG12601" s="10"/>
      <c r="AH12601" s="10"/>
      <c r="AI12601" s="10"/>
    </row>
    <row r="12602" spans="28:35" ht="15" hidden="1" customHeight="1">
      <c r="AB12602" s="9"/>
      <c r="AC12602" s="9"/>
      <c r="AD12602" s="9"/>
      <c r="AF12602" s="10"/>
      <c r="AG12602" s="10"/>
      <c r="AH12602" s="10"/>
      <c r="AI12602" s="10"/>
    </row>
    <row r="12603" spans="28:35" ht="15" hidden="1" customHeight="1">
      <c r="AB12603" s="9"/>
      <c r="AC12603" s="9"/>
      <c r="AD12603" s="9"/>
      <c r="AF12603" s="10"/>
      <c r="AG12603" s="10"/>
      <c r="AH12603" s="10"/>
      <c r="AI12603" s="10"/>
    </row>
    <row r="12604" spans="28:35" ht="15" hidden="1" customHeight="1">
      <c r="AB12604" s="9"/>
      <c r="AC12604" s="9"/>
      <c r="AD12604" s="9"/>
      <c r="AF12604" s="10"/>
      <c r="AG12604" s="10"/>
      <c r="AH12604" s="10"/>
      <c r="AI12604" s="10"/>
    </row>
    <row r="12605" spans="28:35" ht="15" hidden="1" customHeight="1">
      <c r="AB12605" s="9"/>
      <c r="AC12605" s="9"/>
      <c r="AD12605" s="9"/>
      <c r="AF12605" s="10"/>
      <c r="AG12605" s="10"/>
      <c r="AH12605" s="10"/>
      <c r="AI12605" s="10"/>
    </row>
    <row r="12606" spans="28:35" ht="15" hidden="1" customHeight="1">
      <c r="AB12606" s="9"/>
      <c r="AC12606" s="9"/>
      <c r="AD12606" s="9"/>
      <c r="AF12606" s="10"/>
      <c r="AG12606" s="10"/>
      <c r="AH12606" s="10"/>
      <c r="AI12606" s="10"/>
    </row>
    <row r="12607" spans="28:35" ht="15" hidden="1" customHeight="1">
      <c r="AB12607" s="9"/>
      <c r="AC12607" s="9"/>
      <c r="AD12607" s="9"/>
      <c r="AF12607" s="10"/>
      <c r="AG12607" s="10"/>
      <c r="AH12607" s="10"/>
      <c r="AI12607" s="10"/>
    </row>
    <row r="12608" spans="28:35" ht="15" hidden="1" customHeight="1">
      <c r="AB12608" s="9"/>
      <c r="AC12608" s="9"/>
      <c r="AD12608" s="9"/>
      <c r="AF12608" s="10"/>
      <c r="AG12608" s="10"/>
      <c r="AH12608" s="10"/>
      <c r="AI12608" s="10"/>
    </row>
    <row r="12609" spans="28:35" ht="15" hidden="1" customHeight="1">
      <c r="AB12609" s="9"/>
      <c r="AC12609" s="9"/>
      <c r="AD12609" s="9"/>
      <c r="AF12609" s="10"/>
      <c r="AG12609" s="10"/>
      <c r="AH12609" s="10"/>
      <c r="AI12609" s="10"/>
    </row>
    <row r="12610" spans="28:35" ht="15" hidden="1" customHeight="1">
      <c r="AB12610" s="9"/>
      <c r="AC12610" s="9"/>
      <c r="AD12610" s="9"/>
      <c r="AF12610" s="10"/>
      <c r="AG12610" s="10"/>
      <c r="AH12610" s="10"/>
      <c r="AI12610" s="10"/>
    </row>
    <row r="12611" spans="28:35" ht="15" hidden="1" customHeight="1">
      <c r="AB12611" s="9"/>
      <c r="AC12611" s="9"/>
      <c r="AD12611" s="9"/>
      <c r="AF12611" s="10"/>
      <c r="AG12611" s="10"/>
      <c r="AH12611" s="10"/>
      <c r="AI12611" s="10"/>
    </row>
    <row r="12612" spans="28:35" ht="15" hidden="1" customHeight="1">
      <c r="AB12612" s="9"/>
      <c r="AC12612" s="9"/>
      <c r="AD12612" s="9"/>
      <c r="AF12612" s="10"/>
      <c r="AG12612" s="10"/>
      <c r="AH12612" s="10"/>
      <c r="AI12612" s="10"/>
    </row>
    <row r="12613" spans="28:35" ht="15" hidden="1" customHeight="1">
      <c r="AB12613" s="9"/>
      <c r="AC12613" s="9"/>
      <c r="AD12613" s="9"/>
      <c r="AF12613" s="10"/>
      <c r="AG12613" s="10"/>
      <c r="AH12613" s="10"/>
      <c r="AI12613" s="10"/>
    </row>
    <row r="12614" spans="28:35" ht="15" hidden="1" customHeight="1">
      <c r="AB12614" s="9"/>
      <c r="AC12614" s="9"/>
      <c r="AD12614" s="9"/>
      <c r="AF12614" s="10"/>
      <c r="AG12614" s="10"/>
      <c r="AH12614" s="10"/>
      <c r="AI12614" s="10"/>
    </row>
    <row r="12615" spans="28:35" ht="15" hidden="1" customHeight="1">
      <c r="AB12615" s="9"/>
      <c r="AC12615" s="9"/>
      <c r="AD12615" s="9"/>
      <c r="AF12615" s="10"/>
      <c r="AG12615" s="10"/>
      <c r="AH12615" s="10"/>
      <c r="AI12615" s="10"/>
    </row>
    <row r="12616" spans="28:35" ht="15" hidden="1" customHeight="1">
      <c r="AB12616" s="9"/>
      <c r="AC12616" s="9"/>
      <c r="AD12616" s="9"/>
      <c r="AF12616" s="10"/>
      <c r="AG12616" s="10"/>
      <c r="AH12616" s="10"/>
      <c r="AI12616" s="10"/>
    </row>
    <row r="12617" spans="28:35" ht="15" hidden="1" customHeight="1">
      <c r="AB12617" s="9"/>
      <c r="AC12617" s="9"/>
      <c r="AD12617" s="9"/>
      <c r="AF12617" s="10"/>
      <c r="AG12617" s="10"/>
      <c r="AH12617" s="10"/>
      <c r="AI12617" s="10"/>
    </row>
    <row r="12618" spans="28:35" ht="15" hidden="1" customHeight="1">
      <c r="AB12618" s="9"/>
      <c r="AC12618" s="9"/>
      <c r="AD12618" s="9"/>
      <c r="AF12618" s="10"/>
      <c r="AG12618" s="10"/>
      <c r="AH12618" s="10"/>
      <c r="AI12618" s="10"/>
    </row>
    <row r="12619" spans="28:35" ht="15" hidden="1" customHeight="1">
      <c r="AB12619" s="9"/>
      <c r="AC12619" s="9"/>
      <c r="AD12619" s="9"/>
      <c r="AF12619" s="10"/>
      <c r="AG12619" s="10"/>
      <c r="AH12619" s="10"/>
      <c r="AI12619" s="10"/>
    </row>
    <row r="12620" spans="28:35" ht="15" hidden="1" customHeight="1">
      <c r="AB12620" s="9"/>
      <c r="AC12620" s="9"/>
      <c r="AD12620" s="9"/>
      <c r="AF12620" s="10"/>
      <c r="AG12620" s="10"/>
      <c r="AH12620" s="10"/>
      <c r="AI12620" s="10"/>
    </row>
    <row r="12621" spans="28:35" ht="15" hidden="1" customHeight="1">
      <c r="AB12621" s="9"/>
      <c r="AC12621" s="9"/>
      <c r="AD12621" s="9"/>
      <c r="AF12621" s="10"/>
      <c r="AG12621" s="10"/>
      <c r="AH12621" s="10"/>
      <c r="AI12621" s="10"/>
    </row>
    <row r="12622" spans="28:35" ht="15" hidden="1" customHeight="1">
      <c r="AB12622" s="9"/>
      <c r="AC12622" s="9"/>
      <c r="AD12622" s="9"/>
      <c r="AF12622" s="10"/>
      <c r="AG12622" s="10"/>
      <c r="AH12622" s="10"/>
      <c r="AI12622" s="10"/>
    </row>
    <row r="12623" spans="28:35" ht="15" hidden="1" customHeight="1">
      <c r="AB12623" s="9"/>
      <c r="AC12623" s="9"/>
      <c r="AD12623" s="9"/>
      <c r="AF12623" s="10"/>
      <c r="AG12623" s="10"/>
      <c r="AH12623" s="10"/>
      <c r="AI12623" s="10"/>
    </row>
    <row r="12624" spans="28:35" ht="15" hidden="1" customHeight="1">
      <c r="AB12624" s="9"/>
      <c r="AC12624" s="9"/>
      <c r="AD12624" s="9"/>
      <c r="AF12624" s="10"/>
      <c r="AG12624" s="10"/>
      <c r="AH12624" s="10"/>
      <c r="AI12624" s="10"/>
    </row>
    <row r="12625" spans="28:35" ht="15" hidden="1" customHeight="1">
      <c r="AB12625" s="9"/>
      <c r="AC12625" s="9"/>
      <c r="AD12625" s="9"/>
      <c r="AF12625" s="10"/>
      <c r="AG12625" s="10"/>
      <c r="AH12625" s="10"/>
      <c r="AI12625" s="10"/>
    </row>
    <row r="12626" spans="28:35" ht="15" hidden="1" customHeight="1">
      <c r="AB12626" s="9"/>
      <c r="AC12626" s="9"/>
      <c r="AD12626" s="9"/>
      <c r="AF12626" s="10"/>
      <c r="AG12626" s="10"/>
      <c r="AH12626" s="10"/>
      <c r="AI12626" s="10"/>
    </row>
    <row r="12627" spans="28:35" ht="15" hidden="1" customHeight="1">
      <c r="AB12627" s="9"/>
      <c r="AC12627" s="9"/>
      <c r="AD12627" s="9"/>
      <c r="AF12627" s="10"/>
      <c r="AG12627" s="10"/>
      <c r="AH12627" s="10"/>
      <c r="AI12627" s="10"/>
    </row>
    <row r="12628" spans="28:35" ht="15" hidden="1" customHeight="1">
      <c r="AB12628" s="9"/>
      <c r="AC12628" s="9"/>
      <c r="AD12628" s="9"/>
      <c r="AF12628" s="10"/>
      <c r="AG12628" s="10"/>
      <c r="AH12628" s="10"/>
      <c r="AI12628" s="10"/>
    </row>
    <row r="12629" spans="28:35" ht="15" hidden="1" customHeight="1">
      <c r="AB12629" s="9"/>
      <c r="AC12629" s="9"/>
      <c r="AD12629" s="9"/>
      <c r="AF12629" s="10"/>
      <c r="AG12629" s="10"/>
      <c r="AH12629" s="10"/>
      <c r="AI12629" s="10"/>
    </row>
    <row r="12630" spans="28:35" ht="15" hidden="1" customHeight="1">
      <c r="AB12630" s="9"/>
      <c r="AC12630" s="9"/>
      <c r="AD12630" s="9"/>
      <c r="AF12630" s="10"/>
      <c r="AG12630" s="10"/>
      <c r="AH12630" s="10"/>
      <c r="AI12630" s="10"/>
    </row>
    <row r="12631" spans="28:35" ht="15" hidden="1" customHeight="1">
      <c r="AB12631" s="9"/>
      <c r="AC12631" s="9"/>
      <c r="AD12631" s="9"/>
      <c r="AF12631" s="10"/>
      <c r="AG12631" s="10"/>
      <c r="AH12631" s="10"/>
      <c r="AI12631" s="10"/>
    </row>
    <row r="12632" spans="28:35" ht="15" hidden="1" customHeight="1">
      <c r="AB12632" s="9"/>
      <c r="AC12632" s="9"/>
      <c r="AD12632" s="9"/>
      <c r="AF12632" s="10"/>
      <c r="AG12632" s="10"/>
      <c r="AH12632" s="10"/>
      <c r="AI12632" s="10"/>
    </row>
    <row r="12633" spans="28:35" ht="15" hidden="1" customHeight="1">
      <c r="AB12633" s="9"/>
      <c r="AC12633" s="9"/>
      <c r="AD12633" s="9"/>
      <c r="AF12633" s="10"/>
      <c r="AG12633" s="10"/>
      <c r="AH12633" s="10"/>
      <c r="AI12633" s="10"/>
    </row>
    <row r="12634" spans="28:35" ht="15" hidden="1" customHeight="1">
      <c r="AB12634" s="9"/>
      <c r="AC12634" s="9"/>
      <c r="AD12634" s="9"/>
      <c r="AF12634" s="10"/>
      <c r="AG12634" s="10"/>
      <c r="AH12634" s="10"/>
      <c r="AI12634" s="10"/>
    </row>
    <row r="12635" spans="28:35" ht="15" hidden="1" customHeight="1">
      <c r="AB12635" s="9"/>
      <c r="AC12635" s="9"/>
      <c r="AD12635" s="9"/>
      <c r="AF12635" s="10"/>
      <c r="AG12635" s="10"/>
      <c r="AH12635" s="10"/>
      <c r="AI12635" s="10"/>
    </row>
    <row r="12636" spans="28:35" ht="15" hidden="1" customHeight="1">
      <c r="AB12636" s="9"/>
      <c r="AC12636" s="9"/>
      <c r="AD12636" s="9"/>
      <c r="AF12636" s="10"/>
      <c r="AG12636" s="10"/>
      <c r="AH12636" s="10"/>
      <c r="AI12636" s="10"/>
    </row>
    <row r="12637" spans="28:35" ht="15" hidden="1" customHeight="1">
      <c r="AB12637" s="9"/>
      <c r="AC12637" s="9"/>
      <c r="AD12637" s="9"/>
      <c r="AF12637" s="10"/>
      <c r="AG12637" s="10"/>
      <c r="AH12637" s="10"/>
      <c r="AI12637" s="10"/>
    </row>
    <row r="12638" spans="28:35" ht="15" hidden="1" customHeight="1">
      <c r="AB12638" s="9"/>
      <c r="AC12638" s="9"/>
      <c r="AD12638" s="9"/>
      <c r="AF12638" s="10"/>
      <c r="AG12638" s="10"/>
      <c r="AH12638" s="10"/>
      <c r="AI12638" s="10"/>
    </row>
    <row r="12639" spans="28:35" ht="15" hidden="1" customHeight="1">
      <c r="AB12639" s="9"/>
      <c r="AC12639" s="9"/>
      <c r="AD12639" s="9"/>
      <c r="AF12639" s="10"/>
      <c r="AG12639" s="10"/>
      <c r="AH12639" s="10"/>
      <c r="AI12639" s="10"/>
    </row>
    <row r="12640" spans="28:35" ht="15" hidden="1" customHeight="1">
      <c r="AB12640" s="9"/>
      <c r="AC12640" s="9"/>
      <c r="AD12640" s="9"/>
      <c r="AF12640" s="10"/>
      <c r="AG12640" s="10"/>
      <c r="AH12640" s="10"/>
      <c r="AI12640" s="10"/>
    </row>
    <row r="12641" spans="28:35" ht="15" hidden="1" customHeight="1">
      <c r="AB12641" s="9"/>
      <c r="AC12641" s="9"/>
      <c r="AD12641" s="9"/>
      <c r="AF12641" s="10"/>
      <c r="AG12641" s="10"/>
      <c r="AH12641" s="10"/>
      <c r="AI12641" s="10"/>
    </row>
    <row r="12642" spans="28:35" ht="15" hidden="1" customHeight="1">
      <c r="AB12642" s="9"/>
      <c r="AC12642" s="9"/>
      <c r="AD12642" s="9"/>
      <c r="AF12642" s="10"/>
      <c r="AG12642" s="10"/>
      <c r="AH12642" s="10"/>
      <c r="AI12642" s="10"/>
    </row>
    <row r="12643" spans="28:35" ht="15" hidden="1" customHeight="1">
      <c r="AB12643" s="9"/>
      <c r="AC12643" s="9"/>
      <c r="AD12643" s="9"/>
      <c r="AF12643" s="10"/>
      <c r="AG12643" s="10"/>
      <c r="AH12643" s="10"/>
      <c r="AI12643" s="10"/>
    </row>
    <row r="12644" spans="28:35" ht="15" hidden="1" customHeight="1">
      <c r="AB12644" s="9"/>
      <c r="AC12644" s="9"/>
      <c r="AD12644" s="9"/>
      <c r="AF12644" s="10"/>
      <c r="AG12644" s="10"/>
      <c r="AH12644" s="10"/>
      <c r="AI12644" s="10"/>
    </row>
    <row r="12645" spans="28:35" ht="15" hidden="1" customHeight="1">
      <c r="AB12645" s="9"/>
      <c r="AC12645" s="9"/>
      <c r="AD12645" s="9"/>
      <c r="AF12645" s="10"/>
      <c r="AG12645" s="10"/>
      <c r="AH12645" s="10"/>
      <c r="AI12645" s="10"/>
    </row>
    <row r="12646" spans="28:35" ht="15" hidden="1" customHeight="1">
      <c r="AB12646" s="9"/>
      <c r="AC12646" s="9"/>
      <c r="AD12646" s="9"/>
      <c r="AF12646" s="10"/>
      <c r="AG12646" s="10"/>
      <c r="AH12646" s="10"/>
      <c r="AI12646" s="10"/>
    </row>
    <row r="12647" spans="28:35" ht="15" hidden="1" customHeight="1">
      <c r="AB12647" s="9"/>
      <c r="AC12647" s="9"/>
      <c r="AD12647" s="9"/>
      <c r="AF12647" s="10"/>
      <c r="AG12647" s="10"/>
      <c r="AH12647" s="10"/>
      <c r="AI12647" s="10"/>
    </row>
    <row r="12648" spans="28:35" ht="15" hidden="1" customHeight="1">
      <c r="AB12648" s="9"/>
      <c r="AC12648" s="9"/>
      <c r="AD12648" s="9"/>
      <c r="AF12648" s="10"/>
      <c r="AG12648" s="10"/>
      <c r="AH12648" s="10"/>
      <c r="AI12648" s="10"/>
    </row>
    <row r="12649" spans="28:35" ht="15" hidden="1" customHeight="1">
      <c r="AB12649" s="9"/>
      <c r="AC12649" s="9"/>
      <c r="AD12649" s="9"/>
      <c r="AF12649" s="10"/>
      <c r="AG12649" s="10"/>
      <c r="AH12649" s="10"/>
      <c r="AI12649" s="10"/>
    </row>
    <row r="12650" spans="28:35" ht="15" hidden="1" customHeight="1">
      <c r="AB12650" s="9"/>
      <c r="AC12650" s="9"/>
      <c r="AD12650" s="9"/>
      <c r="AF12650" s="10"/>
      <c r="AG12650" s="10"/>
      <c r="AH12650" s="10"/>
      <c r="AI12650" s="10"/>
    </row>
    <row r="12651" spans="28:35" ht="15" hidden="1" customHeight="1">
      <c r="AB12651" s="9"/>
      <c r="AC12651" s="9"/>
      <c r="AD12651" s="9"/>
      <c r="AF12651" s="10"/>
      <c r="AG12651" s="10"/>
      <c r="AH12651" s="10"/>
      <c r="AI12651" s="10"/>
    </row>
    <row r="12652" spans="28:35" ht="15" hidden="1" customHeight="1">
      <c r="AB12652" s="9"/>
      <c r="AC12652" s="9"/>
      <c r="AD12652" s="9"/>
      <c r="AF12652" s="10"/>
      <c r="AG12652" s="10"/>
      <c r="AH12652" s="10"/>
      <c r="AI12652" s="10"/>
    </row>
    <row r="12653" spans="28:35" ht="15" hidden="1" customHeight="1">
      <c r="AB12653" s="9"/>
      <c r="AC12653" s="9"/>
      <c r="AD12653" s="9"/>
      <c r="AF12653" s="10"/>
      <c r="AG12653" s="10"/>
      <c r="AH12653" s="10"/>
      <c r="AI12653" s="10"/>
    </row>
    <row r="12654" spans="28:35" ht="15" hidden="1" customHeight="1">
      <c r="AB12654" s="9"/>
      <c r="AC12654" s="9"/>
      <c r="AD12654" s="9"/>
      <c r="AF12654" s="10"/>
      <c r="AG12654" s="10"/>
      <c r="AH12654" s="10"/>
      <c r="AI12654" s="10"/>
    </row>
    <row r="12655" spans="28:35" ht="15" hidden="1" customHeight="1">
      <c r="AB12655" s="9"/>
      <c r="AC12655" s="9"/>
      <c r="AD12655" s="9"/>
      <c r="AF12655" s="10"/>
      <c r="AG12655" s="10"/>
      <c r="AH12655" s="10"/>
      <c r="AI12655" s="10"/>
    </row>
    <row r="12656" spans="28:35" ht="15" hidden="1" customHeight="1">
      <c r="AB12656" s="9"/>
      <c r="AC12656" s="9"/>
      <c r="AD12656" s="9"/>
      <c r="AF12656" s="10"/>
      <c r="AG12656" s="10"/>
      <c r="AH12656" s="10"/>
      <c r="AI12656" s="10"/>
    </row>
    <row r="12657" spans="28:35" ht="15" hidden="1" customHeight="1">
      <c r="AB12657" s="9"/>
      <c r="AC12657" s="9"/>
      <c r="AD12657" s="9"/>
      <c r="AF12657" s="10"/>
      <c r="AG12657" s="10"/>
      <c r="AH12657" s="10"/>
      <c r="AI12657" s="10"/>
    </row>
    <row r="12658" spans="28:35" ht="15" hidden="1" customHeight="1">
      <c r="AB12658" s="9"/>
      <c r="AC12658" s="9"/>
      <c r="AD12658" s="9"/>
      <c r="AF12658" s="10"/>
      <c r="AG12658" s="10"/>
      <c r="AH12658" s="10"/>
      <c r="AI12658" s="10"/>
    </row>
    <row r="12659" spans="28:35" ht="15" hidden="1" customHeight="1">
      <c r="AB12659" s="9"/>
      <c r="AC12659" s="9"/>
      <c r="AD12659" s="9"/>
      <c r="AF12659" s="10"/>
      <c r="AG12659" s="10"/>
      <c r="AH12659" s="10"/>
      <c r="AI12659" s="10"/>
    </row>
    <row r="12660" spans="28:35" ht="15" hidden="1" customHeight="1">
      <c r="AB12660" s="9"/>
      <c r="AC12660" s="9"/>
      <c r="AD12660" s="9"/>
      <c r="AF12660" s="10"/>
      <c r="AG12660" s="10"/>
      <c r="AH12660" s="10"/>
      <c r="AI12660" s="10"/>
    </row>
    <row r="12661" spans="28:35" ht="15" hidden="1" customHeight="1">
      <c r="AB12661" s="9"/>
      <c r="AC12661" s="9"/>
      <c r="AD12661" s="9"/>
      <c r="AF12661" s="10"/>
      <c r="AG12661" s="10"/>
      <c r="AH12661" s="10"/>
      <c r="AI12661" s="10"/>
    </row>
    <row r="12662" spans="28:35" ht="15" hidden="1" customHeight="1">
      <c r="AB12662" s="9"/>
      <c r="AC12662" s="9"/>
      <c r="AD12662" s="9"/>
      <c r="AF12662" s="10"/>
      <c r="AG12662" s="10"/>
      <c r="AH12662" s="10"/>
      <c r="AI12662" s="10"/>
    </row>
    <row r="12663" spans="28:35" ht="15" hidden="1" customHeight="1">
      <c r="AB12663" s="9"/>
      <c r="AC12663" s="9"/>
      <c r="AD12663" s="9"/>
      <c r="AF12663" s="10"/>
      <c r="AG12663" s="10"/>
      <c r="AH12663" s="10"/>
      <c r="AI12663" s="10"/>
    </row>
    <row r="12664" spans="28:35" ht="15" hidden="1" customHeight="1">
      <c r="AB12664" s="9"/>
      <c r="AC12664" s="9"/>
      <c r="AD12664" s="9"/>
      <c r="AF12664" s="10"/>
      <c r="AG12664" s="10"/>
      <c r="AH12664" s="10"/>
      <c r="AI12664" s="10"/>
    </row>
    <row r="12665" spans="28:35" ht="15" hidden="1" customHeight="1">
      <c r="AB12665" s="9"/>
      <c r="AC12665" s="9"/>
      <c r="AD12665" s="9"/>
      <c r="AF12665" s="10"/>
      <c r="AG12665" s="10"/>
      <c r="AH12665" s="10"/>
      <c r="AI12665" s="10"/>
    </row>
    <row r="12666" spans="28:35" ht="15" hidden="1" customHeight="1">
      <c r="AB12666" s="9"/>
      <c r="AC12666" s="9"/>
      <c r="AD12666" s="9"/>
      <c r="AF12666" s="10"/>
      <c r="AG12666" s="10"/>
      <c r="AH12666" s="10"/>
      <c r="AI12666" s="10"/>
    </row>
    <row r="12667" spans="28:35" ht="15" hidden="1" customHeight="1">
      <c r="AB12667" s="9"/>
      <c r="AC12667" s="9"/>
      <c r="AD12667" s="9"/>
      <c r="AF12667" s="10"/>
      <c r="AG12667" s="10"/>
      <c r="AH12667" s="10"/>
      <c r="AI12667" s="10"/>
    </row>
    <row r="12668" spans="28:35" ht="15" hidden="1" customHeight="1">
      <c r="AB12668" s="9"/>
      <c r="AC12668" s="9"/>
      <c r="AD12668" s="9"/>
      <c r="AF12668" s="10"/>
      <c r="AG12668" s="10"/>
      <c r="AH12668" s="10"/>
      <c r="AI12668" s="10"/>
    </row>
    <row r="12669" spans="28:35" ht="15" hidden="1" customHeight="1">
      <c r="AB12669" s="9"/>
      <c r="AC12669" s="9"/>
      <c r="AD12669" s="9"/>
      <c r="AF12669" s="10"/>
      <c r="AG12669" s="10"/>
      <c r="AH12669" s="10"/>
      <c r="AI12669" s="10"/>
    </row>
    <row r="12670" spans="28:35" ht="15" hidden="1" customHeight="1">
      <c r="AB12670" s="9"/>
      <c r="AC12670" s="9"/>
      <c r="AD12670" s="9"/>
      <c r="AF12670" s="10"/>
      <c r="AG12670" s="10"/>
      <c r="AH12670" s="10"/>
      <c r="AI12670" s="10"/>
    </row>
    <row r="12671" spans="28:35" ht="15" hidden="1" customHeight="1">
      <c r="AB12671" s="9"/>
      <c r="AC12671" s="9"/>
      <c r="AD12671" s="9"/>
      <c r="AF12671" s="10"/>
      <c r="AG12671" s="10"/>
      <c r="AH12671" s="10"/>
      <c r="AI12671" s="10"/>
    </row>
    <row r="12672" spans="28:35" ht="15" hidden="1" customHeight="1">
      <c r="AB12672" s="9"/>
      <c r="AC12672" s="9"/>
      <c r="AD12672" s="9"/>
      <c r="AF12672" s="10"/>
      <c r="AG12672" s="10"/>
      <c r="AH12672" s="10"/>
      <c r="AI12672" s="10"/>
    </row>
    <row r="12673" spans="28:35" ht="15" hidden="1" customHeight="1">
      <c r="AB12673" s="9"/>
      <c r="AC12673" s="9"/>
      <c r="AD12673" s="9"/>
      <c r="AF12673" s="10"/>
      <c r="AG12673" s="10"/>
      <c r="AH12673" s="10"/>
      <c r="AI12673" s="10"/>
    </row>
    <row r="12674" spans="28:35" ht="15" hidden="1" customHeight="1">
      <c r="AB12674" s="9"/>
      <c r="AC12674" s="9"/>
      <c r="AD12674" s="9"/>
      <c r="AF12674" s="10"/>
      <c r="AG12674" s="10"/>
      <c r="AH12674" s="10"/>
      <c r="AI12674" s="10"/>
    </row>
    <row r="12675" spans="28:35" ht="15" hidden="1" customHeight="1">
      <c r="AB12675" s="9"/>
      <c r="AC12675" s="9"/>
      <c r="AD12675" s="9"/>
      <c r="AF12675" s="10"/>
      <c r="AG12675" s="10"/>
      <c r="AH12675" s="10"/>
      <c r="AI12675" s="10"/>
    </row>
    <row r="12676" spans="28:35" ht="15" hidden="1" customHeight="1">
      <c r="AB12676" s="9"/>
      <c r="AC12676" s="9"/>
      <c r="AD12676" s="9"/>
      <c r="AF12676" s="10"/>
      <c r="AG12676" s="10"/>
      <c r="AH12676" s="10"/>
      <c r="AI12676" s="10"/>
    </row>
    <row r="12677" spans="28:35" ht="15" hidden="1" customHeight="1">
      <c r="AB12677" s="9"/>
      <c r="AC12677" s="9"/>
      <c r="AD12677" s="9"/>
      <c r="AF12677" s="10"/>
      <c r="AG12677" s="10"/>
      <c r="AH12677" s="10"/>
      <c r="AI12677" s="10"/>
    </row>
    <row r="12678" spans="28:35" ht="15" hidden="1" customHeight="1">
      <c r="AB12678" s="9"/>
      <c r="AC12678" s="9"/>
      <c r="AD12678" s="9"/>
      <c r="AF12678" s="10"/>
      <c r="AG12678" s="10"/>
      <c r="AH12678" s="10"/>
      <c r="AI12678" s="10"/>
    </row>
    <row r="12679" spans="28:35" ht="15" hidden="1" customHeight="1">
      <c r="AB12679" s="9"/>
      <c r="AC12679" s="9"/>
      <c r="AD12679" s="9"/>
      <c r="AF12679" s="10"/>
      <c r="AG12679" s="10"/>
      <c r="AH12679" s="10"/>
      <c r="AI12679" s="10"/>
    </row>
    <row r="12680" spans="28:35" ht="15" hidden="1" customHeight="1">
      <c r="AB12680" s="9"/>
      <c r="AC12680" s="9"/>
      <c r="AD12680" s="9"/>
      <c r="AF12680" s="10"/>
      <c r="AG12680" s="10"/>
      <c r="AH12680" s="10"/>
      <c r="AI12680" s="10"/>
    </row>
    <row r="12681" spans="28:35" ht="15" hidden="1" customHeight="1">
      <c r="AB12681" s="9"/>
      <c r="AC12681" s="9"/>
      <c r="AD12681" s="9"/>
      <c r="AF12681" s="10"/>
      <c r="AG12681" s="10"/>
      <c r="AH12681" s="10"/>
      <c r="AI12681" s="10"/>
    </row>
    <row r="12682" spans="28:35" ht="15" hidden="1" customHeight="1">
      <c r="AB12682" s="9"/>
      <c r="AC12682" s="9"/>
      <c r="AD12682" s="9"/>
      <c r="AF12682" s="10"/>
      <c r="AG12682" s="10"/>
      <c r="AH12682" s="10"/>
      <c r="AI12682" s="10"/>
    </row>
    <row r="12683" spans="28:35" ht="15" hidden="1" customHeight="1">
      <c r="AB12683" s="9"/>
      <c r="AC12683" s="9"/>
      <c r="AD12683" s="9"/>
      <c r="AF12683" s="10"/>
      <c r="AG12683" s="10"/>
      <c r="AH12683" s="10"/>
      <c r="AI12683" s="10"/>
    </row>
    <row r="12684" spans="28:35" ht="15" hidden="1" customHeight="1">
      <c r="AB12684" s="9"/>
      <c r="AC12684" s="9"/>
      <c r="AD12684" s="9"/>
      <c r="AF12684" s="10"/>
      <c r="AG12684" s="10"/>
      <c r="AH12684" s="10"/>
      <c r="AI12684" s="10"/>
    </row>
    <row r="12685" spans="28:35" ht="15" hidden="1" customHeight="1">
      <c r="AB12685" s="9"/>
      <c r="AC12685" s="9"/>
      <c r="AD12685" s="9"/>
      <c r="AF12685" s="10"/>
      <c r="AG12685" s="10"/>
      <c r="AH12685" s="10"/>
      <c r="AI12685" s="10"/>
    </row>
    <row r="12686" spans="28:35" ht="15" hidden="1" customHeight="1">
      <c r="AB12686" s="9"/>
      <c r="AC12686" s="9"/>
      <c r="AD12686" s="9"/>
      <c r="AF12686" s="10"/>
      <c r="AG12686" s="10"/>
      <c r="AH12686" s="10"/>
      <c r="AI12686" s="10"/>
    </row>
    <row r="12687" spans="28:35" ht="15" hidden="1" customHeight="1">
      <c r="AB12687" s="9"/>
      <c r="AC12687" s="9"/>
      <c r="AD12687" s="9"/>
      <c r="AF12687" s="10"/>
      <c r="AG12687" s="10"/>
      <c r="AH12687" s="10"/>
      <c r="AI12687" s="10"/>
    </row>
    <row r="12688" spans="28:35" ht="15" hidden="1" customHeight="1">
      <c r="AB12688" s="9"/>
      <c r="AC12688" s="9"/>
      <c r="AD12688" s="9"/>
      <c r="AF12688" s="10"/>
      <c r="AG12688" s="10"/>
      <c r="AH12688" s="10"/>
      <c r="AI12688" s="10"/>
    </row>
    <row r="12689" spans="28:35" ht="15" hidden="1" customHeight="1">
      <c r="AB12689" s="9"/>
      <c r="AC12689" s="9"/>
      <c r="AD12689" s="9"/>
      <c r="AF12689" s="10"/>
      <c r="AG12689" s="10"/>
      <c r="AH12689" s="10"/>
      <c r="AI12689" s="10"/>
    </row>
    <row r="12690" spans="28:35" ht="15" hidden="1" customHeight="1">
      <c r="AB12690" s="9"/>
      <c r="AC12690" s="9"/>
      <c r="AD12690" s="9"/>
      <c r="AF12690" s="10"/>
      <c r="AG12690" s="10"/>
      <c r="AH12690" s="10"/>
      <c r="AI12690" s="10"/>
    </row>
    <row r="12691" spans="28:35" ht="15" hidden="1" customHeight="1">
      <c r="AB12691" s="9"/>
      <c r="AC12691" s="9"/>
      <c r="AD12691" s="9"/>
      <c r="AF12691" s="10"/>
      <c r="AG12691" s="10"/>
      <c r="AH12691" s="10"/>
      <c r="AI12691" s="10"/>
    </row>
    <row r="12692" spans="28:35" ht="15" hidden="1" customHeight="1">
      <c r="AB12692" s="9"/>
      <c r="AC12692" s="9"/>
      <c r="AD12692" s="9"/>
      <c r="AF12692" s="10"/>
      <c r="AG12692" s="10"/>
      <c r="AH12692" s="10"/>
      <c r="AI12692" s="10"/>
    </row>
    <row r="12693" spans="28:35" ht="15" hidden="1" customHeight="1">
      <c r="AB12693" s="9"/>
      <c r="AC12693" s="9"/>
      <c r="AD12693" s="9"/>
      <c r="AF12693" s="10"/>
      <c r="AG12693" s="10"/>
      <c r="AH12693" s="10"/>
      <c r="AI12693" s="10"/>
    </row>
    <row r="12694" spans="28:35" ht="15" hidden="1" customHeight="1">
      <c r="AB12694" s="9"/>
      <c r="AC12694" s="9"/>
      <c r="AD12694" s="9"/>
      <c r="AF12694" s="10"/>
      <c r="AG12694" s="10"/>
      <c r="AH12694" s="10"/>
      <c r="AI12694" s="10"/>
    </row>
    <row r="12695" spans="28:35" ht="15" hidden="1" customHeight="1">
      <c r="AB12695" s="9"/>
      <c r="AC12695" s="9"/>
      <c r="AD12695" s="9"/>
      <c r="AF12695" s="10"/>
      <c r="AG12695" s="10"/>
      <c r="AH12695" s="10"/>
      <c r="AI12695" s="10"/>
    </row>
    <row r="12696" spans="28:35" ht="15" hidden="1" customHeight="1">
      <c r="AB12696" s="9"/>
      <c r="AC12696" s="9"/>
      <c r="AD12696" s="9"/>
      <c r="AF12696" s="10"/>
      <c r="AG12696" s="10"/>
      <c r="AH12696" s="10"/>
      <c r="AI12696" s="10"/>
    </row>
    <row r="12697" spans="28:35" ht="15" hidden="1" customHeight="1">
      <c r="AB12697" s="9"/>
      <c r="AC12697" s="9"/>
      <c r="AD12697" s="9"/>
      <c r="AF12697" s="10"/>
      <c r="AG12697" s="10"/>
      <c r="AH12697" s="10"/>
      <c r="AI12697" s="10"/>
    </row>
    <row r="12698" spans="28:35" ht="15" hidden="1" customHeight="1">
      <c r="AB12698" s="9"/>
      <c r="AC12698" s="9"/>
      <c r="AD12698" s="9"/>
      <c r="AF12698" s="10"/>
      <c r="AG12698" s="10"/>
      <c r="AH12698" s="10"/>
      <c r="AI12698" s="10"/>
    </row>
    <row r="12699" spans="28:35" ht="15" hidden="1" customHeight="1">
      <c r="AB12699" s="9"/>
      <c r="AC12699" s="9"/>
      <c r="AD12699" s="9"/>
      <c r="AF12699" s="10"/>
      <c r="AG12699" s="10"/>
      <c r="AH12699" s="10"/>
      <c r="AI12699" s="10"/>
    </row>
    <row r="12700" spans="28:35" ht="15" hidden="1" customHeight="1">
      <c r="AB12700" s="9"/>
      <c r="AC12700" s="9"/>
      <c r="AD12700" s="9"/>
      <c r="AF12700" s="10"/>
      <c r="AG12700" s="10"/>
      <c r="AH12700" s="10"/>
      <c r="AI12700" s="10"/>
    </row>
    <row r="12701" spans="28:35" ht="15" hidden="1" customHeight="1">
      <c r="AB12701" s="9"/>
      <c r="AC12701" s="9"/>
      <c r="AD12701" s="9"/>
      <c r="AF12701" s="10"/>
      <c r="AG12701" s="10"/>
      <c r="AH12701" s="10"/>
      <c r="AI12701" s="10"/>
    </row>
    <row r="12702" spans="28:35" ht="15" hidden="1" customHeight="1">
      <c r="AB12702" s="9"/>
      <c r="AC12702" s="9"/>
      <c r="AD12702" s="9"/>
      <c r="AF12702" s="10"/>
      <c r="AG12702" s="10"/>
      <c r="AH12702" s="10"/>
      <c r="AI12702" s="10"/>
    </row>
    <row r="12703" spans="28:35" ht="15" hidden="1" customHeight="1">
      <c r="AB12703" s="9"/>
      <c r="AC12703" s="9"/>
      <c r="AD12703" s="9"/>
      <c r="AF12703" s="10"/>
      <c r="AG12703" s="10"/>
      <c r="AH12703" s="10"/>
      <c r="AI12703" s="10"/>
    </row>
    <row r="12704" spans="28:35" ht="15" hidden="1" customHeight="1">
      <c r="AB12704" s="9"/>
      <c r="AC12704" s="9"/>
      <c r="AD12704" s="9"/>
      <c r="AF12704" s="10"/>
      <c r="AG12704" s="10"/>
      <c r="AH12704" s="10"/>
      <c r="AI12704" s="10"/>
    </row>
    <row r="12705" spans="28:35" ht="15" hidden="1" customHeight="1">
      <c r="AB12705" s="9"/>
      <c r="AC12705" s="9"/>
      <c r="AD12705" s="9"/>
      <c r="AF12705" s="10"/>
      <c r="AG12705" s="10"/>
      <c r="AH12705" s="10"/>
      <c r="AI12705" s="10"/>
    </row>
    <row r="12706" spans="28:35" ht="15" hidden="1" customHeight="1">
      <c r="AB12706" s="9"/>
      <c r="AC12706" s="9"/>
      <c r="AD12706" s="9"/>
      <c r="AF12706" s="10"/>
      <c r="AG12706" s="10"/>
      <c r="AH12706" s="10"/>
      <c r="AI12706" s="10"/>
    </row>
    <row r="12707" spans="28:35" ht="15" hidden="1" customHeight="1">
      <c r="AB12707" s="9"/>
      <c r="AC12707" s="9"/>
      <c r="AD12707" s="9"/>
      <c r="AF12707" s="10"/>
      <c r="AG12707" s="10"/>
      <c r="AH12707" s="10"/>
      <c r="AI12707" s="10"/>
    </row>
    <row r="12708" spans="28:35" ht="15" hidden="1" customHeight="1">
      <c r="AB12708" s="9"/>
      <c r="AC12708" s="9"/>
      <c r="AD12708" s="9"/>
      <c r="AF12708" s="10"/>
      <c r="AG12708" s="10"/>
      <c r="AH12708" s="10"/>
      <c r="AI12708" s="10"/>
    </row>
    <row r="12709" spans="28:35" ht="15" hidden="1" customHeight="1">
      <c r="AB12709" s="9"/>
      <c r="AC12709" s="9"/>
      <c r="AD12709" s="9"/>
      <c r="AF12709" s="10"/>
      <c r="AG12709" s="10"/>
      <c r="AH12709" s="10"/>
      <c r="AI12709" s="10"/>
    </row>
    <row r="12710" spans="28:35" ht="15" hidden="1" customHeight="1">
      <c r="AB12710" s="9"/>
      <c r="AC12710" s="9"/>
      <c r="AD12710" s="9"/>
      <c r="AF12710" s="10"/>
      <c r="AG12710" s="10"/>
      <c r="AH12710" s="10"/>
      <c r="AI12710" s="10"/>
    </row>
    <row r="12711" spans="28:35" ht="15" hidden="1" customHeight="1">
      <c r="AB12711" s="9"/>
      <c r="AC12711" s="9"/>
      <c r="AD12711" s="9"/>
      <c r="AF12711" s="10"/>
      <c r="AG12711" s="10"/>
      <c r="AH12711" s="10"/>
      <c r="AI12711" s="10"/>
    </row>
    <row r="12712" spans="28:35" ht="15" hidden="1" customHeight="1">
      <c r="AB12712" s="9"/>
      <c r="AC12712" s="9"/>
      <c r="AD12712" s="9"/>
      <c r="AF12712" s="10"/>
      <c r="AG12712" s="10"/>
      <c r="AH12712" s="10"/>
      <c r="AI12712" s="10"/>
    </row>
    <row r="12713" spans="28:35" ht="15" hidden="1" customHeight="1">
      <c r="AB12713" s="9"/>
      <c r="AC12713" s="9"/>
      <c r="AD12713" s="9"/>
      <c r="AF12713" s="10"/>
      <c r="AG12713" s="10"/>
      <c r="AH12713" s="10"/>
      <c r="AI12713" s="10"/>
    </row>
    <row r="12714" spans="28:35" ht="15" hidden="1" customHeight="1">
      <c r="AB12714" s="9"/>
      <c r="AC12714" s="9"/>
      <c r="AD12714" s="9"/>
      <c r="AF12714" s="10"/>
      <c r="AG12714" s="10"/>
      <c r="AH12714" s="10"/>
      <c r="AI12714" s="10"/>
    </row>
    <row r="12715" spans="28:35" ht="15" hidden="1" customHeight="1">
      <c r="AB12715" s="9"/>
      <c r="AC12715" s="9"/>
      <c r="AD12715" s="9"/>
      <c r="AF12715" s="10"/>
      <c r="AG12715" s="10"/>
      <c r="AH12715" s="10"/>
      <c r="AI12715" s="10"/>
    </row>
    <row r="12716" spans="28:35" ht="15" hidden="1" customHeight="1">
      <c r="AB12716" s="9"/>
      <c r="AC12716" s="9"/>
      <c r="AD12716" s="9"/>
      <c r="AF12716" s="10"/>
      <c r="AG12716" s="10"/>
      <c r="AH12716" s="10"/>
      <c r="AI12716" s="10"/>
    </row>
    <row r="12717" spans="28:35" ht="15" hidden="1" customHeight="1">
      <c r="AB12717" s="9"/>
      <c r="AC12717" s="9"/>
      <c r="AD12717" s="9"/>
      <c r="AF12717" s="10"/>
      <c r="AG12717" s="10"/>
      <c r="AH12717" s="10"/>
      <c r="AI12717" s="10"/>
    </row>
    <row r="12718" spans="28:35" ht="15" hidden="1" customHeight="1">
      <c r="AB12718" s="9"/>
      <c r="AC12718" s="9"/>
      <c r="AD12718" s="9"/>
      <c r="AF12718" s="10"/>
      <c r="AG12718" s="10"/>
      <c r="AH12718" s="10"/>
      <c r="AI12718" s="10"/>
    </row>
    <row r="12719" spans="28:35" ht="15" hidden="1" customHeight="1">
      <c r="AB12719" s="9"/>
      <c r="AC12719" s="9"/>
      <c r="AD12719" s="9"/>
      <c r="AF12719" s="10"/>
      <c r="AG12719" s="10"/>
      <c r="AH12719" s="10"/>
      <c r="AI12719" s="10"/>
    </row>
    <row r="12720" spans="28:35" ht="15" hidden="1" customHeight="1">
      <c r="AB12720" s="9"/>
      <c r="AC12720" s="9"/>
      <c r="AD12720" s="9"/>
      <c r="AF12720" s="10"/>
      <c r="AG12720" s="10"/>
      <c r="AH12720" s="10"/>
      <c r="AI12720" s="10"/>
    </row>
    <row r="12721" spans="28:35" ht="15" hidden="1" customHeight="1">
      <c r="AB12721" s="9"/>
      <c r="AC12721" s="9"/>
      <c r="AD12721" s="9"/>
      <c r="AF12721" s="10"/>
      <c r="AG12721" s="10"/>
      <c r="AH12721" s="10"/>
      <c r="AI12721" s="10"/>
    </row>
    <row r="12722" spans="28:35" ht="15" hidden="1" customHeight="1">
      <c r="AB12722" s="9"/>
      <c r="AC12722" s="9"/>
      <c r="AD12722" s="9"/>
      <c r="AF12722" s="10"/>
      <c r="AG12722" s="10"/>
      <c r="AH12722" s="10"/>
      <c r="AI12722" s="10"/>
    </row>
    <row r="12723" spans="28:35" ht="15" hidden="1" customHeight="1">
      <c r="AB12723" s="9"/>
      <c r="AC12723" s="9"/>
      <c r="AD12723" s="9"/>
      <c r="AF12723" s="10"/>
      <c r="AG12723" s="10"/>
      <c r="AH12723" s="10"/>
      <c r="AI12723" s="10"/>
    </row>
    <row r="12724" spans="28:35" ht="15" hidden="1" customHeight="1">
      <c r="AB12724" s="9"/>
      <c r="AC12724" s="9"/>
      <c r="AD12724" s="9"/>
      <c r="AF12724" s="10"/>
      <c r="AG12724" s="10"/>
      <c r="AH12724" s="10"/>
      <c r="AI12724" s="10"/>
    </row>
    <row r="12725" spans="28:35" ht="15" hidden="1" customHeight="1">
      <c r="AB12725" s="9"/>
      <c r="AC12725" s="9"/>
      <c r="AD12725" s="9"/>
      <c r="AF12725" s="10"/>
      <c r="AG12725" s="10"/>
      <c r="AH12725" s="10"/>
      <c r="AI12725" s="10"/>
    </row>
    <row r="12726" spans="28:35" ht="15" hidden="1" customHeight="1">
      <c r="AB12726" s="9"/>
      <c r="AC12726" s="9"/>
      <c r="AD12726" s="9"/>
      <c r="AF12726" s="10"/>
      <c r="AG12726" s="10"/>
      <c r="AH12726" s="10"/>
      <c r="AI12726" s="10"/>
    </row>
    <row r="12727" spans="28:35" ht="15" hidden="1" customHeight="1">
      <c r="AB12727" s="9"/>
      <c r="AC12727" s="9"/>
      <c r="AD12727" s="9"/>
      <c r="AF12727" s="10"/>
      <c r="AG12727" s="10"/>
      <c r="AH12727" s="10"/>
      <c r="AI12727" s="10"/>
    </row>
    <row r="12728" spans="28:35" ht="15" hidden="1" customHeight="1">
      <c r="AB12728" s="9"/>
      <c r="AC12728" s="9"/>
      <c r="AD12728" s="9"/>
      <c r="AF12728" s="10"/>
      <c r="AG12728" s="10"/>
      <c r="AH12728" s="10"/>
      <c r="AI12728" s="10"/>
    </row>
    <row r="12729" spans="28:35" ht="15" hidden="1" customHeight="1">
      <c r="AB12729" s="9"/>
      <c r="AC12729" s="9"/>
      <c r="AD12729" s="9"/>
      <c r="AF12729" s="10"/>
      <c r="AG12729" s="10"/>
      <c r="AH12729" s="10"/>
      <c r="AI12729" s="10"/>
    </row>
    <row r="12730" spans="28:35" ht="15" hidden="1" customHeight="1">
      <c r="AB12730" s="9"/>
      <c r="AC12730" s="9"/>
      <c r="AD12730" s="9"/>
      <c r="AF12730" s="10"/>
      <c r="AG12730" s="10"/>
      <c r="AH12730" s="10"/>
      <c r="AI12730" s="10"/>
    </row>
    <row r="12731" spans="28:35" ht="15" hidden="1" customHeight="1">
      <c r="AB12731" s="9"/>
      <c r="AC12731" s="9"/>
      <c r="AD12731" s="9"/>
      <c r="AF12731" s="10"/>
      <c r="AG12731" s="10"/>
      <c r="AH12731" s="10"/>
      <c r="AI12731" s="10"/>
    </row>
    <row r="12732" spans="28:35" ht="15" hidden="1" customHeight="1">
      <c r="AB12732" s="9"/>
      <c r="AC12732" s="9"/>
      <c r="AD12732" s="9"/>
      <c r="AF12732" s="10"/>
      <c r="AG12732" s="10"/>
      <c r="AH12732" s="10"/>
      <c r="AI12732" s="10"/>
    </row>
    <row r="12733" spans="28:35" ht="15" hidden="1" customHeight="1">
      <c r="AB12733" s="9"/>
      <c r="AC12733" s="9"/>
      <c r="AD12733" s="9"/>
      <c r="AF12733" s="10"/>
      <c r="AG12733" s="10"/>
      <c r="AH12733" s="10"/>
      <c r="AI12733" s="10"/>
    </row>
    <row r="12734" spans="28:35" ht="15" hidden="1" customHeight="1">
      <c r="AB12734" s="9"/>
      <c r="AC12734" s="9"/>
      <c r="AD12734" s="9"/>
      <c r="AF12734" s="10"/>
      <c r="AG12734" s="10"/>
      <c r="AH12734" s="10"/>
      <c r="AI12734" s="10"/>
    </row>
    <row r="12735" spans="28:35" ht="15" hidden="1" customHeight="1">
      <c r="AB12735" s="9"/>
      <c r="AC12735" s="9"/>
      <c r="AD12735" s="9"/>
      <c r="AF12735" s="10"/>
      <c r="AG12735" s="10"/>
      <c r="AH12735" s="10"/>
      <c r="AI12735" s="10"/>
    </row>
    <row r="12736" spans="28:35" ht="15" hidden="1" customHeight="1">
      <c r="AB12736" s="9"/>
      <c r="AC12736" s="9"/>
      <c r="AD12736" s="9"/>
      <c r="AF12736" s="10"/>
      <c r="AG12736" s="10"/>
      <c r="AH12736" s="10"/>
      <c r="AI12736" s="10"/>
    </row>
    <row r="12737" spans="28:35" ht="15" hidden="1" customHeight="1">
      <c r="AB12737" s="9"/>
      <c r="AC12737" s="9"/>
      <c r="AD12737" s="9"/>
      <c r="AF12737" s="10"/>
      <c r="AG12737" s="10"/>
      <c r="AH12737" s="10"/>
      <c r="AI12737" s="10"/>
    </row>
    <row r="12738" spans="28:35" ht="15" hidden="1" customHeight="1">
      <c r="AB12738" s="9"/>
      <c r="AC12738" s="9"/>
      <c r="AD12738" s="9"/>
      <c r="AF12738" s="10"/>
      <c r="AG12738" s="10"/>
      <c r="AH12738" s="10"/>
      <c r="AI12738" s="10"/>
    </row>
    <row r="12739" spans="28:35" ht="15" hidden="1" customHeight="1">
      <c r="AB12739" s="9"/>
      <c r="AC12739" s="9"/>
      <c r="AD12739" s="9"/>
      <c r="AF12739" s="10"/>
      <c r="AG12739" s="10"/>
      <c r="AH12739" s="10"/>
      <c r="AI12739" s="10"/>
    </row>
    <row r="12740" spans="28:35" ht="15" hidden="1" customHeight="1">
      <c r="AB12740" s="9"/>
      <c r="AC12740" s="9"/>
      <c r="AD12740" s="9"/>
      <c r="AF12740" s="10"/>
      <c r="AG12740" s="10"/>
      <c r="AH12740" s="10"/>
      <c r="AI12740" s="10"/>
    </row>
    <row r="12741" spans="28:35" ht="15" hidden="1" customHeight="1">
      <c r="AB12741" s="9"/>
      <c r="AC12741" s="9"/>
      <c r="AD12741" s="9"/>
      <c r="AF12741" s="10"/>
      <c r="AG12741" s="10"/>
      <c r="AH12741" s="10"/>
      <c r="AI12741" s="10"/>
    </row>
    <row r="12742" spans="28:35" ht="15" hidden="1" customHeight="1">
      <c r="AB12742" s="9"/>
      <c r="AC12742" s="9"/>
      <c r="AD12742" s="9"/>
      <c r="AF12742" s="10"/>
      <c r="AG12742" s="10"/>
      <c r="AH12742" s="10"/>
      <c r="AI12742" s="10"/>
    </row>
    <row r="12743" spans="28:35" ht="15" hidden="1" customHeight="1">
      <c r="AB12743" s="9"/>
      <c r="AC12743" s="9"/>
      <c r="AD12743" s="9"/>
      <c r="AF12743" s="10"/>
      <c r="AG12743" s="10"/>
      <c r="AH12743" s="10"/>
      <c r="AI12743" s="10"/>
    </row>
    <row r="12744" spans="28:35" ht="15" hidden="1" customHeight="1">
      <c r="AB12744" s="9"/>
      <c r="AC12744" s="9"/>
      <c r="AD12744" s="9"/>
      <c r="AF12744" s="10"/>
      <c r="AG12744" s="10"/>
      <c r="AH12744" s="10"/>
      <c r="AI12744" s="10"/>
    </row>
    <row r="12745" spans="28:35" ht="15" hidden="1" customHeight="1">
      <c r="AB12745" s="9"/>
      <c r="AC12745" s="9"/>
      <c r="AD12745" s="9"/>
      <c r="AF12745" s="10"/>
      <c r="AG12745" s="10"/>
      <c r="AH12745" s="10"/>
      <c r="AI12745" s="10"/>
    </row>
    <row r="12746" spans="28:35" ht="15" hidden="1" customHeight="1">
      <c r="AB12746" s="9"/>
      <c r="AC12746" s="9"/>
      <c r="AD12746" s="9"/>
      <c r="AF12746" s="10"/>
      <c r="AG12746" s="10"/>
      <c r="AH12746" s="10"/>
      <c r="AI12746" s="10"/>
    </row>
    <row r="12747" spans="28:35" ht="15" hidden="1" customHeight="1">
      <c r="AB12747" s="9"/>
      <c r="AC12747" s="9"/>
      <c r="AD12747" s="9"/>
      <c r="AF12747" s="10"/>
      <c r="AG12747" s="10"/>
      <c r="AH12747" s="10"/>
      <c r="AI12747" s="10"/>
    </row>
    <row r="12748" spans="28:35" ht="15" hidden="1" customHeight="1">
      <c r="AB12748" s="9"/>
      <c r="AC12748" s="9"/>
      <c r="AD12748" s="9"/>
      <c r="AF12748" s="10"/>
      <c r="AG12748" s="10"/>
      <c r="AH12748" s="10"/>
      <c r="AI12748" s="10"/>
    </row>
    <row r="12749" spans="28:35" ht="15" hidden="1" customHeight="1">
      <c r="AB12749" s="9"/>
      <c r="AC12749" s="9"/>
      <c r="AD12749" s="9"/>
      <c r="AF12749" s="10"/>
      <c r="AG12749" s="10"/>
      <c r="AH12749" s="10"/>
      <c r="AI12749" s="10"/>
    </row>
    <row r="12750" spans="28:35" ht="15" hidden="1" customHeight="1">
      <c r="AB12750" s="9"/>
      <c r="AC12750" s="9"/>
      <c r="AD12750" s="9"/>
      <c r="AF12750" s="10"/>
      <c r="AG12750" s="10"/>
      <c r="AH12750" s="10"/>
      <c r="AI12750" s="10"/>
    </row>
    <row r="12751" spans="28:35" ht="15" hidden="1" customHeight="1">
      <c r="AB12751" s="9"/>
      <c r="AC12751" s="9"/>
      <c r="AD12751" s="9"/>
      <c r="AF12751" s="10"/>
      <c r="AG12751" s="10"/>
      <c r="AH12751" s="10"/>
      <c r="AI12751" s="10"/>
    </row>
    <row r="12752" spans="28:35" ht="15" hidden="1" customHeight="1">
      <c r="AB12752" s="9"/>
      <c r="AC12752" s="9"/>
      <c r="AD12752" s="9"/>
      <c r="AF12752" s="10"/>
      <c r="AG12752" s="10"/>
      <c r="AH12752" s="10"/>
      <c r="AI12752" s="10"/>
    </row>
    <row r="12753" spans="28:35" ht="15" hidden="1" customHeight="1">
      <c r="AB12753" s="9"/>
      <c r="AC12753" s="9"/>
      <c r="AD12753" s="9"/>
      <c r="AF12753" s="10"/>
      <c r="AG12753" s="10"/>
      <c r="AH12753" s="10"/>
      <c r="AI12753" s="10"/>
    </row>
    <row r="12754" spans="28:35" ht="15" hidden="1" customHeight="1">
      <c r="AB12754" s="9"/>
      <c r="AC12754" s="9"/>
      <c r="AD12754" s="9"/>
      <c r="AF12754" s="10"/>
      <c r="AG12754" s="10"/>
      <c r="AH12754" s="10"/>
      <c r="AI12754" s="10"/>
    </row>
    <row r="12755" spans="28:35" ht="15" hidden="1" customHeight="1">
      <c r="AB12755" s="9"/>
      <c r="AC12755" s="9"/>
      <c r="AD12755" s="9"/>
      <c r="AF12755" s="10"/>
      <c r="AG12755" s="10"/>
      <c r="AH12755" s="10"/>
      <c r="AI12755" s="10"/>
    </row>
    <row r="12756" spans="28:35" ht="15" hidden="1" customHeight="1">
      <c r="AB12756" s="9"/>
      <c r="AC12756" s="9"/>
      <c r="AD12756" s="9"/>
      <c r="AF12756" s="10"/>
      <c r="AG12756" s="10"/>
      <c r="AH12756" s="10"/>
      <c r="AI12756" s="10"/>
    </row>
    <row r="12757" spans="28:35" ht="15" hidden="1" customHeight="1">
      <c r="AB12757" s="9"/>
      <c r="AC12757" s="9"/>
      <c r="AD12757" s="9"/>
      <c r="AF12757" s="10"/>
      <c r="AG12757" s="10"/>
      <c r="AH12757" s="10"/>
      <c r="AI12757" s="10"/>
    </row>
    <row r="12758" spans="28:35" ht="15" hidden="1" customHeight="1">
      <c r="AB12758" s="9"/>
      <c r="AC12758" s="9"/>
      <c r="AD12758" s="9"/>
      <c r="AF12758" s="10"/>
      <c r="AG12758" s="10"/>
      <c r="AH12758" s="10"/>
      <c r="AI12758" s="10"/>
    </row>
    <row r="12759" spans="28:35" ht="15" hidden="1" customHeight="1">
      <c r="AB12759" s="9"/>
      <c r="AC12759" s="9"/>
      <c r="AD12759" s="9"/>
      <c r="AF12759" s="10"/>
      <c r="AG12759" s="10"/>
      <c r="AH12759" s="10"/>
      <c r="AI12759" s="10"/>
    </row>
    <row r="12760" spans="28:35" ht="15" hidden="1" customHeight="1">
      <c r="AB12760" s="9"/>
      <c r="AC12760" s="9"/>
      <c r="AD12760" s="9"/>
      <c r="AF12760" s="10"/>
      <c r="AG12760" s="10"/>
      <c r="AH12760" s="10"/>
      <c r="AI12760" s="10"/>
    </row>
    <row r="12761" spans="28:35" ht="15" hidden="1" customHeight="1">
      <c r="AB12761" s="9"/>
      <c r="AC12761" s="9"/>
      <c r="AD12761" s="9"/>
      <c r="AF12761" s="10"/>
      <c r="AG12761" s="10"/>
      <c r="AH12761" s="10"/>
      <c r="AI12761" s="10"/>
    </row>
    <row r="12762" spans="28:35" ht="15" hidden="1" customHeight="1">
      <c r="AB12762" s="9"/>
      <c r="AC12762" s="9"/>
      <c r="AD12762" s="9"/>
      <c r="AF12762" s="10"/>
      <c r="AG12762" s="10"/>
      <c r="AH12762" s="10"/>
      <c r="AI12762" s="10"/>
    </row>
    <row r="12763" spans="28:35" ht="15" hidden="1" customHeight="1">
      <c r="AB12763" s="9"/>
      <c r="AC12763" s="9"/>
      <c r="AD12763" s="9"/>
      <c r="AF12763" s="10"/>
      <c r="AG12763" s="10"/>
      <c r="AH12763" s="10"/>
      <c r="AI12763" s="10"/>
    </row>
    <row r="12764" spans="28:35" ht="15" hidden="1" customHeight="1">
      <c r="AB12764" s="9"/>
      <c r="AC12764" s="9"/>
      <c r="AD12764" s="9"/>
      <c r="AF12764" s="10"/>
      <c r="AG12764" s="10"/>
      <c r="AH12764" s="10"/>
      <c r="AI12764" s="10"/>
    </row>
    <row r="12765" spans="28:35" ht="15" hidden="1" customHeight="1">
      <c r="AB12765" s="9"/>
      <c r="AC12765" s="9"/>
      <c r="AD12765" s="9"/>
      <c r="AF12765" s="10"/>
      <c r="AG12765" s="10"/>
      <c r="AH12765" s="10"/>
      <c r="AI12765" s="10"/>
    </row>
    <row r="12766" spans="28:35" ht="15" hidden="1" customHeight="1">
      <c r="AB12766" s="9"/>
      <c r="AC12766" s="9"/>
      <c r="AD12766" s="9"/>
      <c r="AF12766" s="10"/>
      <c r="AG12766" s="10"/>
      <c r="AH12766" s="10"/>
      <c r="AI12766" s="10"/>
    </row>
    <row r="12767" spans="28:35" ht="15" hidden="1" customHeight="1">
      <c r="AB12767" s="9"/>
      <c r="AC12767" s="9"/>
      <c r="AD12767" s="9"/>
      <c r="AF12767" s="10"/>
      <c r="AG12767" s="10"/>
      <c r="AH12767" s="10"/>
      <c r="AI12767" s="10"/>
    </row>
    <row r="12768" spans="28:35" ht="15" hidden="1" customHeight="1">
      <c r="AB12768" s="9"/>
      <c r="AC12768" s="9"/>
      <c r="AD12768" s="9"/>
      <c r="AF12768" s="10"/>
      <c r="AG12768" s="10"/>
      <c r="AH12768" s="10"/>
      <c r="AI12768" s="10"/>
    </row>
    <row r="12769" spans="28:35" ht="15" hidden="1" customHeight="1">
      <c r="AB12769" s="9"/>
      <c r="AC12769" s="9"/>
      <c r="AD12769" s="9"/>
      <c r="AF12769" s="10"/>
      <c r="AG12769" s="10"/>
      <c r="AH12769" s="10"/>
      <c r="AI12769" s="10"/>
    </row>
    <row r="12770" spans="28:35" ht="15" hidden="1" customHeight="1">
      <c r="AB12770" s="9"/>
      <c r="AC12770" s="9"/>
      <c r="AD12770" s="9"/>
      <c r="AF12770" s="10"/>
      <c r="AG12770" s="10"/>
      <c r="AH12770" s="10"/>
      <c r="AI12770" s="10"/>
    </row>
    <row r="12771" spans="28:35" ht="15" hidden="1" customHeight="1">
      <c r="AB12771" s="9"/>
      <c r="AC12771" s="9"/>
      <c r="AD12771" s="9"/>
      <c r="AF12771" s="10"/>
      <c r="AG12771" s="10"/>
      <c r="AH12771" s="10"/>
      <c r="AI12771" s="10"/>
    </row>
    <row r="12772" spans="28:35" ht="15" hidden="1" customHeight="1">
      <c r="AB12772" s="9"/>
      <c r="AC12772" s="9"/>
      <c r="AD12772" s="9"/>
      <c r="AF12772" s="10"/>
      <c r="AG12772" s="10"/>
      <c r="AH12772" s="10"/>
      <c r="AI12772" s="10"/>
    </row>
    <row r="12773" spans="28:35" ht="15" hidden="1" customHeight="1">
      <c r="AB12773" s="9"/>
      <c r="AC12773" s="9"/>
      <c r="AD12773" s="9"/>
      <c r="AF12773" s="10"/>
      <c r="AG12773" s="10"/>
      <c r="AH12773" s="10"/>
      <c r="AI12773" s="10"/>
    </row>
    <row r="12774" spans="28:35" ht="15" hidden="1" customHeight="1">
      <c r="AB12774" s="9"/>
      <c r="AC12774" s="9"/>
      <c r="AD12774" s="9"/>
      <c r="AF12774" s="10"/>
      <c r="AG12774" s="10"/>
      <c r="AH12774" s="10"/>
      <c r="AI12774" s="10"/>
    </row>
    <row r="12775" spans="28:35" ht="15" hidden="1" customHeight="1">
      <c r="AB12775" s="9"/>
      <c r="AC12775" s="9"/>
      <c r="AD12775" s="9"/>
      <c r="AF12775" s="10"/>
      <c r="AG12775" s="10"/>
      <c r="AH12775" s="10"/>
      <c r="AI12775" s="10"/>
    </row>
    <row r="12776" spans="28:35" ht="15" hidden="1" customHeight="1">
      <c r="AB12776" s="9"/>
      <c r="AC12776" s="9"/>
      <c r="AD12776" s="9"/>
      <c r="AF12776" s="10"/>
      <c r="AG12776" s="10"/>
      <c r="AH12776" s="10"/>
      <c r="AI12776" s="10"/>
    </row>
    <row r="12777" spans="28:35" ht="15" hidden="1" customHeight="1">
      <c r="AB12777" s="9"/>
      <c r="AC12777" s="9"/>
      <c r="AD12777" s="9"/>
      <c r="AF12777" s="10"/>
      <c r="AG12777" s="10"/>
      <c r="AH12777" s="10"/>
      <c r="AI12777" s="10"/>
    </row>
    <row r="12778" spans="28:35" ht="15" hidden="1" customHeight="1">
      <c r="AB12778" s="9"/>
      <c r="AC12778" s="9"/>
      <c r="AD12778" s="9"/>
      <c r="AF12778" s="10"/>
      <c r="AG12778" s="10"/>
      <c r="AH12778" s="10"/>
      <c r="AI12778" s="10"/>
    </row>
    <row r="12779" spans="28:35" ht="15" hidden="1" customHeight="1">
      <c r="AB12779" s="9"/>
      <c r="AC12779" s="9"/>
      <c r="AD12779" s="9"/>
      <c r="AF12779" s="10"/>
      <c r="AG12779" s="10"/>
      <c r="AH12779" s="10"/>
      <c r="AI12779" s="10"/>
    </row>
    <row r="12780" spans="28:35" ht="15" hidden="1" customHeight="1">
      <c r="AB12780" s="9"/>
      <c r="AC12780" s="9"/>
      <c r="AD12780" s="9"/>
      <c r="AF12780" s="10"/>
      <c r="AG12780" s="10"/>
      <c r="AH12780" s="10"/>
      <c r="AI12780" s="10"/>
    </row>
    <row r="12781" spans="28:35" ht="15" hidden="1" customHeight="1">
      <c r="AB12781" s="9"/>
      <c r="AC12781" s="9"/>
      <c r="AD12781" s="9"/>
      <c r="AF12781" s="10"/>
      <c r="AG12781" s="10"/>
      <c r="AH12781" s="10"/>
      <c r="AI12781" s="10"/>
    </row>
    <row r="12782" spans="28:35" ht="15" hidden="1" customHeight="1">
      <c r="AB12782" s="9"/>
      <c r="AC12782" s="9"/>
      <c r="AD12782" s="9"/>
      <c r="AF12782" s="10"/>
      <c r="AG12782" s="10"/>
      <c r="AH12782" s="10"/>
      <c r="AI12782" s="10"/>
    </row>
    <row r="12783" spans="28:35" ht="15" hidden="1" customHeight="1">
      <c r="AB12783" s="9"/>
      <c r="AC12783" s="9"/>
      <c r="AD12783" s="9"/>
      <c r="AF12783" s="10"/>
      <c r="AG12783" s="10"/>
      <c r="AH12783" s="10"/>
      <c r="AI12783" s="10"/>
    </row>
    <row r="12784" spans="28:35" ht="15" hidden="1" customHeight="1">
      <c r="AB12784" s="9"/>
      <c r="AC12784" s="9"/>
      <c r="AD12784" s="9"/>
      <c r="AF12784" s="10"/>
      <c r="AG12784" s="10"/>
      <c r="AH12784" s="10"/>
      <c r="AI12784" s="10"/>
    </row>
    <row r="12785" spans="28:35" ht="15" hidden="1" customHeight="1">
      <c r="AB12785" s="9"/>
      <c r="AC12785" s="9"/>
      <c r="AD12785" s="9"/>
      <c r="AF12785" s="10"/>
      <c r="AG12785" s="10"/>
      <c r="AH12785" s="10"/>
      <c r="AI12785" s="10"/>
    </row>
    <row r="12786" spans="28:35" ht="15" hidden="1" customHeight="1">
      <c r="AB12786" s="9"/>
      <c r="AC12786" s="9"/>
      <c r="AD12786" s="9"/>
      <c r="AF12786" s="10"/>
      <c r="AG12786" s="10"/>
      <c r="AH12786" s="10"/>
      <c r="AI12786" s="10"/>
    </row>
    <row r="12787" spans="28:35" ht="15" hidden="1" customHeight="1">
      <c r="AB12787" s="9"/>
      <c r="AC12787" s="9"/>
      <c r="AD12787" s="9"/>
      <c r="AF12787" s="10"/>
      <c r="AG12787" s="10"/>
      <c r="AH12787" s="10"/>
      <c r="AI12787" s="10"/>
    </row>
    <row r="12788" spans="28:35" ht="15" hidden="1" customHeight="1">
      <c r="AB12788" s="9"/>
      <c r="AC12788" s="9"/>
      <c r="AD12788" s="9"/>
      <c r="AF12788" s="10"/>
      <c r="AG12788" s="10"/>
      <c r="AH12788" s="10"/>
      <c r="AI12788" s="10"/>
    </row>
    <row r="12789" spans="28:35" ht="15" hidden="1" customHeight="1">
      <c r="AB12789" s="9"/>
      <c r="AC12789" s="9"/>
      <c r="AD12789" s="9"/>
      <c r="AF12789" s="10"/>
      <c r="AG12789" s="10"/>
      <c r="AH12789" s="10"/>
      <c r="AI12789" s="10"/>
    </row>
    <row r="12790" spans="28:35" ht="15" hidden="1" customHeight="1">
      <c r="AB12790" s="9"/>
      <c r="AC12790" s="9"/>
      <c r="AD12790" s="9"/>
      <c r="AF12790" s="10"/>
      <c r="AG12790" s="10"/>
      <c r="AH12790" s="10"/>
      <c r="AI12790" s="10"/>
    </row>
    <row r="12791" spans="28:35" ht="15" hidden="1" customHeight="1">
      <c r="AB12791" s="9"/>
      <c r="AC12791" s="9"/>
      <c r="AD12791" s="9"/>
      <c r="AF12791" s="10"/>
      <c r="AG12791" s="10"/>
      <c r="AH12791" s="10"/>
      <c r="AI12791" s="10"/>
    </row>
    <row r="12792" spans="28:35" ht="15" hidden="1" customHeight="1">
      <c r="AB12792" s="9"/>
      <c r="AC12792" s="9"/>
      <c r="AD12792" s="9"/>
      <c r="AF12792" s="10"/>
      <c r="AG12792" s="10"/>
      <c r="AH12792" s="10"/>
      <c r="AI12792" s="10"/>
    </row>
    <row r="12793" spans="28:35" ht="15" hidden="1" customHeight="1">
      <c r="AB12793" s="9"/>
      <c r="AC12793" s="9"/>
      <c r="AD12793" s="9"/>
      <c r="AF12793" s="10"/>
      <c r="AG12793" s="10"/>
      <c r="AH12793" s="10"/>
      <c r="AI12793" s="10"/>
    </row>
    <row r="12794" spans="28:35" ht="15" hidden="1" customHeight="1">
      <c r="AB12794" s="9"/>
      <c r="AC12794" s="9"/>
      <c r="AD12794" s="9"/>
      <c r="AF12794" s="10"/>
      <c r="AG12794" s="10"/>
      <c r="AH12794" s="10"/>
      <c r="AI12794" s="10"/>
    </row>
    <row r="12795" spans="28:35" ht="15" hidden="1" customHeight="1">
      <c r="AB12795" s="9"/>
      <c r="AC12795" s="9"/>
      <c r="AD12795" s="9"/>
      <c r="AF12795" s="10"/>
      <c r="AG12795" s="10"/>
      <c r="AH12795" s="10"/>
      <c r="AI12795" s="10"/>
    </row>
    <row r="12796" spans="28:35" ht="15" hidden="1" customHeight="1">
      <c r="AB12796" s="9"/>
      <c r="AC12796" s="9"/>
      <c r="AD12796" s="9"/>
      <c r="AF12796" s="10"/>
      <c r="AG12796" s="10"/>
      <c r="AH12796" s="10"/>
      <c r="AI12796" s="10"/>
    </row>
    <row r="12797" spans="28:35" ht="15" hidden="1" customHeight="1">
      <c r="AB12797" s="9"/>
      <c r="AC12797" s="9"/>
      <c r="AD12797" s="9"/>
      <c r="AF12797" s="10"/>
      <c r="AG12797" s="10"/>
      <c r="AH12797" s="10"/>
      <c r="AI12797" s="10"/>
    </row>
    <row r="12798" spans="28:35" ht="15" hidden="1" customHeight="1">
      <c r="AB12798" s="9"/>
      <c r="AC12798" s="9"/>
      <c r="AD12798" s="9"/>
      <c r="AF12798" s="10"/>
      <c r="AG12798" s="10"/>
      <c r="AH12798" s="10"/>
      <c r="AI12798" s="10"/>
    </row>
    <row r="12799" spans="28:35" ht="15" hidden="1" customHeight="1">
      <c r="AB12799" s="9"/>
      <c r="AC12799" s="9"/>
      <c r="AD12799" s="9"/>
      <c r="AF12799" s="10"/>
      <c r="AG12799" s="10"/>
      <c r="AH12799" s="10"/>
      <c r="AI12799" s="10"/>
    </row>
    <row r="12800" spans="28:35" ht="15" hidden="1" customHeight="1">
      <c r="AB12800" s="9"/>
      <c r="AC12800" s="9"/>
      <c r="AD12800" s="9"/>
      <c r="AF12800" s="10"/>
      <c r="AG12800" s="10"/>
      <c r="AH12800" s="10"/>
      <c r="AI12800" s="10"/>
    </row>
    <row r="12801" spans="28:35" ht="15" hidden="1" customHeight="1">
      <c r="AB12801" s="9"/>
      <c r="AC12801" s="9"/>
      <c r="AD12801" s="9"/>
      <c r="AF12801" s="10"/>
      <c r="AG12801" s="10"/>
      <c r="AH12801" s="10"/>
      <c r="AI12801" s="10"/>
    </row>
    <row r="12802" spans="28:35" ht="15" hidden="1" customHeight="1">
      <c r="AB12802" s="9"/>
      <c r="AC12802" s="9"/>
      <c r="AD12802" s="9"/>
      <c r="AF12802" s="10"/>
      <c r="AG12802" s="10"/>
      <c r="AH12802" s="10"/>
      <c r="AI12802" s="10"/>
    </row>
    <row r="12803" spans="28:35" ht="15" hidden="1" customHeight="1">
      <c r="AB12803" s="9"/>
      <c r="AC12803" s="9"/>
      <c r="AD12803" s="9"/>
      <c r="AF12803" s="10"/>
      <c r="AG12803" s="10"/>
      <c r="AH12803" s="10"/>
      <c r="AI12803" s="10"/>
    </row>
    <row r="12804" spans="28:35" ht="15" hidden="1" customHeight="1">
      <c r="AB12804" s="9"/>
      <c r="AC12804" s="9"/>
      <c r="AD12804" s="9"/>
      <c r="AF12804" s="10"/>
      <c r="AG12804" s="10"/>
      <c r="AH12804" s="10"/>
      <c r="AI12804" s="10"/>
    </row>
    <row r="12805" spans="28:35" ht="15" hidden="1" customHeight="1">
      <c r="AB12805" s="9"/>
      <c r="AC12805" s="9"/>
      <c r="AD12805" s="9"/>
      <c r="AF12805" s="10"/>
      <c r="AG12805" s="10"/>
      <c r="AH12805" s="10"/>
      <c r="AI12805" s="10"/>
    </row>
    <row r="12806" spans="28:35" ht="15" hidden="1" customHeight="1">
      <c r="AB12806" s="9"/>
      <c r="AC12806" s="9"/>
      <c r="AD12806" s="9"/>
      <c r="AF12806" s="10"/>
      <c r="AG12806" s="10"/>
      <c r="AH12806" s="10"/>
      <c r="AI12806" s="10"/>
    </row>
    <row r="12807" spans="28:35" ht="15" hidden="1" customHeight="1">
      <c r="AB12807" s="9"/>
      <c r="AC12807" s="9"/>
      <c r="AD12807" s="9"/>
      <c r="AF12807" s="10"/>
      <c r="AG12807" s="10"/>
      <c r="AH12807" s="10"/>
      <c r="AI12807" s="10"/>
    </row>
    <row r="12808" spans="28:35" ht="15" hidden="1" customHeight="1">
      <c r="AB12808" s="9"/>
      <c r="AC12808" s="9"/>
      <c r="AD12808" s="9"/>
      <c r="AF12808" s="10"/>
      <c r="AG12808" s="10"/>
      <c r="AH12808" s="10"/>
      <c r="AI12808" s="10"/>
    </row>
    <row r="12809" spans="28:35" ht="15" hidden="1" customHeight="1">
      <c r="AB12809" s="9"/>
      <c r="AC12809" s="9"/>
      <c r="AD12809" s="9"/>
      <c r="AF12809" s="10"/>
      <c r="AG12809" s="10"/>
      <c r="AH12809" s="10"/>
      <c r="AI12809" s="10"/>
    </row>
    <row r="12810" spans="28:35" ht="15" hidden="1" customHeight="1">
      <c r="AB12810" s="9"/>
      <c r="AC12810" s="9"/>
      <c r="AD12810" s="9"/>
      <c r="AF12810" s="10"/>
      <c r="AG12810" s="10"/>
      <c r="AH12810" s="10"/>
      <c r="AI12810" s="10"/>
    </row>
    <row r="12811" spans="28:35" ht="15" hidden="1" customHeight="1">
      <c r="AB12811" s="9"/>
      <c r="AC12811" s="9"/>
      <c r="AD12811" s="9"/>
      <c r="AF12811" s="10"/>
      <c r="AG12811" s="10"/>
      <c r="AH12811" s="10"/>
      <c r="AI12811" s="10"/>
    </row>
    <row r="12812" spans="28:35" ht="15" hidden="1" customHeight="1">
      <c r="AB12812" s="9"/>
      <c r="AC12812" s="9"/>
      <c r="AD12812" s="9"/>
      <c r="AF12812" s="10"/>
      <c r="AG12812" s="10"/>
      <c r="AH12812" s="10"/>
      <c r="AI12812" s="10"/>
    </row>
    <row r="12813" spans="28:35" ht="15" hidden="1" customHeight="1">
      <c r="AB12813" s="9"/>
      <c r="AC12813" s="9"/>
      <c r="AD12813" s="9"/>
      <c r="AF12813" s="10"/>
      <c r="AG12813" s="10"/>
      <c r="AH12813" s="10"/>
      <c r="AI12813" s="10"/>
    </row>
    <row r="12814" spans="28:35" ht="15" hidden="1" customHeight="1">
      <c r="AB12814" s="9"/>
      <c r="AC12814" s="9"/>
      <c r="AD12814" s="9"/>
      <c r="AF12814" s="10"/>
      <c r="AG12814" s="10"/>
      <c r="AH12814" s="10"/>
      <c r="AI12814" s="10"/>
    </row>
    <row r="12815" spans="28:35" ht="15" hidden="1" customHeight="1">
      <c r="AB12815" s="9"/>
      <c r="AC12815" s="9"/>
      <c r="AD12815" s="9"/>
      <c r="AF12815" s="10"/>
      <c r="AG12815" s="10"/>
      <c r="AH12815" s="10"/>
      <c r="AI12815" s="10"/>
    </row>
    <row r="12816" spans="28:35" ht="15" hidden="1" customHeight="1">
      <c r="AB12816" s="9"/>
      <c r="AC12816" s="9"/>
      <c r="AD12816" s="9"/>
      <c r="AF12816" s="10"/>
      <c r="AG12816" s="10"/>
      <c r="AH12816" s="10"/>
      <c r="AI12816" s="10"/>
    </row>
    <row r="12817" spans="28:35" ht="15" hidden="1" customHeight="1">
      <c r="AB12817" s="9"/>
      <c r="AC12817" s="9"/>
      <c r="AD12817" s="9"/>
      <c r="AF12817" s="10"/>
      <c r="AG12817" s="10"/>
      <c r="AH12817" s="10"/>
      <c r="AI12817" s="10"/>
    </row>
    <row r="12818" spans="28:35" ht="15" hidden="1" customHeight="1">
      <c r="AB12818" s="9"/>
      <c r="AC12818" s="9"/>
      <c r="AD12818" s="9"/>
      <c r="AF12818" s="10"/>
      <c r="AG12818" s="10"/>
      <c r="AH12818" s="10"/>
      <c r="AI12818" s="10"/>
    </row>
    <row r="12819" spans="28:35" ht="15" hidden="1" customHeight="1">
      <c r="AB12819" s="9"/>
      <c r="AC12819" s="9"/>
      <c r="AD12819" s="9"/>
      <c r="AF12819" s="10"/>
      <c r="AG12819" s="10"/>
      <c r="AH12819" s="10"/>
      <c r="AI12819" s="10"/>
    </row>
    <row r="12820" spans="28:35" ht="15" hidden="1" customHeight="1">
      <c r="AB12820" s="9"/>
      <c r="AC12820" s="9"/>
      <c r="AD12820" s="9"/>
      <c r="AF12820" s="10"/>
      <c r="AG12820" s="10"/>
      <c r="AH12820" s="10"/>
      <c r="AI12820" s="10"/>
    </row>
    <row r="12821" spans="28:35" ht="15" hidden="1" customHeight="1">
      <c r="AB12821" s="9"/>
      <c r="AC12821" s="9"/>
      <c r="AD12821" s="9"/>
      <c r="AF12821" s="10"/>
      <c r="AG12821" s="10"/>
      <c r="AH12821" s="10"/>
      <c r="AI12821" s="10"/>
    </row>
    <row r="12822" spans="28:35" ht="15" hidden="1" customHeight="1">
      <c r="AB12822" s="9"/>
      <c r="AC12822" s="9"/>
      <c r="AD12822" s="9"/>
      <c r="AF12822" s="10"/>
      <c r="AG12822" s="10"/>
      <c r="AH12822" s="10"/>
      <c r="AI12822" s="10"/>
    </row>
    <row r="12823" spans="28:35" ht="15" hidden="1" customHeight="1">
      <c r="AB12823" s="9"/>
      <c r="AC12823" s="9"/>
      <c r="AD12823" s="9"/>
      <c r="AF12823" s="10"/>
      <c r="AG12823" s="10"/>
      <c r="AH12823" s="10"/>
      <c r="AI12823" s="10"/>
    </row>
    <row r="12824" spans="28:35" ht="15" hidden="1" customHeight="1">
      <c r="AB12824" s="9"/>
      <c r="AC12824" s="9"/>
      <c r="AD12824" s="9"/>
      <c r="AF12824" s="10"/>
      <c r="AG12824" s="10"/>
      <c r="AH12824" s="10"/>
      <c r="AI12824" s="10"/>
    </row>
    <row r="12825" spans="28:35" ht="15" hidden="1" customHeight="1">
      <c r="AB12825" s="9"/>
      <c r="AC12825" s="9"/>
      <c r="AD12825" s="9"/>
      <c r="AF12825" s="10"/>
      <c r="AG12825" s="10"/>
      <c r="AH12825" s="10"/>
      <c r="AI12825" s="10"/>
    </row>
    <row r="12826" spans="28:35" ht="15" hidden="1" customHeight="1">
      <c r="AB12826" s="9"/>
      <c r="AC12826" s="9"/>
      <c r="AD12826" s="9"/>
      <c r="AF12826" s="10"/>
      <c r="AG12826" s="10"/>
      <c r="AH12826" s="10"/>
      <c r="AI12826" s="10"/>
    </row>
    <row r="12827" spans="28:35" ht="15" hidden="1" customHeight="1">
      <c r="AB12827" s="9"/>
      <c r="AC12827" s="9"/>
      <c r="AD12827" s="9"/>
      <c r="AF12827" s="10"/>
      <c r="AG12827" s="10"/>
      <c r="AH12827" s="10"/>
      <c r="AI12827" s="10"/>
    </row>
    <row r="12828" spans="28:35" ht="15" hidden="1" customHeight="1">
      <c r="AB12828" s="9"/>
      <c r="AC12828" s="9"/>
      <c r="AD12828" s="9"/>
      <c r="AF12828" s="10"/>
      <c r="AG12828" s="10"/>
      <c r="AH12828" s="10"/>
      <c r="AI12828" s="10"/>
    </row>
    <row r="12829" spans="28:35" ht="15" hidden="1" customHeight="1">
      <c r="AB12829" s="9"/>
      <c r="AC12829" s="9"/>
      <c r="AD12829" s="9"/>
      <c r="AF12829" s="10"/>
      <c r="AG12829" s="10"/>
      <c r="AH12829" s="10"/>
      <c r="AI12829" s="10"/>
    </row>
    <row r="12830" spans="28:35" ht="15" hidden="1" customHeight="1">
      <c r="AB12830" s="9"/>
      <c r="AC12830" s="9"/>
      <c r="AD12830" s="9"/>
      <c r="AF12830" s="10"/>
      <c r="AG12830" s="10"/>
      <c r="AH12830" s="10"/>
      <c r="AI12830" s="10"/>
    </row>
    <row r="12831" spans="28:35" ht="15" hidden="1" customHeight="1">
      <c r="AB12831" s="9"/>
      <c r="AC12831" s="9"/>
      <c r="AD12831" s="9"/>
      <c r="AF12831" s="10"/>
      <c r="AG12831" s="10"/>
      <c r="AH12831" s="10"/>
      <c r="AI12831" s="10"/>
    </row>
    <row r="12832" spans="28:35" ht="15" hidden="1" customHeight="1">
      <c r="AB12832" s="9"/>
      <c r="AC12832" s="9"/>
      <c r="AD12832" s="9"/>
      <c r="AF12832" s="10"/>
      <c r="AG12832" s="10"/>
      <c r="AH12832" s="10"/>
      <c r="AI12832" s="10"/>
    </row>
    <row r="12833" spans="28:35" ht="15" hidden="1" customHeight="1">
      <c r="AB12833" s="9"/>
      <c r="AC12833" s="9"/>
      <c r="AD12833" s="9"/>
      <c r="AF12833" s="10"/>
      <c r="AG12833" s="10"/>
      <c r="AH12833" s="10"/>
      <c r="AI12833" s="10"/>
    </row>
    <row r="12834" spans="28:35" ht="15" hidden="1" customHeight="1">
      <c r="AB12834" s="9"/>
      <c r="AC12834" s="9"/>
      <c r="AD12834" s="9"/>
      <c r="AF12834" s="10"/>
      <c r="AG12834" s="10"/>
      <c r="AH12834" s="10"/>
      <c r="AI12834" s="10"/>
    </row>
    <row r="12835" spans="28:35" ht="15" hidden="1" customHeight="1">
      <c r="AB12835" s="9"/>
      <c r="AC12835" s="9"/>
      <c r="AD12835" s="9"/>
      <c r="AF12835" s="10"/>
      <c r="AG12835" s="10"/>
      <c r="AH12835" s="10"/>
      <c r="AI12835" s="10"/>
    </row>
    <row r="12836" spans="28:35" ht="15" hidden="1" customHeight="1">
      <c r="AB12836" s="9"/>
      <c r="AC12836" s="9"/>
      <c r="AD12836" s="9"/>
      <c r="AF12836" s="10"/>
      <c r="AG12836" s="10"/>
      <c r="AH12836" s="10"/>
      <c r="AI12836" s="10"/>
    </row>
    <row r="12837" spans="28:35" ht="15" hidden="1" customHeight="1">
      <c r="AB12837" s="9"/>
      <c r="AC12837" s="9"/>
      <c r="AD12837" s="9"/>
      <c r="AF12837" s="10"/>
      <c r="AG12837" s="10"/>
      <c r="AH12837" s="10"/>
      <c r="AI12837" s="10"/>
    </row>
    <row r="12838" spans="28:35" ht="15" hidden="1" customHeight="1">
      <c r="AB12838" s="9"/>
      <c r="AC12838" s="9"/>
      <c r="AD12838" s="9"/>
      <c r="AF12838" s="10"/>
      <c r="AG12838" s="10"/>
      <c r="AH12838" s="10"/>
      <c r="AI12838" s="10"/>
    </row>
    <row r="12839" spans="28:35" ht="15" hidden="1" customHeight="1">
      <c r="AB12839" s="9"/>
      <c r="AC12839" s="9"/>
      <c r="AD12839" s="9"/>
      <c r="AF12839" s="10"/>
      <c r="AG12839" s="10"/>
      <c r="AH12839" s="10"/>
      <c r="AI12839" s="10"/>
    </row>
    <row r="12840" spans="28:35" ht="15" hidden="1" customHeight="1">
      <c r="AB12840" s="9"/>
      <c r="AC12840" s="9"/>
      <c r="AD12840" s="9"/>
      <c r="AF12840" s="10"/>
      <c r="AG12840" s="10"/>
      <c r="AH12840" s="10"/>
      <c r="AI12840" s="10"/>
    </row>
    <row r="12841" spans="28:35" ht="15" hidden="1" customHeight="1">
      <c r="AB12841" s="9"/>
      <c r="AC12841" s="9"/>
      <c r="AD12841" s="9"/>
      <c r="AF12841" s="10"/>
      <c r="AG12841" s="10"/>
      <c r="AH12841" s="10"/>
      <c r="AI12841" s="10"/>
    </row>
    <row r="12842" spans="28:35" ht="15" hidden="1" customHeight="1">
      <c r="AB12842" s="9"/>
      <c r="AC12842" s="9"/>
      <c r="AD12842" s="9"/>
      <c r="AF12842" s="10"/>
      <c r="AG12842" s="10"/>
      <c r="AH12842" s="10"/>
      <c r="AI12842" s="10"/>
    </row>
    <row r="12843" spans="28:35" ht="15" hidden="1" customHeight="1">
      <c r="AB12843" s="9"/>
      <c r="AC12843" s="9"/>
      <c r="AD12843" s="9"/>
      <c r="AF12843" s="10"/>
      <c r="AG12843" s="10"/>
      <c r="AH12843" s="10"/>
      <c r="AI12843" s="10"/>
    </row>
    <row r="12844" spans="28:35" ht="15" hidden="1" customHeight="1">
      <c r="AB12844" s="9"/>
      <c r="AC12844" s="9"/>
      <c r="AD12844" s="9"/>
      <c r="AF12844" s="10"/>
      <c r="AG12844" s="10"/>
      <c r="AH12844" s="10"/>
      <c r="AI12844" s="10"/>
    </row>
    <row r="12845" spans="28:35" ht="15" hidden="1" customHeight="1">
      <c r="AB12845" s="9"/>
      <c r="AC12845" s="9"/>
      <c r="AD12845" s="9"/>
      <c r="AF12845" s="10"/>
      <c r="AG12845" s="10"/>
      <c r="AH12845" s="10"/>
      <c r="AI12845" s="10"/>
    </row>
    <row r="12846" spans="28:35" ht="15" hidden="1" customHeight="1">
      <c r="AB12846" s="9"/>
      <c r="AC12846" s="9"/>
      <c r="AD12846" s="9"/>
      <c r="AF12846" s="10"/>
      <c r="AG12846" s="10"/>
      <c r="AH12846" s="10"/>
      <c r="AI12846" s="10"/>
    </row>
    <row r="12847" spans="28:35" ht="15" hidden="1" customHeight="1">
      <c r="AB12847" s="9"/>
      <c r="AC12847" s="9"/>
      <c r="AD12847" s="9"/>
      <c r="AF12847" s="10"/>
      <c r="AG12847" s="10"/>
      <c r="AH12847" s="10"/>
      <c r="AI12847" s="10"/>
    </row>
    <row r="12848" spans="28:35" ht="15" hidden="1" customHeight="1">
      <c r="AB12848" s="9"/>
      <c r="AC12848" s="9"/>
      <c r="AD12848" s="9"/>
      <c r="AF12848" s="10"/>
      <c r="AG12848" s="10"/>
      <c r="AH12848" s="10"/>
      <c r="AI12848" s="10"/>
    </row>
    <row r="12849" spans="28:35" ht="15" hidden="1" customHeight="1">
      <c r="AB12849" s="9"/>
      <c r="AC12849" s="9"/>
      <c r="AD12849" s="9"/>
      <c r="AF12849" s="10"/>
      <c r="AG12849" s="10"/>
      <c r="AH12849" s="10"/>
      <c r="AI12849" s="10"/>
    </row>
    <row r="12850" spans="28:35" ht="15" hidden="1" customHeight="1">
      <c r="AB12850" s="9"/>
      <c r="AC12850" s="9"/>
      <c r="AD12850" s="9"/>
      <c r="AF12850" s="10"/>
      <c r="AG12850" s="10"/>
      <c r="AH12850" s="10"/>
      <c r="AI12850" s="10"/>
    </row>
    <row r="12851" spans="28:35" ht="15" hidden="1" customHeight="1">
      <c r="AB12851" s="9"/>
      <c r="AC12851" s="9"/>
      <c r="AD12851" s="9"/>
      <c r="AF12851" s="10"/>
      <c r="AG12851" s="10"/>
      <c r="AH12851" s="10"/>
      <c r="AI12851" s="10"/>
    </row>
    <row r="12852" spans="28:35" ht="15" hidden="1" customHeight="1">
      <c r="AB12852" s="9"/>
      <c r="AC12852" s="9"/>
      <c r="AD12852" s="9"/>
      <c r="AF12852" s="10"/>
      <c r="AG12852" s="10"/>
      <c r="AH12852" s="10"/>
      <c r="AI12852" s="10"/>
    </row>
    <row r="12853" spans="28:35" ht="15" hidden="1" customHeight="1">
      <c r="AB12853" s="9"/>
      <c r="AC12853" s="9"/>
      <c r="AD12853" s="9"/>
      <c r="AF12853" s="10"/>
      <c r="AG12853" s="10"/>
      <c r="AH12853" s="10"/>
      <c r="AI12853" s="10"/>
    </row>
    <row r="12854" spans="28:35" ht="15" hidden="1" customHeight="1">
      <c r="AB12854" s="9"/>
      <c r="AC12854" s="9"/>
      <c r="AD12854" s="9"/>
      <c r="AF12854" s="10"/>
      <c r="AG12854" s="10"/>
      <c r="AH12854" s="10"/>
      <c r="AI12854" s="10"/>
    </row>
    <row r="12855" spans="28:35" ht="15" hidden="1" customHeight="1">
      <c r="AB12855" s="9"/>
      <c r="AC12855" s="9"/>
      <c r="AD12855" s="9"/>
      <c r="AF12855" s="10"/>
      <c r="AG12855" s="10"/>
      <c r="AH12855" s="10"/>
      <c r="AI12855" s="10"/>
    </row>
    <row r="12856" spans="28:35" ht="15" hidden="1" customHeight="1">
      <c r="AB12856" s="9"/>
      <c r="AC12856" s="9"/>
      <c r="AD12856" s="9"/>
      <c r="AF12856" s="10"/>
      <c r="AG12856" s="10"/>
      <c r="AH12856" s="10"/>
      <c r="AI12856" s="10"/>
    </row>
    <row r="12857" spans="28:35" ht="15" hidden="1" customHeight="1">
      <c r="AB12857" s="9"/>
      <c r="AC12857" s="9"/>
      <c r="AD12857" s="9"/>
      <c r="AF12857" s="10"/>
      <c r="AG12857" s="10"/>
      <c r="AH12857" s="10"/>
      <c r="AI12857" s="10"/>
    </row>
    <row r="12858" spans="28:35" ht="15" hidden="1" customHeight="1">
      <c r="AB12858" s="9"/>
      <c r="AC12858" s="9"/>
      <c r="AD12858" s="9"/>
      <c r="AF12858" s="10"/>
      <c r="AG12858" s="10"/>
      <c r="AH12858" s="10"/>
      <c r="AI12858" s="10"/>
    </row>
    <row r="12859" spans="28:35" ht="15" hidden="1" customHeight="1">
      <c r="AB12859" s="9"/>
      <c r="AC12859" s="9"/>
      <c r="AD12859" s="9"/>
      <c r="AF12859" s="10"/>
      <c r="AG12859" s="10"/>
      <c r="AH12859" s="10"/>
      <c r="AI12859" s="10"/>
    </row>
    <row r="12860" spans="28:35" ht="15" hidden="1" customHeight="1">
      <c r="AB12860" s="9"/>
      <c r="AC12860" s="9"/>
      <c r="AD12860" s="9"/>
      <c r="AF12860" s="10"/>
      <c r="AG12860" s="10"/>
      <c r="AH12860" s="10"/>
      <c r="AI12860" s="10"/>
    </row>
    <row r="12861" spans="28:35" ht="15" hidden="1" customHeight="1">
      <c r="AB12861" s="9"/>
      <c r="AC12861" s="9"/>
      <c r="AD12861" s="9"/>
      <c r="AF12861" s="10"/>
      <c r="AG12861" s="10"/>
      <c r="AH12861" s="10"/>
      <c r="AI12861" s="10"/>
    </row>
    <row r="12862" spans="28:35" ht="15" hidden="1" customHeight="1">
      <c r="AB12862" s="9"/>
      <c r="AC12862" s="9"/>
      <c r="AD12862" s="9"/>
      <c r="AF12862" s="10"/>
      <c r="AG12862" s="10"/>
      <c r="AH12862" s="10"/>
      <c r="AI12862" s="10"/>
    </row>
    <row r="12863" spans="28:35" ht="15" hidden="1" customHeight="1">
      <c r="AB12863" s="9"/>
      <c r="AC12863" s="9"/>
      <c r="AD12863" s="9"/>
      <c r="AF12863" s="10"/>
      <c r="AG12863" s="10"/>
      <c r="AH12863" s="10"/>
      <c r="AI12863" s="10"/>
    </row>
    <row r="12864" spans="28:35" ht="15" hidden="1" customHeight="1">
      <c r="AB12864" s="9"/>
      <c r="AC12864" s="9"/>
      <c r="AD12864" s="9"/>
      <c r="AF12864" s="10"/>
      <c r="AG12864" s="10"/>
      <c r="AH12864" s="10"/>
      <c r="AI12864" s="10"/>
    </row>
    <row r="12865" spans="28:35" ht="15" hidden="1" customHeight="1">
      <c r="AB12865" s="9"/>
      <c r="AC12865" s="9"/>
      <c r="AD12865" s="9"/>
      <c r="AF12865" s="10"/>
      <c r="AG12865" s="10"/>
      <c r="AH12865" s="10"/>
      <c r="AI12865" s="10"/>
    </row>
    <row r="12866" spans="28:35" ht="15" hidden="1" customHeight="1">
      <c r="AB12866" s="9"/>
      <c r="AC12866" s="9"/>
      <c r="AD12866" s="9"/>
      <c r="AF12866" s="10"/>
      <c r="AG12866" s="10"/>
      <c r="AH12866" s="10"/>
      <c r="AI12866" s="10"/>
    </row>
    <row r="12867" spans="28:35" ht="15" hidden="1" customHeight="1">
      <c r="AB12867" s="9"/>
      <c r="AC12867" s="9"/>
      <c r="AD12867" s="9"/>
      <c r="AF12867" s="10"/>
      <c r="AG12867" s="10"/>
      <c r="AH12867" s="10"/>
      <c r="AI12867" s="10"/>
    </row>
    <row r="12868" spans="28:35" ht="15" hidden="1" customHeight="1">
      <c r="AB12868" s="9"/>
      <c r="AC12868" s="9"/>
      <c r="AD12868" s="9"/>
      <c r="AF12868" s="10"/>
      <c r="AG12868" s="10"/>
      <c r="AH12868" s="10"/>
      <c r="AI12868" s="10"/>
    </row>
    <row r="12869" spans="28:35" ht="15" hidden="1" customHeight="1">
      <c r="AB12869" s="9"/>
      <c r="AC12869" s="9"/>
      <c r="AD12869" s="9"/>
      <c r="AF12869" s="10"/>
      <c r="AG12869" s="10"/>
      <c r="AH12869" s="10"/>
      <c r="AI12869" s="10"/>
    </row>
    <row r="12870" spans="28:35" ht="15" hidden="1" customHeight="1">
      <c r="AB12870" s="9"/>
      <c r="AC12870" s="9"/>
      <c r="AD12870" s="9"/>
      <c r="AF12870" s="10"/>
      <c r="AG12870" s="10"/>
      <c r="AH12870" s="10"/>
      <c r="AI12870" s="10"/>
    </row>
    <row r="12871" spans="28:35" ht="15" hidden="1" customHeight="1">
      <c r="AB12871" s="9"/>
      <c r="AC12871" s="9"/>
      <c r="AD12871" s="9"/>
      <c r="AF12871" s="10"/>
      <c r="AG12871" s="10"/>
      <c r="AH12871" s="10"/>
      <c r="AI12871" s="10"/>
    </row>
    <row r="12872" spans="28:35" ht="15" hidden="1" customHeight="1">
      <c r="AB12872" s="9"/>
      <c r="AC12872" s="9"/>
      <c r="AD12872" s="9"/>
      <c r="AF12872" s="10"/>
      <c r="AG12872" s="10"/>
      <c r="AH12872" s="10"/>
      <c r="AI12872" s="10"/>
    </row>
    <row r="12873" spans="28:35" ht="15" hidden="1" customHeight="1">
      <c r="AB12873" s="9"/>
      <c r="AC12873" s="9"/>
      <c r="AD12873" s="9"/>
      <c r="AF12873" s="10"/>
      <c r="AG12873" s="10"/>
      <c r="AH12873" s="10"/>
      <c r="AI12873" s="10"/>
    </row>
    <row r="12874" spans="28:35" ht="15" hidden="1" customHeight="1">
      <c r="AB12874" s="9"/>
      <c r="AC12874" s="9"/>
      <c r="AD12874" s="9"/>
      <c r="AF12874" s="10"/>
      <c r="AG12874" s="10"/>
      <c r="AH12874" s="10"/>
      <c r="AI12874" s="10"/>
    </row>
    <row r="12875" spans="28:35" ht="15" hidden="1" customHeight="1">
      <c r="AB12875" s="9"/>
      <c r="AC12875" s="9"/>
      <c r="AD12875" s="9"/>
      <c r="AF12875" s="10"/>
      <c r="AG12875" s="10"/>
      <c r="AH12875" s="10"/>
      <c r="AI12875" s="10"/>
    </row>
    <row r="12876" spans="28:35" ht="15" hidden="1" customHeight="1">
      <c r="AB12876" s="9"/>
      <c r="AC12876" s="9"/>
      <c r="AD12876" s="9"/>
      <c r="AF12876" s="10"/>
      <c r="AG12876" s="10"/>
      <c r="AH12876" s="10"/>
      <c r="AI12876" s="10"/>
    </row>
    <row r="12877" spans="28:35" ht="15" hidden="1" customHeight="1">
      <c r="AB12877" s="9"/>
      <c r="AC12877" s="9"/>
      <c r="AD12877" s="9"/>
      <c r="AF12877" s="10"/>
      <c r="AG12877" s="10"/>
      <c r="AH12877" s="10"/>
      <c r="AI12877" s="10"/>
    </row>
    <row r="12878" spans="28:35" ht="15" hidden="1" customHeight="1">
      <c r="AB12878" s="9"/>
      <c r="AC12878" s="9"/>
      <c r="AD12878" s="9"/>
      <c r="AF12878" s="10"/>
      <c r="AG12878" s="10"/>
      <c r="AH12878" s="10"/>
      <c r="AI12878" s="10"/>
    </row>
    <row r="12879" spans="28:35" ht="15" hidden="1" customHeight="1">
      <c r="AB12879" s="9"/>
      <c r="AC12879" s="9"/>
      <c r="AD12879" s="9"/>
      <c r="AF12879" s="10"/>
      <c r="AG12879" s="10"/>
      <c r="AH12879" s="10"/>
      <c r="AI12879" s="10"/>
    </row>
    <row r="12880" spans="28:35" ht="15" hidden="1" customHeight="1">
      <c r="AB12880" s="9"/>
      <c r="AC12880" s="9"/>
      <c r="AD12880" s="9"/>
      <c r="AF12880" s="10"/>
      <c r="AG12880" s="10"/>
      <c r="AH12880" s="10"/>
      <c r="AI12880" s="10"/>
    </row>
    <row r="12881" spans="28:35" ht="15" hidden="1" customHeight="1">
      <c r="AB12881" s="9"/>
      <c r="AC12881" s="9"/>
      <c r="AD12881" s="9"/>
      <c r="AF12881" s="10"/>
      <c r="AG12881" s="10"/>
      <c r="AH12881" s="10"/>
      <c r="AI12881" s="10"/>
    </row>
    <row r="12882" spans="28:35" ht="15" hidden="1" customHeight="1">
      <c r="AB12882" s="9"/>
      <c r="AC12882" s="9"/>
      <c r="AD12882" s="9"/>
      <c r="AF12882" s="10"/>
      <c r="AG12882" s="10"/>
      <c r="AH12882" s="10"/>
      <c r="AI12882" s="10"/>
    </row>
    <row r="12883" spans="28:35" ht="15" hidden="1" customHeight="1">
      <c r="AB12883" s="9"/>
      <c r="AC12883" s="9"/>
      <c r="AD12883" s="9"/>
      <c r="AF12883" s="10"/>
      <c r="AG12883" s="10"/>
      <c r="AH12883" s="10"/>
      <c r="AI12883" s="10"/>
    </row>
    <row r="12884" spans="28:35" ht="15" hidden="1" customHeight="1">
      <c r="AB12884" s="9"/>
      <c r="AC12884" s="9"/>
      <c r="AD12884" s="9"/>
      <c r="AF12884" s="10"/>
      <c r="AG12884" s="10"/>
      <c r="AH12884" s="10"/>
      <c r="AI12884" s="10"/>
    </row>
    <row r="12885" spans="28:35" ht="15" hidden="1" customHeight="1">
      <c r="AB12885" s="9"/>
      <c r="AC12885" s="9"/>
      <c r="AD12885" s="9"/>
      <c r="AF12885" s="10"/>
      <c r="AG12885" s="10"/>
      <c r="AH12885" s="10"/>
      <c r="AI12885" s="10"/>
    </row>
    <row r="12886" spans="28:35" ht="15" hidden="1" customHeight="1">
      <c r="AB12886" s="9"/>
      <c r="AC12886" s="9"/>
      <c r="AD12886" s="9"/>
      <c r="AF12886" s="10"/>
      <c r="AG12886" s="10"/>
      <c r="AH12886" s="10"/>
      <c r="AI12886" s="10"/>
    </row>
    <row r="12887" spans="28:35" ht="15" hidden="1" customHeight="1">
      <c r="AB12887" s="9"/>
      <c r="AC12887" s="9"/>
      <c r="AD12887" s="9"/>
      <c r="AF12887" s="10"/>
      <c r="AG12887" s="10"/>
      <c r="AH12887" s="10"/>
      <c r="AI12887" s="10"/>
    </row>
    <row r="12888" spans="28:35" ht="15" hidden="1" customHeight="1">
      <c r="AB12888" s="9"/>
      <c r="AC12888" s="9"/>
      <c r="AD12888" s="9"/>
      <c r="AF12888" s="10"/>
      <c r="AG12888" s="10"/>
      <c r="AH12888" s="10"/>
      <c r="AI12888" s="10"/>
    </row>
    <row r="12889" spans="28:35" ht="15" hidden="1" customHeight="1">
      <c r="AB12889" s="9"/>
      <c r="AC12889" s="9"/>
      <c r="AD12889" s="9"/>
      <c r="AF12889" s="10"/>
      <c r="AG12889" s="10"/>
      <c r="AH12889" s="10"/>
      <c r="AI12889" s="10"/>
    </row>
    <row r="12890" spans="28:35" ht="15" hidden="1" customHeight="1">
      <c r="AB12890" s="9"/>
      <c r="AC12890" s="9"/>
      <c r="AD12890" s="9"/>
      <c r="AF12890" s="10"/>
      <c r="AG12890" s="10"/>
      <c r="AH12890" s="10"/>
      <c r="AI12890" s="10"/>
    </row>
    <row r="12891" spans="28:35" ht="15" hidden="1" customHeight="1">
      <c r="AB12891" s="9"/>
      <c r="AC12891" s="9"/>
      <c r="AD12891" s="9"/>
      <c r="AF12891" s="10"/>
      <c r="AG12891" s="10"/>
      <c r="AH12891" s="10"/>
      <c r="AI12891" s="10"/>
    </row>
    <row r="12892" spans="28:35" ht="15" hidden="1" customHeight="1">
      <c r="AB12892" s="9"/>
      <c r="AC12892" s="9"/>
      <c r="AD12892" s="9"/>
      <c r="AF12892" s="10"/>
      <c r="AG12892" s="10"/>
      <c r="AH12892" s="10"/>
      <c r="AI12892" s="10"/>
    </row>
    <row r="12893" spans="28:35" ht="15" hidden="1" customHeight="1">
      <c r="AB12893" s="9"/>
      <c r="AC12893" s="9"/>
      <c r="AD12893" s="9"/>
      <c r="AF12893" s="10"/>
      <c r="AG12893" s="10"/>
      <c r="AH12893" s="10"/>
      <c r="AI12893" s="10"/>
    </row>
    <row r="12894" spans="28:35" ht="15" hidden="1" customHeight="1">
      <c r="AB12894" s="9"/>
      <c r="AC12894" s="9"/>
      <c r="AD12894" s="9"/>
      <c r="AF12894" s="10"/>
      <c r="AG12894" s="10"/>
      <c r="AH12894" s="10"/>
      <c r="AI12894" s="10"/>
    </row>
    <row r="12895" spans="28:35" ht="15" hidden="1" customHeight="1">
      <c r="AB12895" s="9"/>
      <c r="AC12895" s="9"/>
      <c r="AD12895" s="9"/>
      <c r="AF12895" s="10"/>
      <c r="AG12895" s="10"/>
      <c r="AH12895" s="10"/>
      <c r="AI12895" s="10"/>
    </row>
    <row r="12896" spans="28:35" ht="15" hidden="1" customHeight="1">
      <c r="AB12896" s="9"/>
      <c r="AC12896" s="9"/>
      <c r="AD12896" s="9"/>
      <c r="AF12896" s="10"/>
      <c r="AG12896" s="10"/>
      <c r="AH12896" s="10"/>
      <c r="AI12896" s="10"/>
    </row>
    <row r="12897" spans="28:35" ht="15" hidden="1" customHeight="1">
      <c r="AB12897" s="9"/>
      <c r="AC12897" s="9"/>
      <c r="AD12897" s="9"/>
      <c r="AF12897" s="10"/>
      <c r="AG12897" s="10"/>
      <c r="AH12897" s="10"/>
      <c r="AI12897" s="10"/>
    </row>
    <row r="12898" spans="28:35" ht="15" hidden="1" customHeight="1">
      <c r="AB12898" s="9"/>
      <c r="AC12898" s="9"/>
      <c r="AD12898" s="9"/>
      <c r="AF12898" s="10"/>
      <c r="AG12898" s="10"/>
      <c r="AH12898" s="10"/>
      <c r="AI12898" s="10"/>
    </row>
    <row r="12899" spans="28:35" ht="15" hidden="1" customHeight="1">
      <c r="AB12899" s="9"/>
      <c r="AC12899" s="9"/>
      <c r="AD12899" s="9"/>
      <c r="AF12899" s="10"/>
      <c r="AG12899" s="10"/>
      <c r="AH12899" s="10"/>
      <c r="AI12899" s="10"/>
    </row>
    <row r="12900" spans="28:35" ht="15" hidden="1" customHeight="1">
      <c r="AB12900" s="9"/>
      <c r="AC12900" s="9"/>
      <c r="AD12900" s="9"/>
      <c r="AF12900" s="10"/>
      <c r="AG12900" s="10"/>
      <c r="AH12900" s="10"/>
      <c r="AI12900" s="10"/>
    </row>
    <row r="12901" spans="28:35" ht="15" hidden="1" customHeight="1">
      <c r="AB12901" s="9"/>
      <c r="AC12901" s="9"/>
      <c r="AD12901" s="9"/>
      <c r="AF12901" s="10"/>
      <c r="AG12901" s="10"/>
      <c r="AH12901" s="10"/>
      <c r="AI12901" s="10"/>
    </row>
    <row r="12902" spans="28:35" ht="15" hidden="1" customHeight="1">
      <c r="AB12902" s="9"/>
      <c r="AC12902" s="9"/>
      <c r="AD12902" s="9"/>
      <c r="AF12902" s="10"/>
      <c r="AG12902" s="10"/>
      <c r="AH12902" s="10"/>
      <c r="AI12902" s="10"/>
    </row>
    <row r="12903" spans="28:35" ht="15" hidden="1" customHeight="1">
      <c r="AB12903" s="9"/>
      <c r="AC12903" s="9"/>
      <c r="AD12903" s="9"/>
      <c r="AF12903" s="10"/>
      <c r="AG12903" s="10"/>
      <c r="AH12903" s="10"/>
      <c r="AI12903" s="10"/>
    </row>
    <row r="12904" spans="28:35" ht="15" hidden="1" customHeight="1">
      <c r="AB12904" s="9"/>
      <c r="AC12904" s="9"/>
      <c r="AD12904" s="9"/>
      <c r="AF12904" s="10"/>
      <c r="AG12904" s="10"/>
      <c r="AH12904" s="10"/>
      <c r="AI12904" s="10"/>
    </row>
    <row r="12905" spans="28:35" ht="15" hidden="1" customHeight="1">
      <c r="AB12905" s="9"/>
      <c r="AC12905" s="9"/>
      <c r="AD12905" s="9"/>
      <c r="AF12905" s="10"/>
      <c r="AG12905" s="10"/>
      <c r="AH12905" s="10"/>
      <c r="AI12905" s="10"/>
    </row>
    <row r="12906" spans="28:35" ht="15" hidden="1" customHeight="1">
      <c r="AB12906" s="9"/>
      <c r="AC12906" s="9"/>
      <c r="AD12906" s="9"/>
      <c r="AF12906" s="10"/>
      <c r="AG12906" s="10"/>
      <c r="AH12906" s="10"/>
      <c r="AI12906" s="10"/>
    </row>
    <row r="12907" spans="28:35" ht="15" hidden="1" customHeight="1">
      <c r="AB12907" s="9"/>
      <c r="AC12907" s="9"/>
      <c r="AD12907" s="9"/>
      <c r="AF12907" s="10"/>
      <c r="AG12907" s="10"/>
      <c r="AH12907" s="10"/>
      <c r="AI12907" s="10"/>
    </row>
    <row r="12908" spans="28:35" ht="15" hidden="1" customHeight="1">
      <c r="AB12908" s="9"/>
      <c r="AC12908" s="9"/>
      <c r="AD12908" s="9"/>
      <c r="AF12908" s="10"/>
      <c r="AG12908" s="10"/>
      <c r="AH12908" s="10"/>
      <c r="AI12908" s="10"/>
    </row>
    <row r="12909" spans="28:35" ht="15" hidden="1" customHeight="1">
      <c r="AB12909" s="9"/>
      <c r="AC12909" s="9"/>
      <c r="AD12909" s="9"/>
      <c r="AF12909" s="10"/>
      <c r="AG12909" s="10"/>
      <c r="AH12909" s="10"/>
      <c r="AI12909" s="10"/>
    </row>
    <row r="12910" spans="28:35" ht="15" hidden="1" customHeight="1">
      <c r="AB12910" s="9"/>
      <c r="AC12910" s="9"/>
      <c r="AD12910" s="9"/>
      <c r="AF12910" s="10"/>
      <c r="AG12910" s="10"/>
      <c r="AH12910" s="10"/>
      <c r="AI12910" s="10"/>
    </row>
    <row r="12911" spans="28:35" ht="15" hidden="1" customHeight="1">
      <c r="AB12911" s="9"/>
      <c r="AC12911" s="9"/>
      <c r="AD12911" s="9"/>
      <c r="AF12911" s="10"/>
      <c r="AG12911" s="10"/>
      <c r="AH12911" s="10"/>
      <c r="AI12911" s="10"/>
    </row>
    <row r="12912" spans="28:35" ht="15" hidden="1" customHeight="1">
      <c r="AB12912" s="9"/>
      <c r="AC12912" s="9"/>
      <c r="AD12912" s="9"/>
      <c r="AF12912" s="10"/>
      <c r="AG12912" s="10"/>
      <c r="AH12912" s="10"/>
      <c r="AI12912" s="10"/>
    </row>
    <row r="12913" spans="28:35" ht="15" hidden="1" customHeight="1">
      <c r="AB12913" s="9"/>
      <c r="AC12913" s="9"/>
      <c r="AD12913" s="9"/>
      <c r="AF12913" s="10"/>
      <c r="AG12913" s="10"/>
      <c r="AH12913" s="10"/>
      <c r="AI12913" s="10"/>
    </row>
    <row r="12914" spans="28:35" ht="15" hidden="1" customHeight="1">
      <c r="AB12914" s="9"/>
      <c r="AC12914" s="9"/>
      <c r="AD12914" s="9"/>
      <c r="AF12914" s="10"/>
      <c r="AG12914" s="10"/>
      <c r="AH12914" s="10"/>
      <c r="AI12914" s="10"/>
    </row>
    <row r="12915" spans="28:35" ht="15" hidden="1" customHeight="1">
      <c r="AB12915" s="9"/>
      <c r="AC12915" s="9"/>
      <c r="AD12915" s="9"/>
      <c r="AF12915" s="10"/>
      <c r="AG12915" s="10"/>
      <c r="AH12915" s="10"/>
      <c r="AI12915" s="10"/>
    </row>
    <row r="12916" spans="28:35" ht="15" hidden="1" customHeight="1">
      <c r="AB12916" s="9"/>
      <c r="AC12916" s="9"/>
      <c r="AD12916" s="9"/>
      <c r="AF12916" s="10"/>
      <c r="AG12916" s="10"/>
      <c r="AH12916" s="10"/>
      <c r="AI12916" s="10"/>
    </row>
    <row r="12917" spans="28:35" ht="15" hidden="1" customHeight="1">
      <c r="AB12917" s="9"/>
      <c r="AC12917" s="9"/>
      <c r="AD12917" s="9"/>
      <c r="AF12917" s="10"/>
      <c r="AG12917" s="10"/>
      <c r="AH12917" s="10"/>
      <c r="AI12917" s="10"/>
    </row>
    <row r="12918" spans="28:35" ht="15" hidden="1" customHeight="1">
      <c r="AB12918" s="9"/>
      <c r="AC12918" s="9"/>
      <c r="AD12918" s="9"/>
      <c r="AF12918" s="10"/>
      <c r="AG12918" s="10"/>
      <c r="AH12918" s="10"/>
      <c r="AI12918" s="10"/>
    </row>
    <row r="12919" spans="28:35" ht="15" hidden="1" customHeight="1">
      <c r="AB12919" s="9"/>
      <c r="AC12919" s="9"/>
      <c r="AD12919" s="9"/>
      <c r="AF12919" s="10"/>
      <c r="AG12919" s="10"/>
      <c r="AH12919" s="10"/>
      <c r="AI12919" s="10"/>
    </row>
    <row r="12920" spans="28:35" ht="15" hidden="1" customHeight="1">
      <c r="AB12920" s="9"/>
      <c r="AC12920" s="9"/>
      <c r="AD12920" s="9"/>
      <c r="AF12920" s="10"/>
      <c r="AG12920" s="10"/>
      <c r="AH12920" s="10"/>
      <c r="AI12920" s="10"/>
    </row>
    <row r="12921" spans="28:35" ht="15" hidden="1" customHeight="1">
      <c r="AB12921" s="9"/>
      <c r="AC12921" s="9"/>
      <c r="AD12921" s="9"/>
      <c r="AF12921" s="10"/>
      <c r="AG12921" s="10"/>
      <c r="AH12921" s="10"/>
      <c r="AI12921" s="10"/>
    </row>
    <row r="12922" spans="28:35" ht="15" hidden="1" customHeight="1">
      <c r="AB12922" s="9"/>
      <c r="AC12922" s="9"/>
      <c r="AD12922" s="9"/>
      <c r="AF12922" s="10"/>
      <c r="AG12922" s="10"/>
      <c r="AH12922" s="10"/>
      <c r="AI12922" s="10"/>
    </row>
    <row r="12923" spans="28:35" ht="15" hidden="1" customHeight="1">
      <c r="AB12923" s="9"/>
      <c r="AC12923" s="9"/>
      <c r="AD12923" s="9"/>
      <c r="AF12923" s="10"/>
      <c r="AG12923" s="10"/>
      <c r="AH12923" s="10"/>
      <c r="AI12923" s="10"/>
    </row>
    <row r="12924" spans="28:35" ht="15" hidden="1" customHeight="1">
      <c r="AB12924" s="9"/>
      <c r="AC12924" s="9"/>
      <c r="AD12924" s="9"/>
      <c r="AF12924" s="10"/>
      <c r="AG12924" s="10"/>
      <c r="AH12924" s="10"/>
      <c r="AI12924" s="10"/>
    </row>
    <row r="12925" spans="28:35" ht="15" hidden="1" customHeight="1">
      <c r="AB12925" s="9"/>
      <c r="AC12925" s="9"/>
      <c r="AD12925" s="9"/>
      <c r="AF12925" s="10"/>
      <c r="AG12925" s="10"/>
      <c r="AH12925" s="10"/>
      <c r="AI12925" s="10"/>
    </row>
    <row r="12926" spans="28:35" ht="15" hidden="1" customHeight="1">
      <c r="AB12926" s="9"/>
      <c r="AC12926" s="9"/>
      <c r="AD12926" s="9"/>
      <c r="AF12926" s="10"/>
      <c r="AG12926" s="10"/>
      <c r="AH12926" s="10"/>
      <c r="AI12926" s="10"/>
    </row>
    <row r="12927" spans="28:35" ht="15" hidden="1" customHeight="1">
      <c r="AB12927" s="9"/>
      <c r="AC12927" s="9"/>
      <c r="AD12927" s="9"/>
      <c r="AF12927" s="10"/>
      <c r="AG12927" s="10"/>
      <c r="AH12927" s="10"/>
      <c r="AI12927" s="10"/>
    </row>
    <row r="12928" spans="28:35" ht="15" hidden="1" customHeight="1">
      <c r="AB12928" s="9"/>
      <c r="AC12928" s="9"/>
      <c r="AD12928" s="9"/>
      <c r="AF12928" s="10"/>
      <c r="AG12928" s="10"/>
      <c r="AH12928" s="10"/>
      <c r="AI12928" s="10"/>
    </row>
    <row r="12929" spans="28:35" ht="15" hidden="1" customHeight="1">
      <c r="AB12929" s="9"/>
      <c r="AC12929" s="9"/>
      <c r="AD12929" s="9"/>
      <c r="AF12929" s="10"/>
      <c r="AG12929" s="10"/>
      <c r="AH12929" s="10"/>
      <c r="AI12929" s="10"/>
    </row>
    <row r="12930" spans="28:35" ht="15" hidden="1" customHeight="1">
      <c r="AB12930" s="9"/>
      <c r="AC12930" s="9"/>
      <c r="AD12930" s="9"/>
      <c r="AF12930" s="10"/>
      <c r="AG12930" s="10"/>
      <c r="AH12930" s="10"/>
      <c r="AI12930" s="10"/>
    </row>
    <row r="12931" spans="28:35" ht="15" hidden="1" customHeight="1">
      <c r="AB12931" s="9"/>
      <c r="AC12931" s="9"/>
      <c r="AD12931" s="9"/>
      <c r="AF12931" s="10"/>
      <c r="AG12931" s="10"/>
      <c r="AH12931" s="10"/>
      <c r="AI12931" s="10"/>
    </row>
    <row r="12932" spans="28:35" ht="15" hidden="1" customHeight="1">
      <c r="AB12932" s="9"/>
      <c r="AC12932" s="9"/>
      <c r="AD12932" s="9"/>
      <c r="AF12932" s="10"/>
      <c r="AG12932" s="10"/>
      <c r="AH12932" s="10"/>
      <c r="AI12932" s="10"/>
    </row>
    <row r="12933" spans="28:35" ht="15" hidden="1" customHeight="1">
      <c r="AB12933" s="9"/>
      <c r="AC12933" s="9"/>
      <c r="AD12933" s="9"/>
      <c r="AF12933" s="10"/>
      <c r="AG12933" s="10"/>
      <c r="AH12933" s="10"/>
      <c r="AI12933" s="10"/>
    </row>
    <row r="12934" spans="28:35" ht="15" hidden="1" customHeight="1">
      <c r="AB12934" s="9"/>
      <c r="AC12934" s="9"/>
      <c r="AD12934" s="9"/>
      <c r="AF12934" s="10"/>
      <c r="AG12934" s="10"/>
      <c r="AH12934" s="10"/>
      <c r="AI12934" s="10"/>
    </row>
    <row r="12935" spans="28:35" ht="15" hidden="1" customHeight="1">
      <c r="AB12935" s="9"/>
      <c r="AC12935" s="9"/>
      <c r="AD12935" s="9"/>
      <c r="AF12935" s="10"/>
      <c r="AG12935" s="10"/>
      <c r="AH12935" s="10"/>
      <c r="AI12935" s="10"/>
    </row>
    <row r="12936" spans="28:35" ht="15" hidden="1" customHeight="1">
      <c r="AB12936" s="9"/>
      <c r="AC12936" s="9"/>
      <c r="AD12936" s="9"/>
      <c r="AF12936" s="10"/>
      <c r="AG12936" s="10"/>
      <c r="AH12936" s="10"/>
      <c r="AI12936" s="10"/>
    </row>
    <row r="12937" spans="28:35" ht="15" hidden="1" customHeight="1">
      <c r="AB12937" s="9"/>
      <c r="AC12937" s="9"/>
      <c r="AD12937" s="9"/>
      <c r="AF12937" s="10"/>
      <c r="AG12937" s="10"/>
      <c r="AH12937" s="10"/>
      <c r="AI12937" s="10"/>
    </row>
    <row r="12938" spans="28:35" ht="15" hidden="1" customHeight="1">
      <c r="AB12938" s="9"/>
      <c r="AC12938" s="9"/>
      <c r="AD12938" s="9"/>
      <c r="AF12938" s="10"/>
      <c r="AG12938" s="10"/>
      <c r="AH12938" s="10"/>
      <c r="AI12938" s="10"/>
    </row>
    <row r="12939" spans="28:35" ht="15" hidden="1" customHeight="1">
      <c r="AB12939" s="9"/>
      <c r="AC12939" s="9"/>
      <c r="AD12939" s="9"/>
      <c r="AF12939" s="10"/>
      <c r="AG12939" s="10"/>
      <c r="AH12939" s="10"/>
      <c r="AI12939" s="10"/>
    </row>
    <row r="12940" spans="28:35" ht="15" hidden="1" customHeight="1">
      <c r="AB12940" s="9"/>
      <c r="AC12940" s="9"/>
      <c r="AD12940" s="9"/>
      <c r="AF12940" s="10"/>
      <c r="AG12940" s="10"/>
      <c r="AH12940" s="10"/>
      <c r="AI12940" s="10"/>
    </row>
    <row r="12941" spans="28:35" ht="15" hidden="1" customHeight="1">
      <c r="AB12941" s="9"/>
      <c r="AC12941" s="9"/>
      <c r="AD12941" s="9"/>
      <c r="AF12941" s="10"/>
      <c r="AG12941" s="10"/>
      <c r="AH12941" s="10"/>
      <c r="AI12941" s="10"/>
    </row>
    <row r="12942" spans="28:35" ht="15" hidden="1" customHeight="1">
      <c r="AB12942" s="9"/>
      <c r="AC12942" s="9"/>
      <c r="AD12942" s="9"/>
      <c r="AF12942" s="10"/>
      <c r="AG12942" s="10"/>
      <c r="AH12942" s="10"/>
      <c r="AI12942" s="10"/>
    </row>
    <row r="12943" spans="28:35" ht="15" hidden="1" customHeight="1">
      <c r="AB12943" s="9"/>
      <c r="AC12943" s="9"/>
      <c r="AD12943" s="9"/>
      <c r="AF12943" s="10"/>
      <c r="AG12943" s="10"/>
      <c r="AH12943" s="10"/>
      <c r="AI12943" s="10"/>
    </row>
    <row r="12944" spans="28:35" ht="15" hidden="1" customHeight="1">
      <c r="AB12944" s="9"/>
      <c r="AC12944" s="9"/>
      <c r="AD12944" s="9"/>
      <c r="AF12944" s="10"/>
      <c r="AG12944" s="10"/>
      <c r="AH12944" s="10"/>
      <c r="AI12944" s="10"/>
    </row>
    <row r="12945" spans="28:35" ht="15" hidden="1" customHeight="1">
      <c r="AB12945" s="9"/>
      <c r="AC12945" s="9"/>
      <c r="AD12945" s="9"/>
      <c r="AF12945" s="10"/>
      <c r="AG12945" s="10"/>
      <c r="AH12945" s="10"/>
      <c r="AI12945" s="10"/>
    </row>
    <row r="12946" spans="28:35" ht="15" hidden="1" customHeight="1">
      <c r="AB12946" s="9"/>
      <c r="AC12946" s="9"/>
      <c r="AD12946" s="9"/>
      <c r="AF12946" s="10"/>
      <c r="AG12946" s="10"/>
      <c r="AH12946" s="10"/>
      <c r="AI12946" s="10"/>
    </row>
    <row r="12947" spans="28:35" ht="15" hidden="1" customHeight="1">
      <c r="AB12947" s="9"/>
      <c r="AC12947" s="9"/>
      <c r="AD12947" s="9"/>
      <c r="AF12947" s="10"/>
      <c r="AG12947" s="10"/>
      <c r="AH12947" s="10"/>
      <c r="AI12947" s="10"/>
    </row>
    <row r="12948" spans="28:35" ht="15" hidden="1" customHeight="1">
      <c r="AB12948" s="9"/>
      <c r="AC12948" s="9"/>
      <c r="AD12948" s="9"/>
      <c r="AF12948" s="10"/>
      <c r="AG12948" s="10"/>
      <c r="AH12948" s="10"/>
      <c r="AI12948" s="10"/>
    </row>
    <row r="12949" spans="28:35" ht="15" hidden="1" customHeight="1">
      <c r="AB12949" s="9"/>
      <c r="AC12949" s="9"/>
      <c r="AD12949" s="9"/>
      <c r="AF12949" s="10"/>
      <c r="AG12949" s="10"/>
      <c r="AH12949" s="10"/>
      <c r="AI12949" s="10"/>
    </row>
    <row r="12950" spans="28:35" ht="15" hidden="1" customHeight="1">
      <c r="AB12950" s="9"/>
      <c r="AC12950" s="9"/>
      <c r="AD12950" s="9"/>
      <c r="AF12950" s="10"/>
      <c r="AG12950" s="10"/>
      <c r="AH12950" s="10"/>
      <c r="AI12950" s="10"/>
    </row>
    <row r="12951" spans="28:35" ht="15" hidden="1" customHeight="1">
      <c r="AB12951" s="9"/>
      <c r="AC12951" s="9"/>
      <c r="AD12951" s="9"/>
      <c r="AF12951" s="10"/>
      <c r="AG12951" s="10"/>
      <c r="AH12951" s="10"/>
      <c r="AI12951" s="10"/>
    </row>
    <row r="12952" spans="28:35" ht="15" hidden="1" customHeight="1">
      <c r="AB12952" s="9"/>
      <c r="AC12952" s="9"/>
      <c r="AD12952" s="9"/>
      <c r="AF12952" s="10"/>
      <c r="AG12952" s="10"/>
      <c r="AH12952" s="10"/>
      <c r="AI12952" s="10"/>
    </row>
    <row r="12953" spans="28:35" ht="15" hidden="1" customHeight="1">
      <c r="AB12953" s="9"/>
      <c r="AC12953" s="9"/>
      <c r="AD12953" s="9"/>
      <c r="AF12953" s="10"/>
      <c r="AG12953" s="10"/>
      <c r="AH12953" s="10"/>
      <c r="AI12953" s="10"/>
    </row>
    <row r="12954" spans="28:35" ht="15" hidden="1" customHeight="1">
      <c r="AB12954" s="9"/>
      <c r="AC12954" s="9"/>
      <c r="AD12954" s="9"/>
      <c r="AF12954" s="10"/>
      <c r="AG12954" s="10"/>
      <c r="AH12954" s="10"/>
      <c r="AI12954" s="10"/>
    </row>
    <row r="12955" spans="28:35" ht="15" hidden="1" customHeight="1">
      <c r="AB12955" s="9"/>
      <c r="AC12955" s="9"/>
      <c r="AD12955" s="9"/>
      <c r="AF12955" s="10"/>
      <c r="AG12955" s="10"/>
      <c r="AH12955" s="10"/>
      <c r="AI12955" s="10"/>
    </row>
    <row r="12956" spans="28:35" ht="15" hidden="1" customHeight="1">
      <c r="AB12956" s="9"/>
      <c r="AC12956" s="9"/>
      <c r="AD12956" s="9"/>
      <c r="AF12956" s="10"/>
      <c r="AG12956" s="10"/>
      <c r="AH12956" s="10"/>
      <c r="AI12956" s="10"/>
    </row>
    <row r="12957" spans="28:35" ht="15" hidden="1" customHeight="1">
      <c r="AB12957" s="9"/>
      <c r="AC12957" s="9"/>
      <c r="AD12957" s="9"/>
      <c r="AF12957" s="10"/>
      <c r="AG12957" s="10"/>
      <c r="AH12957" s="10"/>
      <c r="AI12957" s="10"/>
    </row>
    <row r="12958" spans="28:35" ht="15" hidden="1" customHeight="1">
      <c r="AB12958" s="9"/>
      <c r="AC12958" s="9"/>
      <c r="AD12958" s="9"/>
      <c r="AF12958" s="10"/>
      <c r="AG12958" s="10"/>
      <c r="AH12958" s="10"/>
      <c r="AI12958" s="10"/>
    </row>
    <row r="12959" spans="28:35" ht="15" hidden="1" customHeight="1">
      <c r="AB12959" s="9"/>
      <c r="AC12959" s="9"/>
      <c r="AD12959" s="9"/>
      <c r="AF12959" s="10"/>
      <c r="AG12959" s="10"/>
      <c r="AH12959" s="10"/>
      <c r="AI12959" s="10"/>
    </row>
    <row r="12960" spans="28:35" ht="15" hidden="1" customHeight="1">
      <c r="AB12960" s="9"/>
      <c r="AC12960" s="9"/>
      <c r="AD12960" s="9"/>
      <c r="AF12960" s="10"/>
      <c r="AG12960" s="10"/>
      <c r="AH12960" s="10"/>
      <c r="AI12960" s="10"/>
    </row>
    <row r="12961" spans="28:35" ht="15" hidden="1" customHeight="1">
      <c r="AB12961" s="9"/>
      <c r="AC12961" s="9"/>
      <c r="AD12961" s="9"/>
      <c r="AF12961" s="10"/>
      <c r="AG12961" s="10"/>
      <c r="AH12961" s="10"/>
      <c r="AI12961" s="10"/>
    </row>
    <row r="12962" spans="28:35" ht="15" hidden="1" customHeight="1">
      <c r="AB12962" s="9"/>
      <c r="AC12962" s="9"/>
      <c r="AD12962" s="9"/>
      <c r="AF12962" s="10"/>
      <c r="AG12962" s="10"/>
      <c r="AH12962" s="10"/>
      <c r="AI12962" s="10"/>
    </row>
    <row r="12963" spans="28:35" ht="15" hidden="1" customHeight="1">
      <c r="AB12963" s="9"/>
      <c r="AC12963" s="9"/>
      <c r="AD12963" s="9"/>
      <c r="AF12963" s="10"/>
      <c r="AG12963" s="10"/>
      <c r="AH12963" s="10"/>
      <c r="AI12963" s="10"/>
    </row>
    <row r="12964" spans="28:35" ht="15" hidden="1" customHeight="1">
      <c r="AB12964" s="9"/>
      <c r="AC12964" s="9"/>
      <c r="AD12964" s="9"/>
      <c r="AF12964" s="10"/>
      <c r="AG12964" s="10"/>
      <c r="AH12964" s="10"/>
      <c r="AI12964" s="10"/>
    </row>
    <row r="12965" spans="28:35" ht="15" hidden="1" customHeight="1">
      <c r="AB12965" s="9"/>
      <c r="AC12965" s="9"/>
      <c r="AD12965" s="9"/>
      <c r="AF12965" s="10"/>
      <c r="AG12965" s="10"/>
      <c r="AH12965" s="10"/>
      <c r="AI12965" s="10"/>
    </row>
    <row r="12966" spans="28:35" ht="15" hidden="1" customHeight="1">
      <c r="AB12966" s="9"/>
      <c r="AC12966" s="9"/>
      <c r="AD12966" s="9"/>
      <c r="AF12966" s="10"/>
      <c r="AG12966" s="10"/>
      <c r="AH12966" s="10"/>
      <c r="AI12966" s="10"/>
    </row>
    <row r="12967" spans="28:35" ht="15" hidden="1" customHeight="1">
      <c r="AB12967" s="9"/>
      <c r="AC12967" s="9"/>
      <c r="AD12967" s="9"/>
      <c r="AF12967" s="10"/>
      <c r="AG12967" s="10"/>
      <c r="AH12967" s="10"/>
      <c r="AI12967" s="10"/>
    </row>
    <row r="12968" spans="28:35" ht="15" hidden="1" customHeight="1">
      <c r="AB12968" s="9"/>
      <c r="AC12968" s="9"/>
      <c r="AD12968" s="9"/>
      <c r="AF12968" s="10"/>
      <c r="AG12968" s="10"/>
      <c r="AH12968" s="10"/>
      <c r="AI12968" s="10"/>
    </row>
    <row r="12969" spans="28:35" ht="15" hidden="1" customHeight="1">
      <c r="AB12969" s="9"/>
      <c r="AC12969" s="9"/>
      <c r="AD12969" s="9"/>
      <c r="AF12969" s="10"/>
      <c r="AG12969" s="10"/>
      <c r="AH12969" s="10"/>
      <c r="AI12969" s="10"/>
    </row>
    <row r="12970" spans="28:35" ht="15" hidden="1" customHeight="1">
      <c r="AB12970" s="9"/>
      <c r="AC12970" s="9"/>
      <c r="AD12970" s="9"/>
      <c r="AF12970" s="10"/>
      <c r="AG12970" s="10"/>
      <c r="AH12970" s="10"/>
      <c r="AI12970" s="10"/>
    </row>
    <row r="12971" spans="28:35" ht="15" hidden="1" customHeight="1">
      <c r="AB12971" s="9"/>
      <c r="AC12971" s="9"/>
      <c r="AD12971" s="9"/>
      <c r="AF12971" s="10"/>
      <c r="AG12971" s="10"/>
      <c r="AH12971" s="10"/>
      <c r="AI12971" s="10"/>
    </row>
    <row r="12972" spans="28:35" ht="15" hidden="1" customHeight="1">
      <c r="AB12972" s="9"/>
      <c r="AC12972" s="9"/>
      <c r="AD12972" s="9"/>
      <c r="AF12972" s="10"/>
      <c r="AG12972" s="10"/>
      <c r="AH12972" s="10"/>
      <c r="AI12972" s="10"/>
    </row>
    <row r="12973" spans="28:35" ht="15" hidden="1" customHeight="1">
      <c r="AB12973" s="9"/>
      <c r="AC12973" s="9"/>
      <c r="AD12973" s="9"/>
      <c r="AF12973" s="10"/>
      <c r="AG12973" s="10"/>
      <c r="AH12973" s="10"/>
      <c r="AI12973" s="10"/>
    </row>
    <row r="12974" spans="28:35" ht="15" hidden="1" customHeight="1">
      <c r="AB12974" s="9"/>
      <c r="AC12974" s="9"/>
      <c r="AD12974" s="9"/>
      <c r="AF12974" s="10"/>
      <c r="AG12974" s="10"/>
      <c r="AH12974" s="10"/>
      <c r="AI12974" s="10"/>
    </row>
    <row r="12975" spans="28:35" ht="15" hidden="1" customHeight="1">
      <c r="AB12975" s="9"/>
      <c r="AC12975" s="9"/>
      <c r="AD12975" s="9"/>
      <c r="AF12975" s="10"/>
      <c r="AG12975" s="10"/>
      <c r="AH12975" s="10"/>
      <c r="AI12975" s="10"/>
    </row>
    <row r="12976" spans="28:35" ht="15" hidden="1" customHeight="1">
      <c r="AB12976" s="9"/>
      <c r="AC12976" s="9"/>
      <c r="AD12976" s="9"/>
      <c r="AF12976" s="10"/>
      <c r="AG12976" s="10"/>
      <c r="AH12976" s="10"/>
      <c r="AI12976" s="10"/>
    </row>
    <row r="12977" spans="28:35" ht="15" hidden="1" customHeight="1">
      <c r="AB12977" s="9"/>
      <c r="AC12977" s="9"/>
      <c r="AD12977" s="9"/>
      <c r="AF12977" s="10"/>
      <c r="AG12977" s="10"/>
      <c r="AH12977" s="10"/>
      <c r="AI12977" s="10"/>
    </row>
    <row r="12978" spans="28:35" ht="15" hidden="1" customHeight="1">
      <c r="AB12978" s="9"/>
      <c r="AC12978" s="9"/>
      <c r="AD12978" s="9"/>
      <c r="AF12978" s="10"/>
      <c r="AG12978" s="10"/>
      <c r="AH12978" s="10"/>
      <c r="AI12978" s="10"/>
    </row>
    <row r="12979" spans="28:35" ht="15" hidden="1" customHeight="1">
      <c r="AB12979" s="9"/>
      <c r="AC12979" s="9"/>
      <c r="AD12979" s="9"/>
      <c r="AF12979" s="10"/>
      <c r="AG12979" s="10"/>
      <c r="AH12979" s="10"/>
      <c r="AI12979" s="10"/>
    </row>
    <row r="12980" spans="28:35" ht="15" hidden="1" customHeight="1">
      <c r="AB12980" s="9"/>
      <c r="AC12980" s="9"/>
      <c r="AD12980" s="9"/>
      <c r="AF12980" s="10"/>
      <c r="AG12980" s="10"/>
      <c r="AH12980" s="10"/>
      <c r="AI12980" s="10"/>
    </row>
    <row r="12981" spans="28:35" ht="15" hidden="1" customHeight="1">
      <c r="AB12981" s="9"/>
      <c r="AC12981" s="9"/>
      <c r="AD12981" s="9"/>
      <c r="AF12981" s="10"/>
      <c r="AG12981" s="10"/>
      <c r="AH12981" s="10"/>
      <c r="AI12981" s="10"/>
    </row>
    <row r="12982" spans="28:35" ht="15" hidden="1" customHeight="1">
      <c r="AB12982" s="9"/>
      <c r="AC12982" s="9"/>
      <c r="AD12982" s="9"/>
      <c r="AF12982" s="10"/>
      <c r="AG12982" s="10"/>
      <c r="AH12982" s="10"/>
      <c r="AI12982" s="10"/>
    </row>
    <row r="12983" spans="28:35" ht="15" hidden="1" customHeight="1">
      <c r="AB12983" s="9"/>
      <c r="AC12983" s="9"/>
      <c r="AD12983" s="9"/>
      <c r="AF12983" s="10"/>
      <c r="AG12983" s="10"/>
      <c r="AH12983" s="10"/>
      <c r="AI12983" s="10"/>
    </row>
    <row r="12984" spans="28:35" ht="15" hidden="1" customHeight="1">
      <c r="AB12984" s="9"/>
      <c r="AC12984" s="9"/>
      <c r="AD12984" s="9"/>
      <c r="AF12984" s="10"/>
      <c r="AG12984" s="10"/>
      <c r="AH12984" s="10"/>
      <c r="AI12984" s="10"/>
    </row>
    <row r="12985" spans="28:35" ht="15" hidden="1" customHeight="1">
      <c r="AB12985" s="9"/>
      <c r="AC12985" s="9"/>
      <c r="AD12985" s="9"/>
      <c r="AF12985" s="10"/>
      <c r="AG12985" s="10"/>
      <c r="AH12985" s="10"/>
      <c r="AI12985" s="10"/>
    </row>
    <row r="12986" spans="28:35" ht="15" hidden="1" customHeight="1">
      <c r="AB12986" s="9"/>
      <c r="AC12986" s="9"/>
      <c r="AD12986" s="9"/>
      <c r="AF12986" s="10"/>
      <c r="AG12986" s="10"/>
      <c r="AH12986" s="10"/>
      <c r="AI12986" s="10"/>
    </row>
    <row r="12987" spans="28:35" ht="15" hidden="1" customHeight="1">
      <c r="AB12987" s="9"/>
      <c r="AC12987" s="9"/>
      <c r="AD12987" s="9"/>
      <c r="AF12987" s="10"/>
      <c r="AG12987" s="10"/>
      <c r="AH12987" s="10"/>
      <c r="AI12987" s="10"/>
    </row>
    <row r="12988" spans="28:35" ht="15" hidden="1" customHeight="1">
      <c r="AB12988" s="9"/>
      <c r="AC12988" s="9"/>
      <c r="AD12988" s="9"/>
      <c r="AF12988" s="10"/>
      <c r="AG12988" s="10"/>
      <c r="AH12988" s="10"/>
      <c r="AI12988" s="10"/>
    </row>
    <row r="12989" spans="28:35" ht="15" hidden="1" customHeight="1">
      <c r="AB12989" s="9"/>
      <c r="AC12989" s="9"/>
      <c r="AD12989" s="9"/>
      <c r="AF12989" s="10"/>
      <c r="AG12989" s="10"/>
      <c r="AH12989" s="10"/>
      <c r="AI12989" s="10"/>
    </row>
    <row r="12990" spans="28:35" ht="15" hidden="1" customHeight="1">
      <c r="AB12990" s="9"/>
      <c r="AC12990" s="9"/>
      <c r="AD12990" s="9"/>
      <c r="AF12990" s="10"/>
      <c r="AG12990" s="10"/>
      <c r="AH12990" s="10"/>
      <c r="AI12990" s="10"/>
    </row>
    <row r="12991" spans="28:35" ht="15" hidden="1" customHeight="1">
      <c r="AB12991" s="9"/>
      <c r="AC12991" s="9"/>
      <c r="AD12991" s="9"/>
      <c r="AF12991" s="10"/>
      <c r="AG12991" s="10"/>
      <c r="AH12991" s="10"/>
      <c r="AI12991" s="10"/>
    </row>
    <row r="12992" spans="28:35" ht="15" hidden="1" customHeight="1">
      <c r="AB12992" s="9"/>
      <c r="AC12992" s="9"/>
      <c r="AD12992" s="9"/>
      <c r="AF12992" s="10"/>
      <c r="AG12992" s="10"/>
      <c r="AH12992" s="10"/>
      <c r="AI12992" s="10"/>
    </row>
    <row r="12993" spans="28:35" ht="15" hidden="1" customHeight="1">
      <c r="AB12993" s="9"/>
      <c r="AC12993" s="9"/>
      <c r="AD12993" s="9"/>
      <c r="AF12993" s="10"/>
      <c r="AG12993" s="10"/>
      <c r="AH12993" s="10"/>
      <c r="AI12993" s="10"/>
    </row>
    <row r="12994" spans="28:35" ht="15" hidden="1" customHeight="1">
      <c r="AB12994" s="9"/>
      <c r="AC12994" s="9"/>
      <c r="AD12994" s="9"/>
      <c r="AF12994" s="10"/>
      <c r="AG12994" s="10"/>
      <c r="AH12994" s="10"/>
      <c r="AI12994" s="10"/>
    </row>
    <row r="12995" spans="28:35" ht="15" hidden="1" customHeight="1">
      <c r="AB12995" s="9"/>
      <c r="AC12995" s="9"/>
      <c r="AD12995" s="9"/>
      <c r="AF12995" s="10"/>
      <c r="AG12995" s="10"/>
      <c r="AH12995" s="10"/>
      <c r="AI12995" s="10"/>
    </row>
    <row r="12996" spans="28:35" ht="15" hidden="1" customHeight="1">
      <c r="AB12996" s="9"/>
      <c r="AC12996" s="9"/>
      <c r="AD12996" s="9"/>
      <c r="AF12996" s="10"/>
      <c r="AG12996" s="10"/>
      <c r="AH12996" s="10"/>
      <c r="AI12996" s="10"/>
    </row>
    <row r="12997" spans="28:35" ht="15" hidden="1" customHeight="1">
      <c r="AB12997" s="9"/>
      <c r="AC12997" s="9"/>
      <c r="AD12997" s="9"/>
      <c r="AF12997" s="10"/>
      <c r="AG12997" s="10"/>
      <c r="AH12997" s="10"/>
      <c r="AI12997" s="10"/>
    </row>
    <row r="12998" spans="28:35" ht="15" hidden="1" customHeight="1">
      <c r="AB12998" s="9"/>
      <c r="AC12998" s="9"/>
      <c r="AD12998" s="9"/>
      <c r="AF12998" s="10"/>
      <c r="AG12998" s="10"/>
      <c r="AH12998" s="10"/>
      <c r="AI12998" s="10"/>
    </row>
    <row r="12999" spans="28:35" ht="15" hidden="1" customHeight="1">
      <c r="AB12999" s="9"/>
      <c r="AC12999" s="9"/>
      <c r="AD12999" s="9"/>
      <c r="AF12999" s="10"/>
      <c r="AG12999" s="10"/>
      <c r="AH12999" s="10"/>
      <c r="AI12999" s="10"/>
    </row>
    <row r="13000" spans="28:35" ht="15" hidden="1" customHeight="1">
      <c r="AB13000" s="9"/>
      <c r="AC13000" s="9"/>
      <c r="AD13000" s="9"/>
      <c r="AF13000" s="10"/>
      <c r="AG13000" s="10"/>
      <c r="AH13000" s="10"/>
      <c r="AI13000" s="10"/>
    </row>
    <row r="13001" spans="28:35" ht="15" hidden="1" customHeight="1">
      <c r="AB13001" s="9"/>
      <c r="AC13001" s="9"/>
      <c r="AD13001" s="9"/>
      <c r="AF13001" s="10"/>
      <c r="AG13001" s="10"/>
      <c r="AH13001" s="10"/>
      <c r="AI13001" s="10"/>
    </row>
    <row r="13002" spans="28:35" ht="15" hidden="1" customHeight="1">
      <c r="AB13002" s="9"/>
      <c r="AC13002" s="9"/>
      <c r="AD13002" s="9"/>
      <c r="AF13002" s="10"/>
      <c r="AG13002" s="10"/>
      <c r="AH13002" s="10"/>
      <c r="AI13002" s="10"/>
    </row>
    <row r="13003" spans="28:35" ht="15" hidden="1" customHeight="1">
      <c r="AB13003" s="9"/>
      <c r="AC13003" s="9"/>
      <c r="AD13003" s="9"/>
      <c r="AF13003" s="10"/>
      <c r="AG13003" s="10"/>
      <c r="AH13003" s="10"/>
      <c r="AI13003" s="10"/>
    </row>
    <row r="13004" spans="28:35" ht="15" hidden="1" customHeight="1">
      <c r="AB13004" s="9"/>
      <c r="AC13004" s="9"/>
      <c r="AD13004" s="9"/>
      <c r="AF13004" s="10"/>
      <c r="AG13004" s="10"/>
      <c r="AH13004" s="10"/>
      <c r="AI13004" s="10"/>
    </row>
    <row r="13005" spans="28:35" ht="15" hidden="1" customHeight="1">
      <c r="AB13005" s="9"/>
      <c r="AC13005" s="9"/>
      <c r="AD13005" s="9"/>
      <c r="AF13005" s="10"/>
      <c r="AG13005" s="10"/>
      <c r="AH13005" s="10"/>
      <c r="AI13005" s="10"/>
    </row>
    <row r="13006" spans="28:35" ht="15" hidden="1" customHeight="1">
      <c r="AB13006" s="9"/>
      <c r="AC13006" s="9"/>
      <c r="AD13006" s="9"/>
      <c r="AF13006" s="10"/>
      <c r="AG13006" s="10"/>
      <c r="AH13006" s="10"/>
      <c r="AI13006" s="10"/>
    </row>
    <row r="13007" spans="28:35" ht="15" hidden="1" customHeight="1">
      <c r="AB13007" s="9"/>
      <c r="AC13007" s="9"/>
      <c r="AD13007" s="9"/>
      <c r="AF13007" s="10"/>
      <c r="AG13007" s="10"/>
      <c r="AH13007" s="10"/>
      <c r="AI13007" s="10"/>
    </row>
    <row r="13008" spans="28:35" ht="15" hidden="1" customHeight="1">
      <c r="AB13008" s="9"/>
      <c r="AC13008" s="9"/>
      <c r="AD13008" s="9"/>
      <c r="AF13008" s="10"/>
      <c r="AG13008" s="10"/>
      <c r="AH13008" s="10"/>
      <c r="AI13008" s="10"/>
    </row>
    <row r="13009" spans="28:35" ht="15" hidden="1" customHeight="1">
      <c r="AB13009" s="9"/>
      <c r="AC13009" s="9"/>
      <c r="AD13009" s="9"/>
      <c r="AF13009" s="10"/>
      <c r="AG13009" s="10"/>
      <c r="AH13009" s="10"/>
      <c r="AI13009" s="10"/>
    </row>
    <row r="13010" spans="28:35" ht="15" hidden="1" customHeight="1">
      <c r="AB13010" s="9"/>
      <c r="AC13010" s="9"/>
      <c r="AD13010" s="9"/>
      <c r="AF13010" s="10"/>
      <c r="AG13010" s="10"/>
      <c r="AH13010" s="10"/>
      <c r="AI13010" s="10"/>
    </row>
    <row r="13011" spans="28:35" ht="15" hidden="1" customHeight="1">
      <c r="AB13011" s="9"/>
      <c r="AC13011" s="9"/>
      <c r="AD13011" s="9"/>
      <c r="AF13011" s="10"/>
      <c r="AG13011" s="10"/>
      <c r="AH13011" s="10"/>
      <c r="AI13011" s="10"/>
    </row>
    <row r="13012" spans="28:35" ht="15" hidden="1" customHeight="1">
      <c r="AB13012" s="9"/>
      <c r="AC13012" s="9"/>
      <c r="AD13012" s="9"/>
      <c r="AF13012" s="10"/>
      <c r="AG13012" s="10"/>
      <c r="AH13012" s="10"/>
      <c r="AI13012" s="10"/>
    </row>
    <row r="13013" spans="28:35" ht="15" hidden="1" customHeight="1">
      <c r="AB13013" s="9"/>
      <c r="AC13013" s="9"/>
      <c r="AD13013" s="9"/>
      <c r="AF13013" s="10"/>
      <c r="AG13013" s="10"/>
      <c r="AH13013" s="10"/>
      <c r="AI13013" s="10"/>
    </row>
    <row r="13014" spans="28:35" ht="15" hidden="1" customHeight="1">
      <c r="AB13014" s="9"/>
      <c r="AC13014" s="9"/>
      <c r="AD13014" s="9"/>
      <c r="AF13014" s="10"/>
      <c r="AG13014" s="10"/>
      <c r="AH13014" s="10"/>
      <c r="AI13014" s="10"/>
    </row>
    <row r="13015" spans="28:35" ht="15" hidden="1" customHeight="1">
      <c r="AB13015" s="9"/>
      <c r="AC13015" s="9"/>
      <c r="AD13015" s="9"/>
      <c r="AF13015" s="10"/>
      <c r="AG13015" s="10"/>
      <c r="AH13015" s="10"/>
      <c r="AI13015" s="10"/>
    </row>
    <row r="13016" spans="28:35" ht="15" hidden="1" customHeight="1">
      <c r="AB13016" s="9"/>
      <c r="AC13016" s="9"/>
      <c r="AD13016" s="9"/>
      <c r="AF13016" s="10"/>
      <c r="AG13016" s="10"/>
      <c r="AH13016" s="10"/>
      <c r="AI13016" s="10"/>
    </row>
    <row r="13017" spans="28:35" ht="15" hidden="1" customHeight="1">
      <c r="AB13017" s="9"/>
      <c r="AC13017" s="9"/>
      <c r="AD13017" s="9"/>
      <c r="AF13017" s="10"/>
      <c r="AG13017" s="10"/>
      <c r="AH13017" s="10"/>
      <c r="AI13017" s="10"/>
    </row>
    <row r="13018" spans="28:35" ht="15" hidden="1" customHeight="1">
      <c r="AB13018" s="9"/>
      <c r="AC13018" s="9"/>
      <c r="AD13018" s="9"/>
      <c r="AF13018" s="10"/>
      <c r="AG13018" s="10"/>
      <c r="AH13018" s="10"/>
      <c r="AI13018" s="10"/>
    </row>
    <row r="13019" spans="28:35" ht="15" hidden="1" customHeight="1">
      <c r="AB13019" s="9"/>
      <c r="AC13019" s="9"/>
      <c r="AD13019" s="9"/>
      <c r="AF13019" s="10"/>
      <c r="AG13019" s="10"/>
      <c r="AH13019" s="10"/>
      <c r="AI13019" s="10"/>
    </row>
    <row r="13020" spans="28:35" ht="15" hidden="1" customHeight="1">
      <c r="AB13020" s="9"/>
      <c r="AC13020" s="9"/>
      <c r="AD13020" s="9"/>
      <c r="AF13020" s="10"/>
      <c r="AG13020" s="10"/>
      <c r="AH13020" s="10"/>
      <c r="AI13020" s="10"/>
    </row>
    <row r="13021" spans="28:35" ht="15" hidden="1" customHeight="1">
      <c r="AB13021" s="9"/>
      <c r="AC13021" s="9"/>
      <c r="AD13021" s="9"/>
      <c r="AF13021" s="10"/>
      <c r="AG13021" s="10"/>
      <c r="AH13021" s="10"/>
      <c r="AI13021" s="10"/>
    </row>
    <row r="13022" spans="28:35" ht="15" hidden="1" customHeight="1">
      <c r="AB13022" s="9"/>
      <c r="AC13022" s="9"/>
      <c r="AD13022" s="9"/>
      <c r="AF13022" s="10"/>
      <c r="AG13022" s="10"/>
      <c r="AH13022" s="10"/>
      <c r="AI13022" s="10"/>
    </row>
    <row r="13023" spans="28:35" ht="15" hidden="1" customHeight="1">
      <c r="AB13023" s="9"/>
      <c r="AC13023" s="9"/>
      <c r="AD13023" s="9"/>
      <c r="AF13023" s="10"/>
      <c r="AG13023" s="10"/>
      <c r="AH13023" s="10"/>
      <c r="AI13023" s="10"/>
    </row>
    <row r="13024" spans="28:35" ht="15" hidden="1" customHeight="1">
      <c r="AB13024" s="9"/>
      <c r="AC13024" s="9"/>
      <c r="AD13024" s="9"/>
      <c r="AF13024" s="10"/>
      <c r="AG13024" s="10"/>
      <c r="AH13024" s="10"/>
      <c r="AI13024" s="10"/>
    </row>
    <row r="13025" spans="28:35" ht="15" hidden="1" customHeight="1">
      <c r="AB13025" s="9"/>
      <c r="AC13025" s="9"/>
      <c r="AD13025" s="9"/>
      <c r="AF13025" s="10"/>
      <c r="AG13025" s="10"/>
      <c r="AH13025" s="10"/>
      <c r="AI13025" s="10"/>
    </row>
    <row r="13026" spans="28:35" ht="15" hidden="1" customHeight="1">
      <c r="AB13026" s="9"/>
      <c r="AC13026" s="9"/>
      <c r="AD13026" s="9"/>
      <c r="AF13026" s="10"/>
      <c r="AG13026" s="10"/>
      <c r="AH13026" s="10"/>
      <c r="AI13026" s="10"/>
    </row>
    <row r="13027" spans="28:35" ht="15" hidden="1" customHeight="1">
      <c r="AB13027" s="9"/>
      <c r="AC13027" s="9"/>
      <c r="AD13027" s="9"/>
      <c r="AF13027" s="10"/>
      <c r="AG13027" s="10"/>
      <c r="AH13027" s="10"/>
      <c r="AI13027" s="10"/>
    </row>
    <row r="13028" spans="28:35" ht="15" hidden="1" customHeight="1">
      <c r="AB13028" s="9"/>
      <c r="AC13028" s="9"/>
      <c r="AD13028" s="9"/>
      <c r="AF13028" s="10"/>
      <c r="AG13028" s="10"/>
      <c r="AH13028" s="10"/>
      <c r="AI13028" s="10"/>
    </row>
    <row r="13029" spans="28:35" ht="15" hidden="1" customHeight="1">
      <c r="AB13029" s="9"/>
      <c r="AC13029" s="9"/>
      <c r="AD13029" s="9"/>
      <c r="AF13029" s="10"/>
      <c r="AG13029" s="10"/>
      <c r="AH13029" s="10"/>
      <c r="AI13029" s="10"/>
    </row>
    <row r="13030" spans="28:35" ht="15" hidden="1" customHeight="1">
      <c r="AB13030" s="9"/>
      <c r="AC13030" s="9"/>
      <c r="AD13030" s="9"/>
      <c r="AF13030" s="10"/>
      <c r="AG13030" s="10"/>
      <c r="AH13030" s="10"/>
      <c r="AI13030" s="10"/>
    </row>
    <row r="13031" spans="28:35" ht="15" hidden="1" customHeight="1">
      <c r="AB13031" s="9"/>
      <c r="AC13031" s="9"/>
      <c r="AD13031" s="9"/>
      <c r="AF13031" s="10"/>
      <c r="AG13031" s="10"/>
      <c r="AH13031" s="10"/>
      <c r="AI13031" s="10"/>
    </row>
    <row r="13032" spans="28:35" ht="15" hidden="1" customHeight="1">
      <c r="AB13032" s="9"/>
      <c r="AC13032" s="9"/>
      <c r="AD13032" s="9"/>
      <c r="AF13032" s="10"/>
      <c r="AG13032" s="10"/>
      <c r="AH13032" s="10"/>
      <c r="AI13032" s="10"/>
    </row>
    <row r="13033" spans="28:35" ht="15" hidden="1" customHeight="1">
      <c r="AB13033" s="9"/>
      <c r="AC13033" s="9"/>
      <c r="AD13033" s="9"/>
      <c r="AF13033" s="10"/>
      <c r="AG13033" s="10"/>
      <c r="AH13033" s="10"/>
      <c r="AI13033" s="10"/>
    </row>
    <row r="13034" spans="28:35" ht="15" hidden="1" customHeight="1">
      <c r="AB13034" s="9"/>
      <c r="AC13034" s="9"/>
      <c r="AD13034" s="9"/>
      <c r="AF13034" s="10"/>
      <c r="AG13034" s="10"/>
      <c r="AH13034" s="10"/>
      <c r="AI13034" s="10"/>
    </row>
    <row r="13035" spans="28:35" ht="15" hidden="1" customHeight="1">
      <c r="AB13035" s="9"/>
      <c r="AC13035" s="9"/>
      <c r="AD13035" s="9"/>
      <c r="AF13035" s="10"/>
      <c r="AG13035" s="10"/>
      <c r="AH13035" s="10"/>
      <c r="AI13035" s="10"/>
    </row>
    <row r="13036" spans="28:35" ht="15" hidden="1" customHeight="1">
      <c r="AB13036" s="9"/>
      <c r="AC13036" s="9"/>
      <c r="AD13036" s="9"/>
      <c r="AF13036" s="10"/>
      <c r="AG13036" s="10"/>
      <c r="AH13036" s="10"/>
      <c r="AI13036" s="10"/>
    </row>
    <row r="13037" spans="28:35" ht="15" hidden="1" customHeight="1">
      <c r="AB13037" s="9"/>
      <c r="AC13037" s="9"/>
      <c r="AD13037" s="9"/>
      <c r="AF13037" s="10"/>
      <c r="AG13037" s="10"/>
      <c r="AH13037" s="10"/>
      <c r="AI13037" s="10"/>
    </row>
    <row r="13038" spans="28:35" ht="15" hidden="1" customHeight="1">
      <c r="AB13038" s="9"/>
      <c r="AC13038" s="9"/>
      <c r="AD13038" s="9"/>
      <c r="AF13038" s="10"/>
      <c r="AG13038" s="10"/>
      <c r="AH13038" s="10"/>
      <c r="AI13038" s="10"/>
    </row>
    <row r="13039" spans="28:35" ht="15" hidden="1" customHeight="1">
      <c r="AB13039" s="9"/>
      <c r="AC13039" s="9"/>
      <c r="AD13039" s="9"/>
      <c r="AF13039" s="10"/>
      <c r="AG13039" s="10"/>
      <c r="AH13039" s="10"/>
      <c r="AI13039" s="10"/>
    </row>
    <row r="13040" spans="28:35" ht="15" hidden="1" customHeight="1">
      <c r="AB13040" s="9"/>
      <c r="AC13040" s="9"/>
      <c r="AD13040" s="9"/>
      <c r="AF13040" s="10"/>
      <c r="AG13040" s="10"/>
      <c r="AH13040" s="10"/>
      <c r="AI13040" s="10"/>
    </row>
    <row r="13041" spans="28:35" ht="15" hidden="1" customHeight="1">
      <c r="AB13041" s="9"/>
      <c r="AC13041" s="9"/>
      <c r="AD13041" s="9"/>
      <c r="AF13041" s="10"/>
      <c r="AG13041" s="10"/>
      <c r="AH13041" s="10"/>
      <c r="AI13041" s="10"/>
    </row>
    <row r="13042" spans="28:35" ht="15" hidden="1" customHeight="1">
      <c r="AB13042" s="9"/>
      <c r="AC13042" s="9"/>
      <c r="AD13042" s="9"/>
      <c r="AF13042" s="10"/>
      <c r="AG13042" s="10"/>
      <c r="AH13042" s="10"/>
      <c r="AI13042" s="10"/>
    </row>
    <row r="13043" spans="28:35" ht="15" hidden="1" customHeight="1">
      <c r="AB13043" s="9"/>
      <c r="AC13043" s="9"/>
      <c r="AD13043" s="9"/>
      <c r="AF13043" s="10"/>
      <c r="AG13043" s="10"/>
      <c r="AH13043" s="10"/>
      <c r="AI13043" s="10"/>
    </row>
    <row r="13044" spans="28:35" ht="15" hidden="1" customHeight="1">
      <c r="AB13044" s="9"/>
      <c r="AC13044" s="9"/>
      <c r="AD13044" s="9"/>
      <c r="AF13044" s="10"/>
      <c r="AG13044" s="10"/>
      <c r="AH13044" s="10"/>
      <c r="AI13044" s="10"/>
    </row>
    <row r="13045" spans="28:35" ht="15" hidden="1" customHeight="1">
      <c r="AB13045" s="9"/>
      <c r="AC13045" s="9"/>
      <c r="AD13045" s="9"/>
      <c r="AF13045" s="10"/>
      <c r="AG13045" s="10"/>
      <c r="AH13045" s="10"/>
      <c r="AI13045" s="10"/>
    </row>
    <row r="13046" spans="28:35" ht="15" hidden="1" customHeight="1">
      <c r="AB13046" s="9"/>
      <c r="AC13046" s="9"/>
      <c r="AD13046" s="9"/>
      <c r="AF13046" s="10"/>
      <c r="AG13046" s="10"/>
      <c r="AH13046" s="10"/>
      <c r="AI13046" s="10"/>
    </row>
    <row r="13047" spans="28:35" ht="15" hidden="1" customHeight="1">
      <c r="AB13047" s="9"/>
      <c r="AC13047" s="9"/>
      <c r="AD13047" s="9"/>
      <c r="AF13047" s="10"/>
      <c r="AG13047" s="10"/>
      <c r="AH13047" s="10"/>
      <c r="AI13047" s="10"/>
    </row>
    <row r="13048" spans="28:35" ht="15" hidden="1" customHeight="1">
      <c r="AB13048" s="9"/>
      <c r="AC13048" s="9"/>
      <c r="AD13048" s="9"/>
      <c r="AF13048" s="10"/>
      <c r="AG13048" s="10"/>
      <c r="AH13048" s="10"/>
      <c r="AI13048" s="10"/>
    </row>
    <row r="13049" spans="28:35" ht="15" hidden="1" customHeight="1">
      <c r="AB13049" s="9"/>
      <c r="AC13049" s="9"/>
      <c r="AD13049" s="9"/>
      <c r="AF13049" s="10"/>
      <c r="AG13049" s="10"/>
      <c r="AH13049" s="10"/>
      <c r="AI13049" s="10"/>
    </row>
    <row r="13050" spans="28:35" ht="15" hidden="1" customHeight="1">
      <c r="AB13050" s="9"/>
      <c r="AC13050" s="9"/>
      <c r="AD13050" s="9"/>
      <c r="AF13050" s="10"/>
      <c r="AG13050" s="10"/>
      <c r="AH13050" s="10"/>
      <c r="AI13050" s="10"/>
    </row>
    <row r="13051" spans="28:35" ht="15" hidden="1" customHeight="1">
      <c r="AB13051" s="9"/>
      <c r="AC13051" s="9"/>
      <c r="AD13051" s="9"/>
      <c r="AF13051" s="10"/>
      <c r="AG13051" s="10"/>
      <c r="AH13051" s="10"/>
      <c r="AI13051" s="10"/>
    </row>
    <row r="13052" spans="28:35" ht="15" hidden="1" customHeight="1">
      <c r="AB13052" s="9"/>
      <c r="AC13052" s="9"/>
      <c r="AD13052" s="9"/>
      <c r="AF13052" s="10"/>
      <c r="AG13052" s="10"/>
      <c r="AH13052" s="10"/>
      <c r="AI13052" s="10"/>
    </row>
    <row r="13053" spans="28:35" ht="15" hidden="1" customHeight="1">
      <c r="AB13053" s="9"/>
      <c r="AC13053" s="9"/>
      <c r="AD13053" s="9"/>
      <c r="AF13053" s="10"/>
      <c r="AG13053" s="10"/>
      <c r="AH13053" s="10"/>
      <c r="AI13053" s="10"/>
    </row>
    <row r="13054" spans="28:35" ht="15" hidden="1" customHeight="1">
      <c r="AB13054" s="9"/>
      <c r="AC13054" s="9"/>
      <c r="AD13054" s="9"/>
      <c r="AF13054" s="10"/>
      <c r="AG13054" s="10"/>
      <c r="AH13054" s="10"/>
      <c r="AI13054" s="10"/>
    </row>
    <row r="13055" spans="28:35" ht="15" hidden="1" customHeight="1">
      <c r="AB13055" s="9"/>
      <c r="AC13055" s="9"/>
      <c r="AD13055" s="9"/>
      <c r="AF13055" s="10"/>
      <c r="AG13055" s="10"/>
      <c r="AH13055" s="10"/>
      <c r="AI13055" s="10"/>
    </row>
    <row r="13056" spans="28:35" ht="15" hidden="1" customHeight="1">
      <c r="AB13056" s="9"/>
      <c r="AC13056" s="9"/>
      <c r="AD13056" s="9"/>
      <c r="AF13056" s="10"/>
      <c r="AG13056" s="10"/>
      <c r="AH13056" s="10"/>
      <c r="AI13056" s="10"/>
    </row>
    <row r="13057" spans="28:35" ht="15" hidden="1" customHeight="1">
      <c r="AB13057" s="9"/>
      <c r="AC13057" s="9"/>
      <c r="AD13057" s="9"/>
      <c r="AF13057" s="10"/>
      <c r="AG13057" s="10"/>
      <c r="AH13057" s="10"/>
      <c r="AI13057" s="10"/>
    </row>
    <row r="13058" spans="28:35" ht="15" hidden="1" customHeight="1">
      <c r="AB13058" s="9"/>
      <c r="AC13058" s="9"/>
      <c r="AD13058" s="9"/>
      <c r="AF13058" s="10"/>
      <c r="AG13058" s="10"/>
      <c r="AH13058" s="10"/>
      <c r="AI13058" s="10"/>
    </row>
    <row r="13059" spans="28:35" ht="15" hidden="1" customHeight="1">
      <c r="AB13059" s="9"/>
      <c r="AC13059" s="9"/>
      <c r="AD13059" s="9"/>
      <c r="AF13059" s="10"/>
      <c r="AG13059" s="10"/>
      <c r="AH13059" s="10"/>
      <c r="AI13059" s="10"/>
    </row>
    <row r="13060" spans="28:35" ht="15" hidden="1" customHeight="1">
      <c r="AB13060" s="9"/>
      <c r="AC13060" s="9"/>
      <c r="AD13060" s="9"/>
      <c r="AF13060" s="10"/>
      <c r="AG13060" s="10"/>
      <c r="AH13060" s="10"/>
      <c r="AI13060" s="10"/>
    </row>
    <row r="13061" spans="28:35" ht="15" hidden="1" customHeight="1">
      <c r="AB13061" s="9"/>
      <c r="AC13061" s="9"/>
      <c r="AD13061" s="9"/>
      <c r="AF13061" s="10"/>
      <c r="AG13061" s="10"/>
      <c r="AH13061" s="10"/>
      <c r="AI13061" s="10"/>
    </row>
    <row r="13062" spans="28:35" ht="15" hidden="1" customHeight="1">
      <c r="AB13062" s="9"/>
      <c r="AC13062" s="9"/>
      <c r="AD13062" s="9"/>
      <c r="AF13062" s="10"/>
      <c r="AG13062" s="10"/>
      <c r="AH13062" s="10"/>
      <c r="AI13062" s="10"/>
    </row>
    <row r="13063" spans="28:35" ht="15" hidden="1" customHeight="1">
      <c r="AB13063" s="9"/>
      <c r="AC13063" s="9"/>
      <c r="AD13063" s="9"/>
      <c r="AF13063" s="10"/>
      <c r="AG13063" s="10"/>
      <c r="AH13063" s="10"/>
      <c r="AI13063" s="10"/>
    </row>
    <row r="13064" spans="28:35" ht="15" hidden="1" customHeight="1">
      <c r="AB13064" s="9"/>
      <c r="AC13064" s="9"/>
      <c r="AD13064" s="9"/>
      <c r="AF13064" s="10"/>
      <c r="AG13064" s="10"/>
      <c r="AH13064" s="10"/>
      <c r="AI13064" s="10"/>
    </row>
    <row r="13065" spans="28:35" ht="15" hidden="1" customHeight="1">
      <c r="AB13065" s="9"/>
      <c r="AC13065" s="9"/>
      <c r="AD13065" s="9"/>
      <c r="AF13065" s="10"/>
      <c r="AG13065" s="10"/>
      <c r="AH13065" s="10"/>
      <c r="AI13065" s="10"/>
    </row>
    <row r="13066" spans="28:35" ht="15" hidden="1" customHeight="1">
      <c r="AB13066" s="9"/>
      <c r="AC13066" s="9"/>
      <c r="AD13066" s="9"/>
      <c r="AF13066" s="10"/>
      <c r="AG13066" s="10"/>
      <c r="AH13066" s="10"/>
      <c r="AI13066" s="10"/>
    </row>
    <row r="13067" spans="28:35" ht="15" hidden="1" customHeight="1">
      <c r="AB13067" s="9"/>
      <c r="AC13067" s="9"/>
      <c r="AD13067" s="9"/>
      <c r="AF13067" s="10"/>
      <c r="AG13067" s="10"/>
      <c r="AH13067" s="10"/>
      <c r="AI13067" s="10"/>
    </row>
    <row r="13068" spans="28:35" ht="15" hidden="1" customHeight="1">
      <c r="AB13068" s="9"/>
      <c r="AC13068" s="9"/>
      <c r="AD13068" s="9"/>
      <c r="AF13068" s="10"/>
      <c r="AG13068" s="10"/>
      <c r="AH13068" s="10"/>
      <c r="AI13068" s="10"/>
    </row>
    <row r="13069" spans="28:35" ht="15" hidden="1" customHeight="1">
      <c r="AB13069" s="9"/>
      <c r="AC13069" s="9"/>
      <c r="AD13069" s="9"/>
      <c r="AF13069" s="10"/>
      <c r="AG13069" s="10"/>
      <c r="AH13069" s="10"/>
      <c r="AI13069" s="10"/>
    </row>
    <row r="13070" spans="28:35" ht="15" hidden="1" customHeight="1">
      <c r="AB13070" s="9"/>
      <c r="AC13070" s="9"/>
      <c r="AD13070" s="9"/>
      <c r="AF13070" s="10"/>
      <c r="AG13070" s="10"/>
      <c r="AH13070" s="10"/>
      <c r="AI13070" s="10"/>
    </row>
    <row r="13071" spans="28:35" ht="15" hidden="1" customHeight="1">
      <c r="AB13071" s="9"/>
      <c r="AC13071" s="9"/>
      <c r="AD13071" s="9"/>
      <c r="AF13071" s="10"/>
      <c r="AG13071" s="10"/>
      <c r="AH13071" s="10"/>
      <c r="AI13071" s="10"/>
    </row>
    <row r="13072" spans="28:35" ht="15" hidden="1" customHeight="1">
      <c r="AB13072" s="9"/>
      <c r="AC13072" s="9"/>
      <c r="AD13072" s="9"/>
      <c r="AF13072" s="10"/>
      <c r="AG13072" s="10"/>
      <c r="AH13072" s="10"/>
      <c r="AI13072" s="10"/>
    </row>
    <row r="13073" spans="28:35" ht="15" hidden="1" customHeight="1">
      <c r="AB13073" s="9"/>
      <c r="AC13073" s="9"/>
      <c r="AD13073" s="9"/>
      <c r="AF13073" s="10"/>
      <c r="AG13073" s="10"/>
      <c r="AH13073" s="10"/>
      <c r="AI13073" s="10"/>
    </row>
    <row r="13074" spans="28:35" ht="15" hidden="1" customHeight="1">
      <c r="AB13074" s="9"/>
      <c r="AC13074" s="9"/>
      <c r="AD13074" s="9"/>
      <c r="AF13074" s="10"/>
      <c r="AG13074" s="10"/>
      <c r="AH13074" s="10"/>
      <c r="AI13074" s="10"/>
    </row>
    <row r="13075" spans="28:35" ht="15" hidden="1" customHeight="1">
      <c r="AB13075" s="9"/>
      <c r="AC13075" s="9"/>
      <c r="AD13075" s="9"/>
      <c r="AF13075" s="10"/>
      <c r="AG13075" s="10"/>
      <c r="AH13075" s="10"/>
      <c r="AI13075" s="10"/>
    </row>
    <row r="13076" spans="28:35" ht="15" hidden="1" customHeight="1">
      <c r="AB13076" s="9"/>
      <c r="AC13076" s="9"/>
      <c r="AD13076" s="9"/>
      <c r="AF13076" s="10"/>
      <c r="AG13076" s="10"/>
      <c r="AH13076" s="10"/>
      <c r="AI13076" s="10"/>
    </row>
    <row r="13077" spans="28:35" ht="15" hidden="1" customHeight="1">
      <c r="AB13077" s="9"/>
      <c r="AC13077" s="9"/>
      <c r="AD13077" s="9"/>
      <c r="AF13077" s="10"/>
      <c r="AG13077" s="10"/>
      <c r="AH13077" s="10"/>
      <c r="AI13077" s="10"/>
    </row>
    <row r="13078" spans="28:35" ht="15" hidden="1" customHeight="1">
      <c r="AB13078" s="9"/>
      <c r="AC13078" s="9"/>
      <c r="AD13078" s="9"/>
      <c r="AF13078" s="10"/>
      <c r="AG13078" s="10"/>
      <c r="AH13078" s="10"/>
      <c r="AI13078" s="10"/>
    </row>
    <row r="13079" spans="28:35" ht="15" hidden="1" customHeight="1">
      <c r="AB13079" s="9"/>
      <c r="AC13079" s="9"/>
      <c r="AD13079" s="9"/>
      <c r="AF13079" s="10"/>
      <c r="AG13079" s="10"/>
      <c r="AH13079" s="10"/>
      <c r="AI13079" s="10"/>
    </row>
    <row r="13080" spans="28:35" ht="15" hidden="1" customHeight="1">
      <c r="AB13080" s="9"/>
      <c r="AC13080" s="9"/>
      <c r="AD13080" s="9"/>
      <c r="AF13080" s="10"/>
      <c r="AG13080" s="10"/>
      <c r="AH13080" s="10"/>
      <c r="AI13080" s="10"/>
    </row>
    <row r="13081" spans="28:35" ht="15" hidden="1" customHeight="1">
      <c r="AB13081" s="9"/>
      <c r="AC13081" s="9"/>
      <c r="AD13081" s="9"/>
      <c r="AF13081" s="10"/>
      <c r="AG13081" s="10"/>
      <c r="AH13081" s="10"/>
      <c r="AI13081" s="10"/>
    </row>
    <row r="13082" spans="28:35" ht="15" hidden="1" customHeight="1">
      <c r="AB13082" s="9"/>
      <c r="AC13082" s="9"/>
      <c r="AD13082" s="9"/>
      <c r="AF13082" s="10"/>
      <c r="AG13082" s="10"/>
      <c r="AH13082" s="10"/>
      <c r="AI13082" s="10"/>
    </row>
    <row r="13083" spans="28:35" ht="15" hidden="1" customHeight="1">
      <c r="AB13083" s="9"/>
      <c r="AC13083" s="9"/>
      <c r="AD13083" s="9"/>
      <c r="AF13083" s="10"/>
      <c r="AG13083" s="10"/>
      <c r="AH13083" s="10"/>
      <c r="AI13083" s="10"/>
    </row>
    <row r="13084" spans="28:35" ht="15" hidden="1" customHeight="1">
      <c r="AB13084" s="9"/>
      <c r="AC13084" s="9"/>
      <c r="AD13084" s="9"/>
      <c r="AF13084" s="10"/>
      <c r="AG13084" s="10"/>
      <c r="AH13084" s="10"/>
      <c r="AI13084" s="10"/>
    </row>
    <row r="13085" spans="28:35" ht="15" hidden="1" customHeight="1">
      <c r="AB13085" s="9"/>
      <c r="AC13085" s="9"/>
      <c r="AD13085" s="9"/>
      <c r="AF13085" s="10"/>
      <c r="AG13085" s="10"/>
      <c r="AH13085" s="10"/>
      <c r="AI13085" s="10"/>
    </row>
    <row r="13086" spans="28:35" ht="15" hidden="1" customHeight="1">
      <c r="AB13086" s="9"/>
      <c r="AC13086" s="9"/>
      <c r="AD13086" s="9"/>
      <c r="AF13086" s="10"/>
      <c r="AG13086" s="10"/>
      <c r="AH13086" s="10"/>
      <c r="AI13086" s="10"/>
    </row>
    <row r="13087" spans="28:35" ht="15" hidden="1" customHeight="1">
      <c r="AB13087" s="9"/>
      <c r="AC13087" s="9"/>
      <c r="AD13087" s="9"/>
      <c r="AF13087" s="10"/>
      <c r="AG13087" s="10"/>
      <c r="AH13087" s="10"/>
      <c r="AI13087" s="10"/>
    </row>
    <row r="13088" spans="28:35" ht="15" hidden="1" customHeight="1">
      <c r="AB13088" s="9"/>
      <c r="AC13088" s="9"/>
      <c r="AD13088" s="9"/>
      <c r="AF13088" s="10"/>
      <c r="AG13088" s="10"/>
      <c r="AH13088" s="10"/>
      <c r="AI13088" s="10"/>
    </row>
    <row r="13089" spans="28:35" ht="15" hidden="1" customHeight="1">
      <c r="AB13089" s="9"/>
      <c r="AC13089" s="9"/>
      <c r="AD13089" s="9"/>
      <c r="AF13089" s="10"/>
      <c r="AG13089" s="10"/>
      <c r="AH13089" s="10"/>
      <c r="AI13089" s="10"/>
    </row>
    <row r="13090" spans="28:35" ht="15" hidden="1" customHeight="1">
      <c r="AB13090" s="9"/>
      <c r="AC13090" s="9"/>
      <c r="AD13090" s="9"/>
      <c r="AF13090" s="10"/>
      <c r="AG13090" s="10"/>
      <c r="AH13090" s="10"/>
      <c r="AI13090" s="10"/>
    </row>
    <row r="13091" spans="28:35" ht="15" hidden="1" customHeight="1">
      <c r="AB13091" s="9"/>
      <c r="AC13091" s="9"/>
      <c r="AD13091" s="9"/>
      <c r="AF13091" s="10"/>
      <c r="AG13091" s="10"/>
      <c r="AH13091" s="10"/>
      <c r="AI13091" s="10"/>
    </row>
    <row r="13092" spans="28:35" ht="15" hidden="1" customHeight="1">
      <c r="AB13092" s="9"/>
      <c r="AC13092" s="9"/>
      <c r="AD13092" s="9"/>
      <c r="AF13092" s="10"/>
      <c r="AG13092" s="10"/>
      <c r="AH13092" s="10"/>
      <c r="AI13092" s="10"/>
    </row>
    <row r="13093" spans="28:35" ht="15" hidden="1" customHeight="1">
      <c r="AB13093" s="9"/>
      <c r="AC13093" s="9"/>
      <c r="AD13093" s="9"/>
      <c r="AF13093" s="10"/>
      <c r="AG13093" s="10"/>
      <c r="AH13093" s="10"/>
      <c r="AI13093" s="10"/>
    </row>
    <row r="13094" spans="28:35" ht="15" hidden="1" customHeight="1">
      <c r="AB13094" s="9"/>
      <c r="AC13094" s="9"/>
      <c r="AD13094" s="9"/>
      <c r="AF13094" s="10"/>
      <c r="AG13094" s="10"/>
      <c r="AH13094" s="10"/>
      <c r="AI13094" s="10"/>
    </row>
    <row r="13095" spans="28:35" ht="15" hidden="1" customHeight="1">
      <c r="AB13095" s="9"/>
      <c r="AC13095" s="9"/>
      <c r="AD13095" s="9"/>
      <c r="AF13095" s="10"/>
      <c r="AG13095" s="10"/>
      <c r="AH13095" s="10"/>
      <c r="AI13095" s="10"/>
    </row>
    <row r="13096" spans="28:35" ht="15" hidden="1" customHeight="1">
      <c r="AB13096" s="9"/>
      <c r="AC13096" s="9"/>
      <c r="AD13096" s="9"/>
      <c r="AF13096" s="10"/>
      <c r="AG13096" s="10"/>
      <c r="AH13096" s="10"/>
      <c r="AI13096" s="10"/>
    </row>
    <row r="13097" spans="28:35" ht="15" hidden="1" customHeight="1">
      <c r="AB13097" s="9"/>
      <c r="AC13097" s="9"/>
      <c r="AD13097" s="9"/>
      <c r="AF13097" s="10"/>
      <c r="AG13097" s="10"/>
      <c r="AH13097" s="10"/>
      <c r="AI13097" s="10"/>
    </row>
    <row r="13098" spans="28:35" ht="15" hidden="1" customHeight="1">
      <c r="AB13098" s="9"/>
      <c r="AC13098" s="9"/>
      <c r="AD13098" s="9"/>
      <c r="AF13098" s="10"/>
      <c r="AG13098" s="10"/>
      <c r="AH13098" s="10"/>
      <c r="AI13098" s="10"/>
    </row>
    <row r="13099" spans="28:35" ht="15" hidden="1" customHeight="1">
      <c r="AB13099" s="9"/>
      <c r="AC13099" s="9"/>
      <c r="AD13099" s="9"/>
      <c r="AF13099" s="10"/>
      <c r="AG13099" s="10"/>
      <c r="AH13099" s="10"/>
      <c r="AI13099" s="10"/>
    </row>
    <row r="13100" spans="28:35" ht="15" hidden="1" customHeight="1">
      <c r="AB13100" s="9"/>
      <c r="AC13100" s="9"/>
      <c r="AD13100" s="9"/>
      <c r="AF13100" s="10"/>
      <c r="AG13100" s="10"/>
      <c r="AH13100" s="10"/>
      <c r="AI13100" s="10"/>
    </row>
    <row r="13101" spans="28:35" ht="15" hidden="1" customHeight="1">
      <c r="AB13101" s="9"/>
      <c r="AC13101" s="9"/>
      <c r="AD13101" s="9"/>
      <c r="AF13101" s="10"/>
      <c r="AG13101" s="10"/>
      <c r="AH13101" s="10"/>
      <c r="AI13101" s="10"/>
    </row>
    <row r="13102" spans="28:35" ht="15" hidden="1" customHeight="1">
      <c r="AB13102" s="9"/>
      <c r="AC13102" s="9"/>
      <c r="AD13102" s="9"/>
      <c r="AF13102" s="10"/>
      <c r="AG13102" s="10"/>
      <c r="AH13102" s="10"/>
      <c r="AI13102" s="10"/>
    </row>
    <row r="13103" spans="28:35" ht="15" hidden="1" customHeight="1">
      <c r="AB13103" s="9"/>
      <c r="AC13103" s="9"/>
      <c r="AD13103" s="9"/>
      <c r="AF13103" s="10"/>
      <c r="AG13103" s="10"/>
      <c r="AH13103" s="10"/>
      <c r="AI13103" s="10"/>
    </row>
    <row r="13104" spans="28:35" ht="15" hidden="1" customHeight="1">
      <c r="AB13104" s="9"/>
      <c r="AC13104" s="9"/>
      <c r="AD13104" s="9"/>
      <c r="AF13104" s="10"/>
      <c r="AG13104" s="10"/>
      <c r="AH13104" s="10"/>
      <c r="AI13104" s="10"/>
    </row>
    <row r="13105" spans="28:35" ht="15" hidden="1" customHeight="1">
      <c r="AB13105" s="9"/>
      <c r="AC13105" s="9"/>
      <c r="AD13105" s="9"/>
      <c r="AF13105" s="10"/>
      <c r="AG13105" s="10"/>
      <c r="AH13105" s="10"/>
      <c r="AI13105" s="10"/>
    </row>
    <row r="13106" spans="28:35" ht="15" hidden="1" customHeight="1">
      <c r="AB13106" s="9"/>
      <c r="AC13106" s="9"/>
      <c r="AD13106" s="9"/>
      <c r="AF13106" s="10"/>
      <c r="AG13106" s="10"/>
      <c r="AH13106" s="10"/>
      <c r="AI13106" s="10"/>
    </row>
    <row r="13107" spans="28:35" ht="15" hidden="1" customHeight="1">
      <c r="AB13107" s="9"/>
      <c r="AC13107" s="9"/>
      <c r="AD13107" s="9"/>
      <c r="AF13107" s="10"/>
      <c r="AG13107" s="10"/>
      <c r="AH13107" s="10"/>
      <c r="AI13107" s="10"/>
    </row>
    <row r="13108" spans="28:35" ht="15" hidden="1" customHeight="1">
      <c r="AB13108" s="9"/>
      <c r="AC13108" s="9"/>
      <c r="AD13108" s="9"/>
      <c r="AF13108" s="10"/>
      <c r="AG13108" s="10"/>
      <c r="AH13108" s="10"/>
      <c r="AI13108" s="10"/>
    </row>
    <row r="13109" spans="28:35" ht="15" hidden="1" customHeight="1">
      <c r="AB13109" s="9"/>
      <c r="AC13109" s="9"/>
      <c r="AD13109" s="9"/>
      <c r="AF13109" s="10"/>
      <c r="AG13109" s="10"/>
      <c r="AH13109" s="10"/>
      <c r="AI13109" s="10"/>
    </row>
    <row r="13110" spans="28:35" ht="15" hidden="1" customHeight="1">
      <c r="AB13110" s="9"/>
      <c r="AC13110" s="9"/>
      <c r="AD13110" s="9"/>
      <c r="AF13110" s="10"/>
      <c r="AG13110" s="10"/>
      <c r="AH13110" s="10"/>
      <c r="AI13110" s="10"/>
    </row>
    <row r="13111" spans="28:35" ht="15" hidden="1" customHeight="1">
      <c r="AB13111" s="9"/>
      <c r="AC13111" s="9"/>
      <c r="AD13111" s="9"/>
      <c r="AF13111" s="10"/>
      <c r="AG13111" s="10"/>
      <c r="AH13111" s="10"/>
      <c r="AI13111" s="10"/>
    </row>
    <row r="13112" spans="28:35" ht="15" hidden="1" customHeight="1">
      <c r="AB13112" s="9"/>
      <c r="AC13112" s="9"/>
      <c r="AD13112" s="9"/>
      <c r="AF13112" s="10"/>
      <c r="AG13112" s="10"/>
      <c r="AH13112" s="10"/>
      <c r="AI13112" s="10"/>
    </row>
    <row r="13113" spans="28:35" ht="15" hidden="1" customHeight="1">
      <c r="AB13113" s="9"/>
      <c r="AC13113" s="9"/>
      <c r="AD13113" s="9"/>
      <c r="AF13113" s="10"/>
      <c r="AG13113" s="10"/>
      <c r="AH13113" s="10"/>
      <c r="AI13113" s="10"/>
    </row>
    <row r="13114" spans="28:35" ht="15" hidden="1" customHeight="1">
      <c r="AB13114" s="9"/>
      <c r="AC13114" s="9"/>
      <c r="AD13114" s="9"/>
      <c r="AF13114" s="10"/>
      <c r="AG13114" s="10"/>
      <c r="AH13114" s="10"/>
      <c r="AI13114" s="10"/>
    </row>
    <row r="13115" spans="28:35" ht="15" hidden="1" customHeight="1">
      <c r="AB13115" s="9"/>
      <c r="AC13115" s="9"/>
      <c r="AD13115" s="9"/>
      <c r="AF13115" s="10"/>
      <c r="AG13115" s="10"/>
      <c r="AH13115" s="10"/>
      <c r="AI13115" s="10"/>
    </row>
    <row r="13116" spans="28:35" ht="15" hidden="1" customHeight="1">
      <c r="AB13116" s="9"/>
      <c r="AC13116" s="9"/>
      <c r="AD13116" s="9"/>
      <c r="AF13116" s="10"/>
      <c r="AG13116" s="10"/>
      <c r="AH13116" s="10"/>
      <c r="AI13116" s="10"/>
    </row>
    <row r="13117" spans="28:35" ht="15" hidden="1" customHeight="1">
      <c r="AB13117" s="9"/>
      <c r="AC13117" s="9"/>
      <c r="AD13117" s="9"/>
      <c r="AF13117" s="10"/>
      <c r="AG13117" s="10"/>
      <c r="AH13117" s="10"/>
      <c r="AI13117" s="10"/>
    </row>
    <row r="13118" spans="28:35" ht="15" hidden="1" customHeight="1">
      <c r="AB13118" s="9"/>
      <c r="AC13118" s="9"/>
      <c r="AD13118" s="9"/>
      <c r="AF13118" s="10"/>
      <c r="AG13118" s="10"/>
      <c r="AH13118" s="10"/>
      <c r="AI13118" s="10"/>
    </row>
    <row r="13119" spans="28:35" ht="15" hidden="1" customHeight="1">
      <c r="AB13119" s="9"/>
      <c r="AC13119" s="9"/>
      <c r="AD13119" s="9"/>
      <c r="AF13119" s="10"/>
      <c r="AG13119" s="10"/>
      <c r="AH13119" s="10"/>
      <c r="AI13119" s="10"/>
    </row>
    <row r="13120" spans="28:35" ht="15" hidden="1" customHeight="1">
      <c r="AB13120" s="9"/>
      <c r="AC13120" s="9"/>
      <c r="AD13120" s="9"/>
      <c r="AF13120" s="10"/>
      <c r="AG13120" s="10"/>
      <c r="AH13120" s="10"/>
      <c r="AI13120" s="10"/>
    </row>
    <row r="13121" spans="28:35" ht="15" hidden="1" customHeight="1">
      <c r="AB13121" s="9"/>
      <c r="AC13121" s="9"/>
      <c r="AD13121" s="9"/>
      <c r="AF13121" s="10"/>
      <c r="AG13121" s="10"/>
      <c r="AH13121" s="10"/>
      <c r="AI13121" s="10"/>
    </row>
    <row r="13122" spans="28:35" ht="15" hidden="1" customHeight="1">
      <c r="AB13122" s="9"/>
      <c r="AC13122" s="9"/>
      <c r="AD13122" s="9"/>
      <c r="AF13122" s="10"/>
      <c r="AG13122" s="10"/>
      <c r="AH13122" s="10"/>
      <c r="AI13122" s="10"/>
    </row>
    <row r="13123" spans="28:35" ht="15" hidden="1" customHeight="1">
      <c r="AB13123" s="9"/>
      <c r="AC13123" s="9"/>
      <c r="AD13123" s="9"/>
      <c r="AF13123" s="10"/>
      <c r="AG13123" s="10"/>
      <c r="AH13123" s="10"/>
      <c r="AI13123" s="10"/>
    </row>
    <row r="13124" spans="28:35" ht="15" hidden="1" customHeight="1">
      <c r="AB13124" s="9"/>
      <c r="AC13124" s="9"/>
      <c r="AD13124" s="9"/>
      <c r="AF13124" s="10"/>
      <c r="AG13124" s="10"/>
      <c r="AH13124" s="10"/>
      <c r="AI13124" s="10"/>
    </row>
    <row r="13125" spans="28:35" ht="15" hidden="1" customHeight="1">
      <c r="AB13125" s="9"/>
      <c r="AC13125" s="9"/>
      <c r="AD13125" s="9"/>
      <c r="AF13125" s="10"/>
      <c r="AG13125" s="10"/>
      <c r="AH13125" s="10"/>
      <c r="AI13125" s="10"/>
    </row>
    <row r="13126" spans="28:35" ht="15" hidden="1" customHeight="1">
      <c r="AB13126" s="9"/>
      <c r="AC13126" s="9"/>
      <c r="AD13126" s="9"/>
      <c r="AF13126" s="10"/>
      <c r="AG13126" s="10"/>
      <c r="AH13126" s="10"/>
      <c r="AI13126" s="10"/>
    </row>
    <row r="13127" spans="28:35" ht="15" hidden="1" customHeight="1">
      <c r="AB13127" s="9"/>
      <c r="AC13127" s="9"/>
      <c r="AD13127" s="9"/>
      <c r="AF13127" s="10"/>
      <c r="AG13127" s="10"/>
      <c r="AH13127" s="10"/>
      <c r="AI13127" s="10"/>
    </row>
    <row r="13128" spans="28:35" ht="15" hidden="1" customHeight="1">
      <c r="AB13128" s="9"/>
      <c r="AC13128" s="9"/>
      <c r="AD13128" s="9"/>
      <c r="AF13128" s="10"/>
      <c r="AG13128" s="10"/>
      <c r="AH13128" s="10"/>
      <c r="AI13128" s="10"/>
    </row>
    <row r="13129" spans="28:35" ht="15" hidden="1" customHeight="1">
      <c r="AB13129" s="9"/>
      <c r="AC13129" s="9"/>
      <c r="AD13129" s="9"/>
      <c r="AF13129" s="10"/>
      <c r="AG13129" s="10"/>
      <c r="AH13129" s="10"/>
      <c r="AI13129" s="10"/>
    </row>
    <row r="13130" spans="28:35" ht="15" hidden="1" customHeight="1">
      <c r="AB13130" s="9"/>
      <c r="AC13130" s="9"/>
      <c r="AD13130" s="9"/>
      <c r="AF13130" s="10"/>
      <c r="AG13130" s="10"/>
      <c r="AH13130" s="10"/>
      <c r="AI13130" s="10"/>
    </row>
    <row r="13131" spans="28:35" ht="15" hidden="1" customHeight="1">
      <c r="AB13131" s="9"/>
      <c r="AC13131" s="9"/>
      <c r="AD13131" s="9"/>
      <c r="AF13131" s="10"/>
      <c r="AG13131" s="10"/>
      <c r="AH13131" s="10"/>
      <c r="AI13131" s="10"/>
    </row>
    <row r="13132" spans="28:35" ht="15" hidden="1" customHeight="1">
      <c r="AB13132" s="9"/>
      <c r="AC13132" s="9"/>
      <c r="AD13132" s="9"/>
      <c r="AF13132" s="10"/>
      <c r="AG13132" s="10"/>
      <c r="AH13132" s="10"/>
      <c r="AI13132" s="10"/>
    </row>
    <row r="13133" spans="28:35" ht="15" hidden="1" customHeight="1">
      <c r="AB13133" s="9"/>
      <c r="AC13133" s="9"/>
      <c r="AD13133" s="9"/>
      <c r="AF13133" s="10"/>
      <c r="AG13133" s="10"/>
      <c r="AH13133" s="10"/>
      <c r="AI13133" s="10"/>
    </row>
    <row r="13134" spans="28:35" ht="15" hidden="1" customHeight="1">
      <c r="AB13134" s="9"/>
      <c r="AC13134" s="9"/>
      <c r="AD13134" s="9"/>
      <c r="AF13134" s="10"/>
      <c r="AG13134" s="10"/>
      <c r="AH13134" s="10"/>
      <c r="AI13134" s="10"/>
    </row>
    <row r="13135" spans="28:35" ht="15" hidden="1" customHeight="1">
      <c r="AB13135" s="9"/>
      <c r="AC13135" s="9"/>
      <c r="AD13135" s="9"/>
      <c r="AF13135" s="10"/>
      <c r="AG13135" s="10"/>
      <c r="AH13135" s="10"/>
      <c r="AI13135" s="10"/>
    </row>
    <row r="13136" spans="28:35" ht="15" hidden="1" customHeight="1">
      <c r="AB13136" s="9"/>
      <c r="AC13136" s="9"/>
      <c r="AD13136" s="9"/>
      <c r="AF13136" s="10"/>
      <c r="AG13136" s="10"/>
      <c r="AH13136" s="10"/>
      <c r="AI13136" s="10"/>
    </row>
    <row r="13137" spans="28:35" ht="15" hidden="1" customHeight="1">
      <c r="AB13137" s="9"/>
      <c r="AC13137" s="9"/>
      <c r="AD13137" s="9"/>
      <c r="AF13137" s="10"/>
      <c r="AG13137" s="10"/>
      <c r="AH13137" s="10"/>
      <c r="AI13137" s="10"/>
    </row>
    <row r="13138" spans="28:35" ht="15" hidden="1" customHeight="1">
      <c r="AB13138" s="9"/>
      <c r="AC13138" s="9"/>
      <c r="AD13138" s="9"/>
      <c r="AF13138" s="10"/>
      <c r="AG13138" s="10"/>
      <c r="AH13138" s="10"/>
      <c r="AI13138" s="10"/>
    </row>
    <row r="13139" spans="28:35" ht="15" hidden="1" customHeight="1">
      <c r="AB13139" s="9"/>
      <c r="AC13139" s="9"/>
      <c r="AD13139" s="9"/>
      <c r="AF13139" s="10"/>
      <c r="AG13139" s="10"/>
      <c r="AH13139" s="10"/>
      <c r="AI13139" s="10"/>
    </row>
    <row r="13140" spans="28:35" ht="15" hidden="1" customHeight="1">
      <c r="AB13140" s="9"/>
      <c r="AC13140" s="9"/>
      <c r="AD13140" s="9"/>
      <c r="AF13140" s="10"/>
      <c r="AG13140" s="10"/>
      <c r="AH13140" s="10"/>
      <c r="AI13140" s="10"/>
    </row>
    <row r="13141" spans="28:35" ht="15" hidden="1" customHeight="1">
      <c r="AB13141" s="9"/>
      <c r="AC13141" s="9"/>
      <c r="AD13141" s="9"/>
      <c r="AF13141" s="10"/>
      <c r="AG13141" s="10"/>
      <c r="AH13141" s="10"/>
      <c r="AI13141" s="10"/>
    </row>
    <row r="13142" spans="28:35" ht="15" hidden="1" customHeight="1">
      <c r="AB13142" s="9"/>
      <c r="AC13142" s="9"/>
      <c r="AD13142" s="9"/>
      <c r="AF13142" s="10"/>
      <c r="AG13142" s="10"/>
      <c r="AH13142" s="10"/>
      <c r="AI13142" s="10"/>
    </row>
    <row r="13143" spans="28:35" ht="15" hidden="1" customHeight="1">
      <c r="AB13143" s="9"/>
      <c r="AC13143" s="9"/>
      <c r="AD13143" s="9"/>
      <c r="AF13143" s="10"/>
      <c r="AG13143" s="10"/>
      <c r="AH13143" s="10"/>
      <c r="AI13143" s="10"/>
    </row>
    <row r="13144" spans="28:35" ht="15" hidden="1" customHeight="1">
      <c r="AB13144" s="9"/>
      <c r="AC13144" s="9"/>
      <c r="AD13144" s="9"/>
      <c r="AF13144" s="10"/>
      <c r="AG13144" s="10"/>
      <c r="AH13144" s="10"/>
      <c r="AI13144" s="10"/>
    </row>
    <row r="13145" spans="28:35" ht="15" hidden="1" customHeight="1">
      <c r="AB13145" s="9"/>
      <c r="AC13145" s="9"/>
      <c r="AD13145" s="9"/>
      <c r="AF13145" s="10"/>
      <c r="AG13145" s="10"/>
      <c r="AH13145" s="10"/>
      <c r="AI13145" s="10"/>
    </row>
    <row r="13146" spans="28:35" ht="15" hidden="1" customHeight="1">
      <c r="AB13146" s="9"/>
      <c r="AC13146" s="9"/>
      <c r="AD13146" s="9"/>
      <c r="AF13146" s="10"/>
      <c r="AG13146" s="10"/>
      <c r="AH13146" s="10"/>
      <c r="AI13146" s="10"/>
    </row>
    <row r="13147" spans="28:35" ht="15" hidden="1" customHeight="1">
      <c r="AB13147" s="9"/>
      <c r="AC13147" s="9"/>
      <c r="AD13147" s="9"/>
      <c r="AF13147" s="10"/>
      <c r="AG13147" s="10"/>
      <c r="AH13147" s="10"/>
      <c r="AI13147" s="10"/>
    </row>
    <row r="13148" spans="28:35" ht="15" hidden="1" customHeight="1">
      <c r="AB13148" s="9"/>
      <c r="AC13148" s="9"/>
      <c r="AD13148" s="9"/>
      <c r="AF13148" s="10"/>
      <c r="AG13148" s="10"/>
      <c r="AH13148" s="10"/>
      <c r="AI13148" s="10"/>
    </row>
    <row r="13149" spans="28:35" ht="15" hidden="1" customHeight="1">
      <c r="AB13149" s="9"/>
      <c r="AC13149" s="9"/>
      <c r="AD13149" s="9"/>
      <c r="AF13149" s="10"/>
      <c r="AG13149" s="10"/>
      <c r="AH13149" s="10"/>
      <c r="AI13149" s="10"/>
    </row>
    <row r="13150" spans="28:35" ht="15" hidden="1" customHeight="1">
      <c r="AB13150" s="9"/>
      <c r="AC13150" s="9"/>
      <c r="AD13150" s="9"/>
      <c r="AF13150" s="10"/>
      <c r="AG13150" s="10"/>
      <c r="AH13150" s="10"/>
      <c r="AI13150" s="10"/>
    </row>
    <row r="13151" spans="28:35" ht="15" hidden="1" customHeight="1">
      <c r="AB13151" s="9"/>
      <c r="AC13151" s="9"/>
      <c r="AD13151" s="9"/>
      <c r="AF13151" s="10"/>
      <c r="AG13151" s="10"/>
      <c r="AH13151" s="10"/>
      <c r="AI13151" s="10"/>
    </row>
    <row r="13152" spans="28:35" ht="15" hidden="1" customHeight="1">
      <c r="AB13152" s="9"/>
      <c r="AC13152" s="9"/>
      <c r="AD13152" s="9"/>
      <c r="AF13152" s="10"/>
      <c r="AG13152" s="10"/>
      <c r="AH13152" s="10"/>
      <c r="AI13152" s="10"/>
    </row>
    <row r="13153" spans="28:35" ht="15" hidden="1" customHeight="1">
      <c r="AB13153" s="9"/>
      <c r="AC13153" s="9"/>
      <c r="AD13153" s="9"/>
      <c r="AF13153" s="10"/>
      <c r="AG13153" s="10"/>
      <c r="AH13153" s="10"/>
      <c r="AI13153" s="10"/>
    </row>
    <row r="13154" spans="28:35" ht="15" hidden="1" customHeight="1">
      <c r="AB13154" s="9"/>
      <c r="AC13154" s="9"/>
      <c r="AD13154" s="9"/>
      <c r="AF13154" s="10"/>
      <c r="AG13154" s="10"/>
      <c r="AH13154" s="10"/>
      <c r="AI13154" s="10"/>
    </row>
    <row r="13155" spans="28:35" ht="15" hidden="1" customHeight="1">
      <c r="AB13155" s="9"/>
      <c r="AC13155" s="9"/>
      <c r="AD13155" s="9"/>
      <c r="AF13155" s="10"/>
      <c r="AG13155" s="10"/>
      <c r="AH13155" s="10"/>
      <c r="AI13155" s="10"/>
    </row>
    <row r="13156" spans="28:35" ht="15" hidden="1" customHeight="1">
      <c r="AB13156" s="9"/>
      <c r="AC13156" s="9"/>
      <c r="AD13156" s="9"/>
      <c r="AF13156" s="10"/>
      <c r="AG13156" s="10"/>
      <c r="AH13156" s="10"/>
      <c r="AI13156" s="10"/>
    </row>
    <row r="13157" spans="28:35" ht="15" hidden="1" customHeight="1">
      <c r="AB13157" s="9"/>
      <c r="AC13157" s="9"/>
      <c r="AD13157" s="9"/>
      <c r="AF13157" s="10"/>
      <c r="AG13157" s="10"/>
      <c r="AH13157" s="10"/>
      <c r="AI13157" s="10"/>
    </row>
    <row r="13158" spans="28:35" ht="15" hidden="1" customHeight="1">
      <c r="AB13158" s="9"/>
      <c r="AC13158" s="9"/>
      <c r="AD13158" s="9"/>
      <c r="AF13158" s="10"/>
      <c r="AG13158" s="10"/>
      <c r="AH13158" s="10"/>
      <c r="AI13158" s="10"/>
    </row>
    <row r="13159" spans="28:35" ht="15" hidden="1" customHeight="1">
      <c r="AB13159" s="9"/>
      <c r="AC13159" s="9"/>
      <c r="AD13159" s="9"/>
      <c r="AF13159" s="10"/>
      <c r="AG13159" s="10"/>
      <c r="AH13159" s="10"/>
      <c r="AI13159" s="10"/>
    </row>
    <row r="13160" spans="28:35" ht="15" hidden="1" customHeight="1">
      <c r="AB13160" s="9"/>
      <c r="AC13160" s="9"/>
      <c r="AD13160" s="9"/>
      <c r="AF13160" s="10"/>
      <c r="AG13160" s="10"/>
      <c r="AH13160" s="10"/>
      <c r="AI13160" s="10"/>
    </row>
    <row r="13161" spans="28:35" ht="15" hidden="1" customHeight="1">
      <c r="AB13161" s="9"/>
      <c r="AC13161" s="9"/>
      <c r="AD13161" s="9"/>
      <c r="AF13161" s="10"/>
      <c r="AG13161" s="10"/>
      <c r="AH13161" s="10"/>
      <c r="AI13161" s="10"/>
    </row>
    <row r="13162" spans="28:35" ht="15" hidden="1" customHeight="1">
      <c r="AB13162" s="9"/>
      <c r="AC13162" s="9"/>
      <c r="AD13162" s="9"/>
      <c r="AF13162" s="10"/>
      <c r="AG13162" s="10"/>
      <c r="AH13162" s="10"/>
      <c r="AI13162" s="10"/>
    </row>
    <row r="13163" spans="28:35" ht="15" hidden="1" customHeight="1">
      <c r="AB13163" s="9"/>
      <c r="AC13163" s="9"/>
      <c r="AD13163" s="9"/>
      <c r="AF13163" s="10"/>
      <c r="AG13163" s="10"/>
      <c r="AH13163" s="10"/>
      <c r="AI13163" s="10"/>
    </row>
    <row r="13164" spans="28:35" ht="15" hidden="1" customHeight="1">
      <c r="AB13164" s="9"/>
      <c r="AC13164" s="9"/>
      <c r="AD13164" s="9"/>
      <c r="AF13164" s="10"/>
      <c r="AG13164" s="10"/>
      <c r="AH13164" s="10"/>
      <c r="AI13164" s="10"/>
    </row>
    <row r="13165" spans="28:35" ht="15" hidden="1" customHeight="1">
      <c r="AB13165" s="9"/>
      <c r="AC13165" s="9"/>
      <c r="AD13165" s="9"/>
      <c r="AF13165" s="10"/>
      <c r="AG13165" s="10"/>
      <c r="AH13165" s="10"/>
      <c r="AI13165" s="10"/>
    </row>
    <row r="13166" spans="28:35" ht="15" hidden="1" customHeight="1">
      <c r="AB13166" s="9"/>
      <c r="AC13166" s="9"/>
      <c r="AD13166" s="9"/>
      <c r="AF13166" s="10"/>
      <c r="AG13166" s="10"/>
      <c r="AH13166" s="10"/>
      <c r="AI13166" s="10"/>
    </row>
    <row r="13167" spans="28:35" ht="15" hidden="1" customHeight="1">
      <c r="AB13167" s="9"/>
      <c r="AC13167" s="9"/>
      <c r="AD13167" s="9"/>
      <c r="AF13167" s="10"/>
      <c r="AG13167" s="10"/>
      <c r="AH13167" s="10"/>
      <c r="AI13167" s="10"/>
    </row>
    <row r="13168" spans="28:35" ht="15" hidden="1" customHeight="1">
      <c r="AB13168" s="9"/>
      <c r="AC13168" s="9"/>
      <c r="AD13168" s="9"/>
      <c r="AF13168" s="10"/>
      <c r="AG13168" s="10"/>
      <c r="AH13168" s="10"/>
      <c r="AI13168" s="10"/>
    </row>
    <row r="13169" spans="28:35" ht="15" hidden="1" customHeight="1">
      <c r="AB13169" s="9"/>
      <c r="AC13169" s="9"/>
      <c r="AD13169" s="9"/>
      <c r="AF13169" s="10"/>
      <c r="AG13169" s="10"/>
      <c r="AH13169" s="10"/>
      <c r="AI13169" s="10"/>
    </row>
    <row r="13170" spans="28:35" ht="15" hidden="1" customHeight="1">
      <c r="AB13170" s="9"/>
      <c r="AC13170" s="9"/>
      <c r="AD13170" s="9"/>
      <c r="AF13170" s="10"/>
      <c r="AG13170" s="10"/>
      <c r="AH13170" s="10"/>
      <c r="AI13170" s="10"/>
    </row>
    <row r="13171" spans="28:35" ht="15" hidden="1" customHeight="1">
      <c r="AB13171" s="9"/>
      <c r="AC13171" s="9"/>
      <c r="AD13171" s="9"/>
      <c r="AF13171" s="10"/>
      <c r="AG13171" s="10"/>
      <c r="AH13171" s="10"/>
      <c r="AI13171" s="10"/>
    </row>
    <row r="13172" spans="28:35" ht="15" hidden="1" customHeight="1">
      <c r="AB13172" s="9"/>
      <c r="AC13172" s="9"/>
      <c r="AD13172" s="9"/>
      <c r="AF13172" s="10"/>
      <c r="AG13172" s="10"/>
      <c r="AH13172" s="10"/>
      <c r="AI13172" s="10"/>
    </row>
    <row r="13173" spans="28:35" ht="15" hidden="1" customHeight="1">
      <c r="AB13173" s="9"/>
      <c r="AC13173" s="9"/>
      <c r="AD13173" s="9"/>
      <c r="AF13173" s="10"/>
      <c r="AG13173" s="10"/>
      <c r="AH13173" s="10"/>
      <c r="AI13173" s="10"/>
    </row>
    <row r="13174" spans="28:35" ht="15" hidden="1" customHeight="1">
      <c r="AB13174" s="9"/>
      <c r="AC13174" s="9"/>
      <c r="AD13174" s="9"/>
      <c r="AF13174" s="10"/>
      <c r="AG13174" s="10"/>
      <c r="AH13174" s="10"/>
      <c r="AI13174" s="10"/>
    </row>
    <row r="13175" spans="28:35" ht="15" hidden="1" customHeight="1">
      <c r="AB13175" s="9"/>
      <c r="AC13175" s="9"/>
      <c r="AD13175" s="9"/>
      <c r="AF13175" s="10"/>
      <c r="AG13175" s="10"/>
      <c r="AH13175" s="10"/>
      <c r="AI13175" s="10"/>
    </row>
    <row r="13176" spans="28:35" ht="15" hidden="1" customHeight="1">
      <c r="AB13176" s="9"/>
      <c r="AC13176" s="9"/>
      <c r="AD13176" s="9"/>
      <c r="AF13176" s="10"/>
      <c r="AG13176" s="10"/>
      <c r="AH13176" s="10"/>
      <c r="AI13176" s="10"/>
    </row>
    <row r="13177" spans="28:35" ht="15" hidden="1" customHeight="1">
      <c r="AB13177" s="9"/>
      <c r="AC13177" s="9"/>
      <c r="AD13177" s="9"/>
      <c r="AF13177" s="10"/>
      <c r="AG13177" s="10"/>
      <c r="AH13177" s="10"/>
      <c r="AI13177" s="10"/>
    </row>
    <row r="13178" spans="28:35" ht="15" hidden="1" customHeight="1">
      <c r="AB13178" s="9"/>
      <c r="AC13178" s="9"/>
      <c r="AD13178" s="9"/>
      <c r="AF13178" s="10"/>
      <c r="AG13178" s="10"/>
      <c r="AH13178" s="10"/>
      <c r="AI13178" s="10"/>
    </row>
    <row r="13179" spans="28:35" ht="15" hidden="1" customHeight="1">
      <c r="AB13179" s="9"/>
      <c r="AC13179" s="9"/>
      <c r="AD13179" s="9"/>
      <c r="AF13179" s="10"/>
      <c r="AG13179" s="10"/>
      <c r="AH13179" s="10"/>
      <c r="AI13179" s="10"/>
    </row>
    <row r="13180" spans="28:35" ht="15" hidden="1" customHeight="1">
      <c r="AB13180" s="9"/>
      <c r="AC13180" s="9"/>
      <c r="AD13180" s="9"/>
      <c r="AF13180" s="10"/>
      <c r="AG13180" s="10"/>
      <c r="AH13180" s="10"/>
      <c r="AI13180" s="10"/>
    </row>
    <row r="13181" spans="28:35" ht="15" hidden="1" customHeight="1">
      <c r="AB13181" s="9"/>
      <c r="AC13181" s="9"/>
      <c r="AD13181" s="9"/>
      <c r="AF13181" s="10"/>
      <c r="AG13181" s="10"/>
      <c r="AH13181" s="10"/>
      <c r="AI13181" s="10"/>
    </row>
    <row r="13182" spans="28:35" ht="15" hidden="1" customHeight="1">
      <c r="AB13182" s="9"/>
      <c r="AC13182" s="9"/>
      <c r="AD13182" s="9"/>
      <c r="AF13182" s="10"/>
      <c r="AG13182" s="10"/>
      <c r="AH13182" s="10"/>
      <c r="AI13182" s="10"/>
    </row>
    <row r="13183" spans="28:35" ht="15" hidden="1" customHeight="1">
      <c r="AB13183" s="9"/>
      <c r="AC13183" s="9"/>
      <c r="AD13183" s="9"/>
      <c r="AF13183" s="10"/>
      <c r="AG13183" s="10"/>
      <c r="AH13183" s="10"/>
      <c r="AI13183" s="10"/>
    </row>
    <row r="13184" spans="28:35" ht="15" hidden="1" customHeight="1">
      <c r="AB13184" s="9"/>
      <c r="AC13184" s="9"/>
      <c r="AD13184" s="9"/>
      <c r="AF13184" s="10"/>
      <c r="AG13184" s="10"/>
      <c r="AH13184" s="10"/>
      <c r="AI13184" s="10"/>
    </row>
    <row r="13185" spans="28:35" ht="15" hidden="1" customHeight="1">
      <c r="AB13185" s="9"/>
      <c r="AC13185" s="9"/>
      <c r="AD13185" s="9"/>
      <c r="AF13185" s="10"/>
      <c r="AG13185" s="10"/>
      <c r="AH13185" s="10"/>
      <c r="AI13185" s="10"/>
    </row>
    <row r="13186" spans="28:35" ht="15" hidden="1" customHeight="1">
      <c r="AB13186" s="9"/>
      <c r="AC13186" s="9"/>
      <c r="AD13186" s="9"/>
      <c r="AF13186" s="10"/>
      <c r="AG13186" s="10"/>
      <c r="AH13186" s="10"/>
      <c r="AI13186" s="10"/>
    </row>
    <row r="13187" spans="28:35" ht="15" hidden="1" customHeight="1">
      <c r="AB13187" s="9"/>
      <c r="AC13187" s="9"/>
      <c r="AD13187" s="9"/>
      <c r="AF13187" s="10"/>
      <c r="AG13187" s="10"/>
      <c r="AH13187" s="10"/>
      <c r="AI13187" s="10"/>
    </row>
    <row r="13188" spans="28:35" ht="15" hidden="1" customHeight="1">
      <c r="AB13188" s="9"/>
      <c r="AC13188" s="9"/>
      <c r="AD13188" s="9"/>
      <c r="AF13188" s="10"/>
      <c r="AG13188" s="10"/>
      <c r="AH13188" s="10"/>
      <c r="AI13188" s="10"/>
    </row>
    <row r="13189" spans="28:35" ht="15" hidden="1" customHeight="1">
      <c r="AB13189" s="9"/>
      <c r="AC13189" s="9"/>
      <c r="AD13189" s="9"/>
      <c r="AF13189" s="10"/>
      <c r="AG13189" s="10"/>
      <c r="AH13189" s="10"/>
      <c r="AI13189" s="10"/>
    </row>
    <row r="13190" spans="28:35" ht="15" hidden="1" customHeight="1">
      <c r="AB13190" s="9"/>
      <c r="AC13190" s="9"/>
      <c r="AD13190" s="9"/>
      <c r="AF13190" s="10"/>
      <c r="AG13190" s="10"/>
      <c r="AH13190" s="10"/>
      <c r="AI13190" s="10"/>
    </row>
    <row r="13191" spans="28:35" ht="15" hidden="1" customHeight="1">
      <c r="AB13191" s="9"/>
      <c r="AC13191" s="9"/>
      <c r="AD13191" s="9"/>
      <c r="AF13191" s="10"/>
      <c r="AG13191" s="10"/>
      <c r="AH13191" s="10"/>
      <c r="AI13191" s="10"/>
    </row>
    <row r="13192" spans="28:35" ht="15" hidden="1" customHeight="1">
      <c r="AB13192" s="9"/>
      <c r="AC13192" s="9"/>
      <c r="AD13192" s="9"/>
      <c r="AF13192" s="10"/>
      <c r="AG13192" s="10"/>
      <c r="AH13192" s="10"/>
      <c r="AI13192" s="10"/>
    </row>
    <row r="13193" spans="28:35" ht="15" hidden="1" customHeight="1">
      <c r="AB13193" s="9"/>
      <c r="AC13193" s="9"/>
      <c r="AD13193" s="9"/>
      <c r="AF13193" s="10"/>
      <c r="AG13193" s="10"/>
      <c r="AH13193" s="10"/>
      <c r="AI13193" s="10"/>
    </row>
    <row r="13194" spans="28:35" ht="15" hidden="1" customHeight="1">
      <c r="AB13194" s="9"/>
      <c r="AC13194" s="9"/>
      <c r="AD13194" s="9"/>
      <c r="AF13194" s="10"/>
      <c r="AG13194" s="10"/>
      <c r="AH13194" s="10"/>
      <c r="AI13194" s="10"/>
    </row>
    <row r="13195" spans="28:35" ht="15" hidden="1" customHeight="1">
      <c r="AB13195" s="9"/>
      <c r="AC13195" s="9"/>
      <c r="AD13195" s="9"/>
      <c r="AF13195" s="10"/>
      <c r="AG13195" s="10"/>
      <c r="AH13195" s="10"/>
      <c r="AI13195" s="10"/>
    </row>
    <row r="13196" spans="28:35" ht="15" hidden="1" customHeight="1">
      <c r="AB13196" s="9"/>
      <c r="AC13196" s="9"/>
      <c r="AD13196" s="9"/>
      <c r="AF13196" s="10"/>
      <c r="AG13196" s="10"/>
      <c r="AH13196" s="10"/>
      <c r="AI13196" s="10"/>
    </row>
    <row r="13197" spans="28:35" ht="15" hidden="1" customHeight="1">
      <c r="AB13197" s="9"/>
      <c r="AC13197" s="9"/>
      <c r="AD13197" s="9"/>
      <c r="AF13197" s="10"/>
      <c r="AG13197" s="10"/>
      <c r="AH13197" s="10"/>
      <c r="AI13197" s="10"/>
    </row>
    <row r="13198" spans="28:35" ht="15" hidden="1" customHeight="1">
      <c r="AB13198" s="9"/>
      <c r="AC13198" s="9"/>
      <c r="AD13198" s="9"/>
      <c r="AF13198" s="10"/>
      <c r="AG13198" s="10"/>
      <c r="AH13198" s="10"/>
      <c r="AI13198" s="10"/>
    </row>
    <row r="13199" spans="28:35" ht="15" hidden="1" customHeight="1">
      <c r="AB13199" s="9"/>
      <c r="AC13199" s="9"/>
      <c r="AD13199" s="9"/>
      <c r="AF13199" s="10"/>
      <c r="AG13199" s="10"/>
      <c r="AH13199" s="10"/>
      <c r="AI13199" s="10"/>
    </row>
    <row r="13200" spans="28:35" ht="15" hidden="1" customHeight="1">
      <c r="AB13200" s="9"/>
      <c r="AC13200" s="9"/>
      <c r="AD13200" s="9"/>
      <c r="AF13200" s="10"/>
      <c r="AG13200" s="10"/>
      <c r="AH13200" s="10"/>
      <c r="AI13200" s="10"/>
    </row>
    <row r="13201" spans="28:35" ht="15" hidden="1" customHeight="1">
      <c r="AB13201" s="9"/>
      <c r="AC13201" s="9"/>
      <c r="AD13201" s="9"/>
      <c r="AF13201" s="10"/>
      <c r="AG13201" s="10"/>
      <c r="AH13201" s="10"/>
      <c r="AI13201" s="10"/>
    </row>
    <row r="13202" spans="28:35" ht="15" hidden="1" customHeight="1">
      <c r="AB13202" s="9"/>
      <c r="AC13202" s="9"/>
      <c r="AD13202" s="9"/>
      <c r="AF13202" s="10"/>
      <c r="AG13202" s="10"/>
      <c r="AH13202" s="10"/>
      <c r="AI13202" s="10"/>
    </row>
    <row r="13203" spans="28:35" ht="15" hidden="1" customHeight="1">
      <c r="AB13203" s="9"/>
      <c r="AC13203" s="9"/>
      <c r="AD13203" s="9"/>
      <c r="AF13203" s="10"/>
      <c r="AG13203" s="10"/>
      <c r="AH13203" s="10"/>
      <c r="AI13203" s="10"/>
    </row>
    <row r="13204" spans="28:35" ht="15" hidden="1" customHeight="1">
      <c r="AB13204" s="9"/>
      <c r="AC13204" s="9"/>
      <c r="AD13204" s="9"/>
      <c r="AF13204" s="10"/>
      <c r="AG13204" s="10"/>
      <c r="AH13204" s="10"/>
      <c r="AI13204" s="10"/>
    </row>
    <row r="13205" spans="28:35" ht="15" hidden="1" customHeight="1">
      <c r="AB13205" s="9"/>
      <c r="AC13205" s="9"/>
      <c r="AD13205" s="9"/>
      <c r="AF13205" s="10"/>
      <c r="AG13205" s="10"/>
      <c r="AH13205" s="10"/>
      <c r="AI13205" s="10"/>
    </row>
    <row r="13206" spans="28:35" ht="15" hidden="1" customHeight="1">
      <c r="AB13206" s="9"/>
      <c r="AC13206" s="9"/>
      <c r="AD13206" s="9"/>
      <c r="AF13206" s="10"/>
      <c r="AG13206" s="10"/>
      <c r="AH13206" s="10"/>
      <c r="AI13206" s="10"/>
    </row>
    <row r="13207" spans="28:35" ht="15" hidden="1" customHeight="1">
      <c r="AB13207" s="9"/>
      <c r="AC13207" s="9"/>
      <c r="AD13207" s="9"/>
      <c r="AF13207" s="10"/>
      <c r="AG13207" s="10"/>
      <c r="AH13207" s="10"/>
      <c r="AI13207" s="10"/>
    </row>
    <row r="13208" spans="28:35" ht="15" hidden="1" customHeight="1">
      <c r="AB13208" s="9"/>
      <c r="AC13208" s="9"/>
      <c r="AD13208" s="9"/>
      <c r="AF13208" s="10"/>
      <c r="AG13208" s="10"/>
      <c r="AH13208" s="10"/>
      <c r="AI13208" s="10"/>
    </row>
    <row r="13209" spans="28:35" ht="15" hidden="1" customHeight="1">
      <c r="AB13209" s="9"/>
      <c r="AC13209" s="9"/>
      <c r="AD13209" s="9"/>
      <c r="AF13209" s="10"/>
      <c r="AG13209" s="10"/>
      <c r="AH13209" s="10"/>
      <c r="AI13209" s="10"/>
    </row>
    <row r="13210" spans="28:35" ht="15" hidden="1" customHeight="1">
      <c r="AB13210" s="9"/>
      <c r="AC13210" s="9"/>
      <c r="AD13210" s="9"/>
      <c r="AF13210" s="10"/>
      <c r="AG13210" s="10"/>
      <c r="AH13210" s="10"/>
      <c r="AI13210" s="10"/>
    </row>
    <row r="13211" spans="28:35" ht="15" hidden="1" customHeight="1">
      <c r="AB13211" s="9"/>
      <c r="AC13211" s="9"/>
      <c r="AD13211" s="9"/>
      <c r="AF13211" s="10"/>
      <c r="AG13211" s="10"/>
      <c r="AH13211" s="10"/>
      <c r="AI13211" s="10"/>
    </row>
    <row r="13212" spans="28:35" ht="15" hidden="1" customHeight="1">
      <c r="AB13212" s="9"/>
      <c r="AC13212" s="9"/>
      <c r="AD13212" s="9"/>
      <c r="AF13212" s="10"/>
      <c r="AG13212" s="10"/>
      <c r="AH13212" s="10"/>
      <c r="AI13212" s="10"/>
    </row>
    <row r="13213" spans="28:35" ht="15" hidden="1" customHeight="1">
      <c r="AB13213" s="9"/>
      <c r="AC13213" s="9"/>
      <c r="AD13213" s="9"/>
      <c r="AF13213" s="10"/>
      <c r="AG13213" s="10"/>
      <c r="AH13213" s="10"/>
      <c r="AI13213" s="10"/>
    </row>
    <row r="13214" spans="28:35" ht="15" hidden="1" customHeight="1">
      <c r="AB13214" s="9"/>
      <c r="AC13214" s="9"/>
      <c r="AD13214" s="9"/>
      <c r="AF13214" s="10"/>
      <c r="AG13214" s="10"/>
      <c r="AH13214" s="10"/>
      <c r="AI13214" s="10"/>
    </row>
    <row r="13215" spans="28:35" ht="15" hidden="1" customHeight="1">
      <c r="AB13215" s="9"/>
      <c r="AC13215" s="9"/>
      <c r="AD13215" s="9"/>
      <c r="AF13215" s="10"/>
      <c r="AG13215" s="10"/>
      <c r="AH13215" s="10"/>
      <c r="AI13215" s="10"/>
    </row>
    <row r="13216" spans="28:35" ht="15" hidden="1" customHeight="1">
      <c r="AB13216" s="9"/>
      <c r="AC13216" s="9"/>
      <c r="AD13216" s="9"/>
      <c r="AF13216" s="10"/>
      <c r="AG13216" s="10"/>
      <c r="AH13216" s="10"/>
      <c r="AI13216" s="10"/>
    </row>
    <row r="13217" spans="28:35" ht="15" hidden="1" customHeight="1">
      <c r="AB13217" s="9"/>
      <c r="AC13217" s="9"/>
      <c r="AD13217" s="9"/>
      <c r="AF13217" s="10"/>
      <c r="AG13217" s="10"/>
      <c r="AH13217" s="10"/>
      <c r="AI13217" s="10"/>
    </row>
    <row r="13218" spans="28:35" ht="15" hidden="1" customHeight="1">
      <c r="AB13218" s="9"/>
      <c r="AC13218" s="9"/>
      <c r="AD13218" s="9"/>
      <c r="AF13218" s="10"/>
      <c r="AG13218" s="10"/>
      <c r="AH13218" s="10"/>
      <c r="AI13218" s="10"/>
    </row>
    <row r="13219" spans="28:35" ht="15" hidden="1" customHeight="1">
      <c r="AB13219" s="9"/>
      <c r="AC13219" s="9"/>
      <c r="AD13219" s="9"/>
      <c r="AF13219" s="10"/>
      <c r="AG13219" s="10"/>
      <c r="AH13219" s="10"/>
      <c r="AI13219" s="10"/>
    </row>
    <row r="13220" spans="28:35" ht="15" hidden="1" customHeight="1">
      <c r="AB13220" s="9"/>
      <c r="AC13220" s="9"/>
      <c r="AD13220" s="9"/>
      <c r="AF13220" s="10"/>
      <c r="AG13220" s="10"/>
      <c r="AH13220" s="10"/>
      <c r="AI13220" s="10"/>
    </row>
    <row r="13221" spans="28:35" ht="15" hidden="1" customHeight="1">
      <c r="AB13221" s="9"/>
      <c r="AC13221" s="9"/>
      <c r="AD13221" s="9"/>
      <c r="AF13221" s="10"/>
      <c r="AG13221" s="10"/>
      <c r="AH13221" s="10"/>
      <c r="AI13221" s="10"/>
    </row>
    <row r="13222" spans="28:35" ht="15" hidden="1" customHeight="1">
      <c r="AB13222" s="9"/>
      <c r="AC13222" s="9"/>
      <c r="AD13222" s="9"/>
      <c r="AF13222" s="10"/>
      <c r="AG13222" s="10"/>
      <c r="AH13222" s="10"/>
      <c r="AI13222" s="10"/>
    </row>
    <row r="13223" spans="28:35" ht="15" hidden="1" customHeight="1">
      <c r="AB13223" s="9"/>
      <c r="AC13223" s="9"/>
      <c r="AD13223" s="9"/>
      <c r="AF13223" s="10"/>
      <c r="AG13223" s="10"/>
      <c r="AH13223" s="10"/>
      <c r="AI13223" s="10"/>
    </row>
    <row r="13224" spans="28:35" ht="15" hidden="1" customHeight="1">
      <c r="AB13224" s="9"/>
      <c r="AC13224" s="9"/>
      <c r="AD13224" s="9"/>
      <c r="AF13224" s="10"/>
      <c r="AG13224" s="10"/>
      <c r="AH13224" s="10"/>
      <c r="AI13224" s="10"/>
    </row>
    <row r="13225" spans="28:35" ht="15" hidden="1" customHeight="1">
      <c r="AB13225" s="9"/>
      <c r="AC13225" s="9"/>
      <c r="AD13225" s="9"/>
      <c r="AF13225" s="10"/>
      <c r="AG13225" s="10"/>
      <c r="AH13225" s="10"/>
      <c r="AI13225" s="10"/>
    </row>
    <row r="13226" spans="28:35" ht="15" hidden="1" customHeight="1">
      <c r="AB13226" s="9"/>
      <c r="AC13226" s="9"/>
      <c r="AD13226" s="9"/>
      <c r="AF13226" s="10"/>
      <c r="AG13226" s="10"/>
      <c r="AH13226" s="10"/>
      <c r="AI13226" s="10"/>
    </row>
    <row r="13227" spans="28:35" ht="15" hidden="1" customHeight="1">
      <c r="AB13227" s="9"/>
      <c r="AC13227" s="9"/>
      <c r="AD13227" s="9"/>
      <c r="AF13227" s="10"/>
      <c r="AG13227" s="10"/>
      <c r="AH13227" s="10"/>
      <c r="AI13227" s="10"/>
    </row>
    <row r="13228" spans="28:35" ht="15" hidden="1" customHeight="1">
      <c r="AB13228" s="9"/>
      <c r="AC13228" s="9"/>
      <c r="AD13228" s="9"/>
      <c r="AF13228" s="10"/>
      <c r="AG13228" s="10"/>
      <c r="AH13228" s="10"/>
      <c r="AI13228" s="10"/>
    </row>
    <row r="13229" spans="28:35" ht="15" hidden="1" customHeight="1">
      <c r="AB13229" s="9"/>
      <c r="AC13229" s="9"/>
      <c r="AD13229" s="9"/>
      <c r="AF13229" s="10"/>
      <c r="AG13229" s="10"/>
      <c r="AH13229" s="10"/>
      <c r="AI13229" s="10"/>
    </row>
    <row r="13230" spans="28:35" ht="15" hidden="1" customHeight="1">
      <c r="AB13230" s="9"/>
      <c r="AC13230" s="9"/>
      <c r="AD13230" s="9"/>
      <c r="AF13230" s="10"/>
      <c r="AG13230" s="10"/>
      <c r="AH13230" s="10"/>
      <c r="AI13230" s="10"/>
    </row>
    <row r="13231" spans="28:35" ht="15" hidden="1" customHeight="1">
      <c r="AB13231" s="9"/>
      <c r="AC13231" s="9"/>
      <c r="AD13231" s="9"/>
      <c r="AF13231" s="10"/>
      <c r="AG13231" s="10"/>
      <c r="AH13231" s="10"/>
      <c r="AI13231" s="10"/>
    </row>
    <row r="13232" spans="28:35" ht="15" hidden="1" customHeight="1">
      <c r="AB13232" s="9"/>
      <c r="AC13232" s="9"/>
      <c r="AD13232" s="9"/>
      <c r="AF13232" s="10"/>
      <c r="AG13232" s="10"/>
      <c r="AH13232" s="10"/>
      <c r="AI13232" s="10"/>
    </row>
    <row r="13233" spans="28:35" ht="15" hidden="1" customHeight="1">
      <c r="AB13233" s="9"/>
      <c r="AC13233" s="9"/>
      <c r="AD13233" s="9"/>
      <c r="AF13233" s="10"/>
      <c r="AG13233" s="10"/>
      <c r="AH13233" s="10"/>
      <c r="AI13233" s="10"/>
    </row>
    <row r="13234" spans="28:35" ht="15" hidden="1" customHeight="1">
      <c r="AB13234" s="9"/>
      <c r="AC13234" s="9"/>
      <c r="AD13234" s="9"/>
      <c r="AF13234" s="10"/>
      <c r="AG13234" s="10"/>
      <c r="AH13234" s="10"/>
      <c r="AI13234" s="10"/>
    </row>
    <row r="13235" spans="28:35" ht="15" hidden="1" customHeight="1">
      <c r="AB13235" s="9"/>
      <c r="AC13235" s="9"/>
      <c r="AD13235" s="9"/>
      <c r="AF13235" s="10"/>
      <c r="AG13235" s="10"/>
      <c r="AH13235" s="10"/>
      <c r="AI13235" s="10"/>
    </row>
    <row r="13236" spans="28:35" ht="15" hidden="1" customHeight="1">
      <c r="AB13236" s="9"/>
      <c r="AC13236" s="9"/>
      <c r="AD13236" s="9"/>
      <c r="AF13236" s="10"/>
      <c r="AG13236" s="10"/>
      <c r="AH13236" s="10"/>
      <c r="AI13236" s="10"/>
    </row>
    <row r="13237" spans="28:35" ht="15" hidden="1" customHeight="1">
      <c r="AB13237" s="9"/>
      <c r="AC13237" s="9"/>
      <c r="AD13237" s="9"/>
      <c r="AF13237" s="10"/>
      <c r="AG13237" s="10"/>
      <c r="AH13237" s="10"/>
      <c r="AI13237" s="10"/>
    </row>
    <row r="13238" spans="28:35" ht="15" hidden="1" customHeight="1">
      <c r="AB13238" s="9"/>
      <c r="AC13238" s="9"/>
      <c r="AD13238" s="9"/>
      <c r="AF13238" s="10"/>
      <c r="AG13238" s="10"/>
      <c r="AH13238" s="10"/>
      <c r="AI13238" s="10"/>
    </row>
    <row r="13239" spans="28:35" ht="15" hidden="1" customHeight="1">
      <c r="AB13239" s="9"/>
      <c r="AC13239" s="9"/>
      <c r="AD13239" s="9"/>
      <c r="AF13239" s="10"/>
      <c r="AG13239" s="10"/>
      <c r="AH13239" s="10"/>
      <c r="AI13239" s="10"/>
    </row>
    <row r="13240" spans="28:35" ht="15" hidden="1" customHeight="1">
      <c r="AB13240" s="9"/>
      <c r="AC13240" s="9"/>
      <c r="AD13240" s="9"/>
      <c r="AF13240" s="10"/>
      <c r="AG13240" s="10"/>
      <c r="AH13240" s="10"/>
      <c r="AI13240" s="10"/>
    </row>
    <row r="13241" spans="28:35" ht="15" hidden="1" customHeight="1">
      <c r="AB13241" s="9"/>
      <c r="AC13241" s="9"/>
      <c r="AD13241" s="9"/>
      <c r="AF13241" s="10"/>
      <c r="AG13241" s="10"/>
      <c r="AH13241" s="10"/>
      <c r="AI13241" s="10"/>
    </row>
    <row r="13242" spans="28:35" ht="15" hidden="1" customHeight="1">
      <c r="AB13242" s="9"/>
      <c r="AC13242" s="9"/>
      <c r="AD13242" s="9"/>
      <c r="AF13242" s="10"/>
      <c r="AG13242" s="10"/>
      <c r="AH13242" s="10"/>
      <c r="AI13242" s="10"/>
    </row>
    <row r="13243" spans="28:35" ht="15" hidden="1" customHeight="1">
      <c r="AB13243" s="9"/>
      <c r="AC13243" s="9"/>
      <c r="AD13243" s="9"/>
      <c r="AF13243" s="10"/>
      <c r="AG13243" s="10"/>
      <c r="AH13243" s="10"/>
      <c r="AI13243" s="10"/>
    </row>
    <row r="13244" spans="28:35" ht="15" hidden="1" customHeight="1">
      <c r="AB13244" s="9"/>
      <c r="AC13244" s="9"/>
      <c r="AD13244" s="9"/>
      <c r="AF13244" s="10"/>
      <c r="AG13244" s="10"/>
      <c r="AH13244" s="10"/>
      <c r="AI13244" s="10"/>
    </row>
    <row r="13245" spans="28:35" ht="15" hidden="1" customHeight="1">
      <c r="AB13245" s="9"/>
      <c r="AC13245" s="9"/>
      <c r="AD13245" s="9"/>
      <c r="AF13245" s="10"/>
      <c r="AG13245" s="10"/>
      <c r="AH13245" s="10"/>
      <c r="AI13245" s="10"/>
    </row>
    <row r="13246" spans="28:35" ht="15" hidden="1" customHeight="1">
      <c r="AB13246" s="9"/>
      <c r="AC13246" s="9"/>
      <c r="AD13246" s="9"/>
      <c r="AF13246" s="10"/>
      <c r="AG13246" s="10"/>
      <c r="AH13246" s="10"/>
      <c r="AI13246" s="10"/>
    </row>
    <row r="13247" spans="28:35" ht="15" hidden="1" customHeight="1">
      <c r="AB13247" s="9"/>
      <c r="AC13247" s="9"/>
      <c r="AD13247" s="9"/>
      <c r="AF13247" s="10"/>
      <c r="AG13247" s="10"/>
      <c r="AH13247" s="10"/>
      <c r="AI13247" s="10"/>
    </row>
    <row r="13248" spans="28:35" ht="15" hidden="1" customHeight="1">
      <c r="AB13248" s="9"/>
      <c r="AC13248" s="9"/>
      <c r="AD13248" s="9"/>
      <c r="AF13248" s="10"/>
      <c r="AG13248" s="10"/>
      <c r="AH13248" s="10"/>
      <c r="AI13248" s="10"/>
    </row>
    <row r="13249" spans="28:35" ht="15" hidden="1" customHeight="1">
      <c r="AB13249" s="9"/>
      <c r="AC13249" s="9"/>
      <c r="AD13249" s="9"/>
      <c r="AF13249" s="10"/>
      <c r="AG13249" s="10"/>
      <c r="AH13249" s="10"/>
      <c r="AI13249" s="10"/>
    </row>
    <row r="13250" spans="28:35" ht="15" hidden="1" customHeight="1">
      <c r="AB13250" s="9"/>
      <c r="AC13250" s="9"/>
      <c r="AD13250" s="9"/>
      <c r="AF13250" s="10"/>
      <c r="AG13250" s="10"/>
      <c r="AH13250" s="10"/>
      <c r="AI13250" s="10"/>
    </row>
    <row r="13251" spans="28:35" ht="15" hidden="1" customHeight="1">
      <c r="AB13251" s="9"/>
      <c r="AC13251" s="9"/>
      <c r="AD13251" s="9"/>
      <c r="AF13251" s="10"/>
      <c r="AG13251" s="10"/>
      <c r="AH13251" s="10"/>
      <c r="AI13251" s="10"/>
    </row>
    <row r="13252" spans="28:35" ht="15" hidden="1" customHeight="1">
      <c r="AB13252" s="9"/>
      <c r="AC13252" s="9"/>
      <c r="AD13252" s="9"/>
      <c r="AF13252" s="10"/>
      <c r="AG13252" s="10"/>
      <c r="AH13252" s="10"/>
      <c r="AI13252" s="10"/>
    </row>
    <row r="13253" spans="28:35" ht="15" hidden="1" customHeight="1">
      <c r="AB13253" s="9"/>
      <c r="AC13253" s="9"/>
      <c r="AD13253" s="9"/>
      <c r="AF13253" s="10"/>
      <c r="AG13253" s="10"/>
      <c r="AH13253" s="10"/>
      <c r="AI13253" s="10"/>
    </row>
    <row r="13254" spans="28:35" ht="15" hidden="1" customHeight="1">
      <c r="AB13254" s="9"/>
      <c r="AC13254" s="9"/>
      <c r="AD13254" s="9"/>
      <c r="AF13254" s="10"/>
      <c r="AG13254" s="10"/>
      <c r="AH13254" s="10"/>
      <c r="AI13254" s="10"/>
    </row>
    <row r="13255" spans="28:35" ht="15" hidden="1" customHeight="1">
      <c r="AB13255" s="9"/>
      <c r="AC13255" s="9"/>
      <c r="AD13255" s="9"/>
      <c r="AF13255" s="10"/>
      <c r="AG13255" s="10"/>
      <c r="AH13255" s="10"/>
      <c r="AI13255" s="10"/>
    </row>
    <row r="13256" spans="28:35" ht="15" hidden="1" customHeight="1">
      <c r="AB13256" s="9"/>
      <c r="AC13256" s="9"/>
      <c r="AD13256" s="9"/>
      <c r="AF13256" s="10"/>
      <c r="AG13256" s="10"/>
      <c r="AH13256" s="10"/>
      <c r="AI13256" s="10"/>
    </row>
    <row r="13257" spans="28:35" ht="15" hidden="1" customHeight="1">
      <c r="AB13257" s="9"/>
      <c r="AC13257" s="9"/>
      <c r="AD13257" s="9"/>
      <c r="AF13257" s="10"/>
      <c r="AG13257" s="10"/>
      <c r="AH13257" s="10"/>
      <c r="AI13257" s="10"/>
    </row>
    <row r="13258" spans="28:35" ht="15" hidden="1" customHeight="1">
      <c r="AB13258" s="9"/>
      <c r="AC13258" s="9"/>
      <c r="AD13258" s="9"/>
      <c r="AF13258" s="10"/>
      <c r="AG13258" s="10"/>
      <c r="AH13258" s="10"/>
      <c r="AI13258" s="10"/>
    </row>
    <row r="13259" spans="28:35" ht="15" hidden="1" customHeight="1">
      <c r="AB13259" s="9"/>
      <c r="AC13259" s="9"/>
      <c r="AD13259" s="9"/>
      <c r="AF13259" s="10"/>
      <c r="AG13259" s="10"/>
      <c r="AH13259" s="10"/>
      <c r="AI13259" s="10"/>
    </row>
    <row r="13260" spans="28:35" ht="15" hidden="1" customHeight="1">
      <c r="AB13260" s="9"/>
      <c r="AC13260" s="9"/>
      <c r="AD13260" s="9"/>
      <c r="AF13260" s="10"/>
      <c r="AG13260" s="10"/>
      <c r="AH13260" s="10"/>
      <c r="AI13260" s="10"/>
    </row>
    <row r="13261" spans="28:35" ht="15" hidden="1" customHeight="1">
      <c r="AB13261" s="9"/>
      <c r="AC13261" s="9"/>
      <c r="AD13261" s="9"/>
      <c r="AF13261" s="10"/>
      <c r="AG13261" s="10"/>
      <c r="AH13261" s="10"/>
      <c r="AI13261" s="10"/>
    </row>
    <row r="13262" spans="28:35" ht="15" hidden="1" customHeight="1">
      <c r="AB13262" s="9"/>
      <c r="AC13262" s="9"/>
      <c r="AD13262" s="9"/>
      <c r="AF13262" s="10"/>
      <c r="AG13262" s="10"/>
      <c r="AH13262" s="10"/>
      <c r="AI13262" s="10"/>
    </row>
    <row r="13263" spans="28:35" ht="15" hidden="1" customHeight="1">
      <c r="AB13263" s="9"/>
      <c r="AC13263" s="9"/>
      <c r="AD13263" s="9"/>
      <c r="AF13263" s="10"/>
      <c r="AG13263" s="10"/>
      <c r="AH13263" s="10"/>
      <c r="AI13263" s="10"/>
    </row>
    <row r="13264" spans="28:35" ht="15" hidden="1" customHeight="1">
      <c r="AB13264" s="9"/>
      <c r="AC13264" s="9"/>
      <c r="AD13264" s="9"/>
      <c r="AF13264" s="10"/>
      <c r="AG13264" s="10"/>
      <c r="AH13264" s="10"/>
      <c r="AI13264" s="10"/>
    </row>
    <row r="13265" spans="28:35" ht="15" hidden="1" customHeight="1">
      <c r="AB13265" s="9"/>
      <c r="AC13265" s="9"/>
      <c r="AD13265" s="9"/>
      <c r="AF13265" s="10"/>
      <c r="AG13265" s="10"/>
      <c r="AH13265" s="10"/>
      <c r="AI13265" s="10"/>
    </row>
    <row r="13266" spans="28:35" ht="15" hidden="1" customHeight="1">
      <c r="AB13266" s="9"/>
      <c r="AC13266" s="9"/>
      <c r="AD13266" s="9"/>
      <c r="AF13266" s="10"/>
      <c r="AG13266" s="10"/>
      <c r="AH13266" s="10"/>
      <c r="AI13266" s="10"/>
    </row>
    <row r="13267" spans="28:35" ht="15" hidden="1" customHeight="1">
      <c r="AB13267" s="9"/>
      <c r="AC13267" s="9"/>
      <c r="AD13267" s="9"/>
      <c r="AF13267" s="10"/>
      <c r="AG13267" s="10"/>
      <c r="AH13267" s="10"/>
      <c r="AI13267" s="10"/>
    </row>
    <row r="13268" spans="28:35" ht="15" hidden="1" customHeight="1">
      <c r="AB13268" s="9"/>
      <c r="AC13268" s="9"/>
      <c r="AD13268" s="9"/>
      <c r="AF13268" s="10"/>
      <c r="AG13268" s="10"/>
      <c r="AH13268" s="10"/>
      <c r="AI13268" s="10"/>
    </row>
    <row r="13269" spans="28:35" ht="15" hidden="1" customHeight="1">
      <c r="AB13269" s="9"/>
      <c r="AC13269" s="9"/>
      <c r="AD13269" s="9"/>
      <c r="AF13269" s="10"/>
      <c r="AG13269" s="10"/>
      <c r="AH13269" s="10"/>
      <c r="AI13269" s="10"/>
    </row>
    <row r="13270" spans="28:35" ht="15" hidden="1" customHeight="1">
      <c r="AB13270" s="9"/>
      <c r="AC13270" s="9"/>
      <c r="AD13270" s="9"/>
      <c r="AF13270" s="10"/>
      <c r="AG13270" s="10"/>
      <c r="AH13270" s="10"/>
      <c r="AI13270" s="10"/>
    </row>
    <row r="13271" spans="28:35" ht="15" hidden="1" customHeight="1">
      <c r="AB13271" s="9"/>
      <c r="AC13271" s="9"/>
      <c r="AD13271" s="9"/>
      <c r="AF13271" s="10"/>
      <c r="AG13271" s="10"/>
      <c r="AH13271" s="10"/>
      <c r="AI13271" s="10"/>
    </row>
    <row r="13272" spans="28:35" ht="15" hidden="1" customHeight="1">
      <c r="AB13272" s="9"/>
      <c r="AC13272" s="9"/>
      <c r="AD13272" s="9"/>
      <c r="AF13272" s="10"/>
      <c r="AG13272" s="10"/>
      <c r="AH13272" s="10"/>
      <c r="AI13272" s="10"/>
    </row>
    <row r="13273" spans="28:35" ht="15" hidden="1" customHeight="1">
      <c r="AB13273" s="9"/>
      <c r="AC13273" s="9"/>
      <c r="AD13273" s="9"/>
      <c r="AF13273" s="10"/>
      <c r="AG13273" s="10"/>
      <c r="AH13273" s="10"/>
      <c r="AI13273" s="10"/>
    </row>
    <row r="13274" spans="28:35" ht="15" hidden="1" customHeight="1">
      <c r="AB13274" s="9"/>
      <c r="AC13274" s="9"/>
      <c r="AD13274" s="9"/>
      <c r="AF13274" s="10"/>
      <c r="AG13274" s="10"/>
      <c r="AH13274" s="10"/>
      <c r="AI13274" s="10"/>
    </row>
    <row r="13275" spans="28:35" ht="15" hidden="1" customHeight="1">
      <c r="AB13275" s="9"/>
      <c r="AC13275" s="9"/>
      <c r="AD13275" s="9"/>
      <c r="AF13275" s="10"/>
      <c r="AG13275" s="10"/>
      <c r="AH13275" s="10"/>
      <c r="AI13275" s="10"/>
    </row>
    <row r="13276" spans="28:35" ht="15" hidden="1" customHeight="1">
      <c r="AB13276" s="9"/>
      <c r="AC13276" s="9"/>
      <c r="AD13276" s="9"/>
      <c r="AF13276" s="10"/>
      <c r="AG13276" s="10"/>
      <c r="AH13276" s="10"/>
      <c r="AI13276" s="10"/>
    </row>
    <row r="13277" spans="28:35" ht="15" hidden="1" customHeight="1">
      <c r="AB13277" s="9"/>
      <c r="AC13277" s="9"/>
      <c r="AD13277" s="9"/>
      <c r="AF13277" s="10"/>
      <c r="AG13277" s="10"/>
      <c r="AH13277" s="10"/>
      <c r="AI13277" s="10"/>
    </row>
    <row r="13278" spans="28:35" ht="15" hidden="1" customHeight="1">
      <c r="AB13278" s="9"/>
      <c r="AC13278" s="9"/>
      <c r="AD13278" s="9"/>
      <c r="AF13278" s="10"/>
      <c r="AG13278" s="10"/>
      <c r="AH13278" s="10"/>
      <c r="AI13278" s="10"/>
    </row>
    <row r="13279" spans="28:35" ht="15" hidden="1" customHeight="1">
      <c r="AB13279" s="9"/>
      <c r="AC13279" s="9"/>
      <c r="AD13279" s="9"/>
      <c r="AF13279" s="10"/>
      <c r="AG13279" s="10"/>
      <c r="AH13279" s="10"/>
      <c r="AI13279" s="10"/>
    </row>
    <row r="13280" spans="28:35" ht="15" hidden="1" customHeight="1">
      <c r="AB13280" s="9"/>
      <c r="AC13280" s="9"/>
      <c r="AD13280" s="9"/>
      <c r="AF13280" s="10"/>
      <c r="AG13280" s="10"/>
      <c r="AH13280" s="10"/>
      <c r="AI13280" s="10"/>
    </row>
    <row r="13281" spans="28:35" ht="15" hidden="1" customHeight="1">
      <c r="AB13281" s="9"/>
      <c r="AC13281" s="9"/>
      <c r="AD13281" s="9"/>
      <c r="AF13281" s="10"/>
      <c r="AG13281" s="10"/>
      <c r="AH13281" s="10"/>
      <c r="AI13281" s="10"/>
    </row>
    <row r="13282" spans="28:35" ht="15" hidden="1" customHeight="1">
      <c r="AB13282" s="9"/>
      <c r="AC13282" s="9"/>
      <c r="AD13282" s="9"/>
      <c r="AF13282" s="10"/>
      <c r="AG13282" s="10"/>
      <c r="AH13282" s="10"/>
      <c r="AI13282" s="10"/>
    </row>
    <row r="13283" spans="28:35" ht="15" hidden="1" customHeight="1">
      <c r="AB13283" s="9"/>
      <c r="AC13283" s="9"/>
      <c r="AD13283" s="9"/>
      <c r="AF13283" s="10"/>
      <c r="AG13283" s="10"/>
      <c r="AH13283" s="10"/>
      <c r="AI13283" s="10"/>
    </row>
    <row r="13284" spans="28:35" ht="15" hidden="1" customHeight="1">
      <c r="AB13284" s="9"/>
      <c r="AC13284" s="9"/>
      <c r="AD13284" s="9"/>
      <c r="AF13284" s="10"/>
      <c r="AG13284" s="10"/>
      <c r="AH13284" s="10"/>
      <c r="AI13284" s="10"/>
    </row>
    <row r="13285" spans="28:35" ht="15" hidden="1" customHeight="1">
      <c r="AB13285" s="9"/>
      <c r="AC13285" s="9"/>
      <c r="AD13285" s="9"/>
      <c r="AF13285" s="10"/>
      <c r="AG13285" s="10"/>
      <c r="AH13285" s="10"/>
      <c r="AI13285" s="10"/>
    </row>
    <row r="13286" spans="28:35" ht="15" hidden="1" customHeight="1">
      <c r="AB13286" s="9"/>
      <c r="AC13286" s="9"/>
      <c r="AD13286" s="9"/>
      <c r="AF13286" s="10"/>
      <c r="AG13286" s="10"/>
      <c r="AH13286" s="10"/>
      <c r="AI13286" s="10"/>
    </row>
    <row r="13287" spans="28:35" ht="15" hidden="1" customHeight="1">
      <c r="AB13287" s="9"/>
      <c r="AC13287" s="9"/>
      <c r="AD13287" s="9"/>
      <c r="AF13287" s="10"/>
      <c r="AG13287" s="10"/>
      <c r="AH13287" s="10"/>
      <c r="AI13287" s="10"/>
    </row>
    <row r="13288" spans="28:35" ht="15" hidden="1" customHeight="1">
      <c r="AB13288" s="9"/>
      <c r="AC13288" s="9"/>
      <c r="AD13288" s="9"/>
      <c r="AF13288" s="10"/>
      <c r="AG13288" s="10"/>
      <c r="AH13288" s="10"/>
      <c r="AI13288" s="10"/>
    </row>
    <row r="13289" spans="28:35" ht="15" hidden="1" customHeight="1">
      <c r="AB13289" s="9"/>
      <c r="AC13289" s="9"/>
      <c r="AD13289" s="9"/>
      <c r="AF13289" s="10"/>
      <c r="AG13289" s="10"/>
      <c r="AH13289" s="10"/>
      <c r="AI13289" s="10"/>
    </row>
    <row r="13290" spans="28:35" ht="15" hidden="1" customHeight="1">
      <c r="AB13290" s="9"/>
      <c r="AC13290" s="9"/>
      <c r="AD13290" s="9"/>
      <c r="AF13290" s="10"/>
      <c r="AG13290" s="10"/>
      <c r="AH13290" s="10"/>
      <c r="AI13290" s="10"/>
    </row>
    <row r="13291" spans="28:35" ht="15" hidden="1" customHeight="1">
      <c r="AB13291" s="9"/>
      <c r="AC13291" s="9"/>
      <c r="AD13291" s="9"/>
      <c r="AF13291" s="10"/>
      <c r="AG13291" s="10"/>
      <c r="AH13291" s="10"/>
      <c r="AI13291" s="10"/>
    </row>
    <row r="13292" spans="28:35" ht="15" hidden="1" customHeight="1">
      <c r="AB13292" s="9"/>
      <c r="AC13292" s="9"/>
      <c r="AD13292" s="9"/>
      <c r="AF13292" s="10"/>
      <c r="AG13292" s="10"/>
      <c r="AH13292" s="10"/>
      <c r="AI13292" s="10"/>
    </row>
    <row r="13293" spans="28:35" ht="15" hidden="1" customHeight="1">
      <c r="AB13293" s="9"/>
      <c r="AC13293" s="9"/>
      <c r="AD13293" s="9"/>
      <c r="AF13293" s="10"/>
      <c r="AG13293" s="10"/>
      <c r="AH13293" s="10"/>
      <c r="AI13293" s="10"/>
    </row>
    <row r="13294" spans="28:35" ht="15" hidden="1" customHeight="1">
      <c r="AB13294" s="9"/>
      <c r="AC13294" s="9"/>
      <c r="AD13294" s="9"/>
      <c r="AF13294" s="10"/>
      <c r="AG13294" s="10"/>
      <c r="AH13294" s="10"/>
      <c r="AI13294" s="10"/>
    </row>
    <row r="13295" spans="28:35" ht="15" hidden="1" customHeight="1">
      <c r="AB13295" s="9"/>
      <c r="AC13295" s="9"/>
      <c r="AD13295" s="9"/>
      <c r="AF13295" s="10"/>
      <c r="AG13295" s="10"/>
      <c r="AH13295" s="10"/>
      <c r="AI13295" s="10"/>
    </row>
    <row r="13296" spans="28:35" ht="15" hidden="1" customHeight="1">
      <c r="AB13296" s="9"/>
      <c r="AC13296" s="9"/>
      <c r="AD13296" s="9"/>
      <c r="AF13296" s="10"/>
      <c r="AG13296" s="10"/>
      <c r="AH13296" s="10"/>
      <c r="AI13296" s="10"/>
    </row>
    <row r="13297" spans="28:35" ht="15" hidden="1" customHeight="1">
      <c r="AB13297" s="9"/>
      <c r="AC13297" s="9"/>
      <c r="AD13297" s="9"/>
      <c r="AF13297" s="10"/>
      <c r="AG13297" s="10"/>
      <c r="AH13297" s="10"/>
      <c r="AI13297" s="10"/>
    </row>
    <row r="13298" spans="28:35" ht="15" hidden="1" customHeight="1">
      <c r="AB13298" s="9"/>
      <c r="AC13298" s="9"/>
      <c r="AD13298" s="9"/>
      <c r="AF13298" s="10"/>
      <c r="AG13298" s="10"/>
      <c r="AH13298" s="10"/>
      <c r="AI13298" s="10"/>
    </row>
    <row r="13299" spans="28:35" ht="15" hidden="1" customHeight="1">
      <c r="AB13299" s="9"/>
      <c r="AC13299" s="9"/>
      <c r="AD13299" s="9"/>
      <c r="AF13299" s="10"/>
      <c r="AG13299" s="10"/>
      <c r="AH13299" s="10"/>
      <c r="AI13299" s="10"/>
    </row>
    <row r="13300" spans="28:35" ht="15" hidden="1" customHeight="1">
      <c r="AB13300" s="9"/>
      <c r="AC13300" s="9"/>
      <c r="AD13300" s="9"/>
      <c r="AF13300" s="10"/>
      <c r="AG13300" s="10"/>
      <c r="AH13300" s="10"/>
      <c r="AI13300" s="10"/>
    </row>
    <row r="13301" spans="28:35" ht="15" hidden="1" customHeight="1">
      <c r="AB13301" s="9"/>
      <c r="AC13301" s="9"/>
      <c r="AD13301" s="9"/>
      <c r="AF13301" s="10"/>
      <c r="AG13301" s="10"/>
      <c r="AH13301" s="10"/>
      <c r="AI13301" s="10"/>
    </row>
    <row r="13302" spans="28:35" ht="15" hidden="1" customHeight="1">
      <c r="AB13302" s="9"/>
      <c r="AC13302" s="9"/>
      <c r="AD13302" s="9"/>
      <c r="AF13302" s="10"/>
      <c r="AG13302" s="10"/>
      <c r="AH13302" s="10"/>
      <c r="AI13302" s="10"/>
    </row>
    <row r="13303" spans="28:35" ht="15" hidden="1" customHeight="1">
      <c r="AB13303" s="9"/>
      <c r="AC13303" s="9"/>
      <c r="AD13303" s="9"/>
      <c r="AF13303" s="10"/>
      <c r="AG13303" s="10"/>
      <c r="AH13303" s="10"/>
      <c r="AI13303" s="10"/>
    </row>
    <row r="13304" spans="28:35" ht="15" hidden="1" customHeight="1">
      <c r="AB13304" s="9"/>
      <c r="AC13304" s="9"/>
      <c r="AD13304" s="9"/>
      <c r="AF13304" s="10"/>
      <c r="AG13304" s="10"/>
      <c r="AH13304" s="10"/>
      <c r="AI13304" s="10"/>
    </row>
    <row r="13305" spans="28:35" ht="15" hidden="1" customHeight="1">
      <c r="AB13305" s="9"/>
      <c r="AC13305" s="9"/>
      <c r="AD13305" s="9"/>
      <c r="AF13305" s="10"/>
      <c r="AG13305" s="10"/>
      <c r="AH13305" s="10"/>
      <c r="AI13305" s="10"/>
    </row>
    <row r="13306" spans="28:35" ht="15" hidden="1" customHeight="1">
      <c r="AB13306" s="9"/>
      <c r="AC13306" s="9"/>
      <c r="AD13306" s="9"/>
      <c r="AF13306" s="10"/>
      <c r="AG13306" s="10"/>
      <c r="AH13306" s="10"/>
      <c r="AI13306" s="10"/>
    </row>
    <row r="13307" spans="28:35" ht="15" hidden="1" customHeight="1">
      <c r="AB13307" s="9"/>
      <c r="AC13307" s="9"/>
      <c r="AD13307" s="9"/>
      <c r="AF13307" s="10"/>
      <c r="AG13307" s="10"/>
      <c r="AH13307" s="10"/>
      <c r="AI13307" s="10"/>
    </row>
    <row r="13308" spans="28:35" ht="15" hidden="1" customHeight="1">
      <c r="AB13308" s="9"/>
      <c r="AC13308" s="9"/>
      <c r="AD13308" s="9"/>
      <c r="AF13308" s="10"/>
      <c r="AG13308" s="10"/>
      <c r="AH13308" s="10"/>
      <c r="AI13308" s="10"/>
    </row>
    <row r="13309" spans="28:35" ht="15" hidden="1" customHeight="1">
      <c r="AB13309" s="9"/>
      <c r="AC13309" s="9"/>
      <c r="AD13309" s="9"/>
      <c r="AF13309" s="10"/>
      <c r="AG13309" s="10"/>
      <c r="AH13309" s="10"/>
      <c r="AI13309" s="10"/>
    </row>
    <row r="13310" spans="28:35" ht="15" hidden="1" customHeight="1">
      <c r="AB13310" s="9"/>
      <c r="AC13310" s="9"/>
      <c r="AD13310" s="9"/>
      <c r="AF13310" s="10"/>
      <c r="AG13310" s="10"/>
      <c r="AH13310" s="10"/>
      <c r="AI13310" s="10"/>
    </row>
    <row r="13311" spans="28:35" ht="15" hidden="1" customHeight="1">
      <c r="AB13311" s="9"/>
      <c r="AC13311" s="9"/>
      <c r="AD13311" s="9"/>
      <c r="AF13311" s="10"/>
      <c r="AG13311" s="10"/>
      <c r="AH13311" s="10"/>
      <c r="AI13311" s="10"/>
    </row>
    <row r="13312" spans="28:35" ht="15" hidden="1" customHeight="1">
      <c r="AB13312" s="9"/>
      <c r="AC13312" s="9"/>
      <c r="AD13312" s="9"/>
      <c r="AF13312" s="10"/>
      <c r="AG13312" s="10"/>
      <c r="AH13312" s="10"/>
      <c r="AI13312" s="10"/>
    </row>
    <row r="13313" spans="28:35" ht="15" hidden="1" customHeight="1">
      <c r="AB13313" s="9"/>
      <c r="AC13313" s="9"/>
      <c r="AD13313" s="9"/>
      <c r="AF13313" s="10"/>
      <c r="AG13313" s="10"/>
      <c r="AH13313" s="10"/>
      <c r="AI13313" s="10"/>
    </row>
    <row r="13314" spans="28:35" ht="15" hidden="1" customHeight="1">
      <c r="AB13314" s="9"/>
      <c r="AC13314" s="9"/>
      <c r="AD13314" s="9"/>
      <c r="AF13314" s="10"/>
      <c r="AG13314" s="10"/>
      <c r="AH13314" s="10"/>
      <c r="AI13314" s="10"/>
    </row>
    <row r="13315" spans="28:35" ht="15" hidden="1" customHeight="1">
      <c r="AB13315" s="9"/>
      <c r="AC13315" s="9"/>
      <c r="AD13315" s="9"/>
      <c r="AF13315" s="10"/>
      <c r="AG13315" s="10"/>
      <c r="AH13315" s="10"/>
      <c r="AI13315" s="10"/>
    </row>
    <row r="13316" spans="28:35" ht="15" hidden="1" customHeight="1">
      <c r="AB13316" s="9"/>
      <c r="AC13316" s="9"/>
      <c r="AD13316" s="9"/>
      <c r="AF13316" s="10"/>
      <c r="AG13316" s="10"/>
      <c r="AH13316" s="10"/>
      <c r="AI13316" s="10"/>
    </row>
    <row r="13317" spans="28:35" ht="15" hidden="1" customHeight="1">
      <c r="AB13317" s="9"/>
      <c r="AC13317" s="9"/>
      <c r="AD13317" s="9"/>
      <c r="AF13317" s="10"/>
      <c r="AG13317" s="10"/>
      <c r="AH13317" s="10"/>
      <c r="AI13317" s="10"/>
    </row>
    <row r="13318" spans="28:35" ht="15" hidden="1" customHeight="1">
      <c r="AB13318" s="9"/>
      <c r="AC13318" s="9"/>
      <c r="AD13318" s="9"/>
      <c r="AF13318" s="10"/>
      <c r="AG13318" s="10"/>
      <c r="AH13318" s="10"/>
      <c r="AI13318" s="10"/>
    </row>
    <row r="13319" spans="28:35" ht="15" hidden="1" customHeight="1">
      <c r="AB13319" s="9"/>
      <c r="AC13319" s="9"/>
      <c r="AD13319" s="9"/>
      <c r="AF13319" s="10"/>
      <c r="AG13319" s="10"/>
      <c r="AH13319" s="10"/>
      <c r="AI13319" s="10"/>
    </row>
    <row r="13320" spans="28:35" ht="15" hidden="1" customHeight="1">
      <c r="AB13320" s="9"/>
      <c r="AC13320" s="9"/>
      <c r="AD13320" s="9"/>
      <c r="AF13320" s="10"/>
      <c r="AG13320" s="10"/>
      <c r="AH13320" s="10"/>
      <c r="AI13320" s="10"/>
    </row>
    <row r="13321" spans="28:35" ht="15" hidden="1" customHeight="1">
      <c r="AB13321" s="9"/>
      <c r="AC13321" s="9"/>
      <c r="AD13321" s="9"/>
      <c r="AF13321" s="10"/>
      <c r="AG13321" s="10"/>
      <c r="AH13321" s="10"/>
      <c r="AI13321" s="10"/>
    </row>
    <row r="13322" spans="28:35" ht="15" hidden="1" customHeight="1">
      <c r="AB13322" s="9"/>
      <c r="AC13322" s="9"/>
      <c r="AD13322" s="9"/>
      <c r="AF13322" s="10"/>
      <c r="AG13322" s="10"/>
      <c r="AH13322" s="10"/>
      <c r="AI13322" s="10"/>
    </row>
    <row r="13323" spans="28:35" ht="15" hidden="1" customHeight="1">
      <c r="AB13323" s="9"/>
      <c r="AC13323" s="9"/>
      <c r="AD13323" s="9"/>
      <c r="AF13323" s="10"/>
      <c r="AG13323" s="10"/>
      <c r="AH13323" s="10"/>
      <c r="AI13323" s="10"/>
    </row>
    <row r="13324" spans="28:35" ht="15" hidden="1" customHeight="1">
      <c r="AB13324" s="9"/>
      <c r="AC13324" s="9"/>
      <c r="AD13324" s="9"/>
      <c r="AF13324" s="10"/>
      <c r="AG13324" s="10"/>
      <c r="AH13324" s="10"/>
      <c r="AI13324" s="10"/>
    </row>
    <row r="13325" spans="28:35" ht="15" hidden="1" customHeight="1">
      <c r="AB13325" s="9"/>
      <c r="AC13325" s="9"/>
      <c r="AD13325" s="9"/>
      <c r="AF13325" s="10"/>
      <c r="AG13325" s="10"/>
      <c r="AH13325" s="10"/>
      <c r="AI13325" s="10"/>
    </row>
    <row r="13326" spans="28:35" ht="15" hidden="1" customHeight="1">
      <c r="AB13326" s="9"/>
      <c r="AC13326" s="9"/>
      <c r="AD13326" s="9"/>
      <c r="AF13326" s="10"/>
      <c r="AG13326" s="10"/>
      <c r="AH13326" s="10"/>
      <c r="AI13326" s="10"/>
    </row>
    <row r="13327" spans="28:35" ht="15" hidden="1" customHeight="1">
      <c r="AB13327" s="9"/>
      <c r="AC13327" s="9"/>
      <c r="AD13327" s="9"/>
      <c r="AF13327" s="10"/>
      <c r="AG13327" s="10"/>
      <c r="AH13327" s="10"/>
      <c r="AI13327" s="10"/>
    </row>
    <row r="13328" spans="28:35" ht="15" hidden="1" customHeight="1">
      <c r="AB13328" s="9"/>
      <c r="AC13328" s="9"/>
      <c r="AD13328" s="9"/>
      <c r="AF13328" s="10"/>
      <c r="AG13328" s="10"/>
      <c r="AH13328" s="10"/>
      <c r="AI13328" s="10"/>
    </row>
    <row r="13329" spans="28:35" ht="15" hidden="1" customHeight="1">
      <c r="AB13329" s="9"/>
      <c r="AC13329" s="9"/>
      <c r="AD13329" s="9"/>
      <c r="AF13329" s="10"/>
      <c r="AG13329" s="10"/>
      <c r="AH13329" s="10"/>
      <c r="AI13329" s="10"/>
    </row>
    <row r="13330" spans="28:35" ht="15" hidden="1" customHeight="1">
      <c r="AB13330" s="9"/>
      <c r="AC13330" s="9"/>
      <c r="AD13330" s="9"/>
      <c r="AF13330" s="10"/>
      <c r="AG13330" s="10"/>
      <c r="AH13330" s="10"/>
      <c r="AI13330" s="10"/>
    </row>
    <row r="13331" spans="28:35" ht="15" hidden="1" customHeight="1">
      <c r="AB13331" s="9"/>
      <c r="AC13331" s="9"/>
      <c r="AD13331" s="9"/>
      <c r="AF13331" s="10"/>
      <c r="AG13331" s="10"/>
      <c r="AH13331" s="10"/>
      <c r="AI13331" s="10"/>
    </row>
    <row r="13332" spans="28:35" ht="15" hidden="1" customHeight="1">
      <c r="AB13332" s="9"/>
      <c r="AC13332" s="9"/>
      <c r="AD13332" s="9"/>
      <c r="AF13332" s="10"/>
      <c r="AG13332" s="10"/>
      <c r="AH13332" s="10"/>
      <c r="AI13332" s="10"/>
    </row>
    <row r="13333" spans="28:35" ht="15" hidden="1" customHeight="1">
      <c r="AB13333" s="9"/>
      <c r="AC13333" s="9"/>
      <c r="AD13333" s="9"/>
      <c r="AF13333" s="10"/>
      <c r="AG13333" s="10"/>
      <c r="AH13333" s="10"/>
      <c r="AI13333" s="10"/>
    </row>
    <row r="13334" spans="28:35" ht="15" hidden="1" customHeight="1">
      <c r="AB13334" s="9"/>
      <c r="AC13334" s="9"/>
      <c r="AD13334" s="9"/>
      <c r="AF13334" s="10"/>
      <c r="AG13334" s="10"/>
      <c r="AH13334" s="10"/>
      <c r="AI13334" s="10"/>
    </row>
    <row r="13335" spans="28:35" ht="15" hidden="1" customHeight="1">
      <c r="AB13335" s="9"/>
      <c r="AC13335" s="9"/>
      <c r="AD13335" s="9"/>
      <c r="AF13335" s="10"/>
      <c r="AG13335" s="10"/>
      <c r="AH13335" s="10"/>
      <c r="AI13335" s="10"/>
    </row>
    <row r="13336" spans="28:35" ht="15" hidden="1" customHeight="1">
      <c r="AB13336" s="9"/>
      <c r="AC13336" s="9"/>
      <c r="AD13336" s="9"/>
      <c r="AF13336" s="10"/>
      <c r="AG13336" s="10"/>
      <c r="AH13336" s="10"/>
      <c r="AI13336" s="10"/>
    </row>
    <row r="13337" spans="28:35" ht="15" hidden="1" customHeight="1">
      <c r="AB13337" s="9"/>
      <c r="AC13337" s="9"/>
      <c r="AD13337" s="9"/>
      <c r="AF13337" s="10"/>
      <c r="AG13337" s="10"/>
      <c r="AH13337" s="10"/>
      <c r="AI13337" s="10"/>
    </row>
    <row r="13338" spans="28:35" ht="15" hidden="1" customHeight="1">
      <c r="AB13338" s="9"/>
      <c r="AC13338" s="9"/>
      <c r="AD13338" s="9"/>
      <c r="AF13338" s="10"/>
      <c r="AG13338" s="10"/>
      <c r="AH13338" s="10"/>
      <c r="AI13338" s="10"/>
    </row>
    <row r="13339" spans="28:35" ht="15" hidden="1" customHeight="1">
      <c r="AB13339" s="9"/>
      <c r="AC13339" s="9"/>
      <c r="AD13339" s="9"/>
      <c r="AF13339" s="10"/>
      <c r="AG13339" s="10"/>
      <c r="AH13339" s="10"/>
      <c r="AI13339" s="10"/>
    </row>
    <row r="13340" spans="28:35" ht="15" hidden="1" customHeight="1">
      <c r="AB13340" s="9"/>
      <c r="AC13340" s="9"/>
      <c r="AD13340" s="9"/>
      <c r="AF13340" s="10"/>
      <c r="AG13340" s="10"/>
      <c r="AH13340" s="10"/>
      <c r="AI13340" s="10"/>
    </row>
    <row r="13341" spans="28:35" ht="15" hidden="1" customHeight="1">
      <c r="AB13341" s="9"/>
      <c r="AC13341" s="9"/>
      <c r="AD13341" s="9"/>
      <c r="AF13341" s="10"/>
      <c r="AG13341" s="10"/>
      <c r="AH13341" s="10"/>
      <c r="AI13341" s="10"/>
    </row>
    <row r="13342" spans="28:35" ht="15" hidden="1" customHeight="1">
      <c r="AB13342" s="9"/>
      <c r="AC13342" s="9"/>
      <c r="AD13342" s="9"/>
      <c r="AF13342" s="10"/>
      <c r="AG13342" s="10"/>
      <c r="AH13342" s="10"/>
      <c r="AI13342" s="10"/>
    </row>
    <row r="13343" spans="28:35" ht="15" hidden="1" customHeight="1">
      <c r="AB13343" s="9"/>
      <c r="AC13343" s="9"/>
      <c r="AD13343" s="9"/>
      <c r="AF13343" s="10"/>
      <c r="AG13343" s="10"/>
      <c r="AH13343" s="10"/>
      <c r="AI13343" s="10"/>
    </row>
    <row r="13344" spans="28:35" ht="15" hidden="1" customHeight="1">
      <c r="AB13344" s="9"/>
      <c r="AC13344" s="9"/>
      <c r="AD13344" s="9"/>
      <c r="AF13344" s="10"/>
      <c r="AG13344" s="10"/>
      <c r="AH13344" s="10"/>
      <c r="AI13344" s="10"/>
    </row>
    <row r="13345" spans="28:35" ht="15" hidden="1" customHeight="1">
      <c r="AB13345" s="9"/>
      <c r="AC13345" s="9"/>
      <c r="AD13345" s="9"/>
      <c r="AF13345" s="10"/>
      <c r="AG13345" s="10"/>
      <c r="AH13345" s="10"/>
      <c r="AI13345" s="10"/>
    </row>
    <row r="13346" spans="28:35" ht="15" hidden="1" customHeight="1">
      <c r="AB13346" s="9"/>
      <c r="AC13346" s="9"/>
      <c r="AD13346" s="9"/>
      <c r="AF13346" s="10"/>
      <c r="AG13346" s="10"/>
      <c r="AH13346" s="10"/>
      <c r="AI13346" s="10"/>
    </row>
    <row r="13347" spans="28:35" ht="15" hidden="1" customHeight="1">
      <c r="AB13347" s="9"/>
      <c r="AC13347" s="9"/>
      <c r="AD13347" s="9"/>
      <c r="AF13347" s="10"/>
      <c r="AG13347" s="10"/>
      <c r="AH13347" s="10"/>
      <c r="AI13347" s="10"/>
    </row>
    <row r="13348" spans="28:35" ht="15" hidden="1" customHeight="1">
      <c r="AB13348" s="9"/>
      <c r="AC13348" s="9"/>
      <c r="AD13348" s="9"/>
      <c r="AF13348" s="10"/>
      <c r="AG13348" s="10"/>
      <c r="AH13348" s="10"/>
      <c r="AI13348" s="10"/>
    </row>
    <row r="13349" spans="28:35" ht="15" hidden="1" customHeight="1">
      <c r="AB13349" s="9"/>
      <c r="AC13349" s="9"/>
      <c r="AD13349" s="9"/>
      <c r="AF13349" s="10"/>
      <c r="AG13349" s="10"/>
      <c r="AH13349" s="10"/>
      <c r="AI13349" s="10"/>
    </row>
    <row r="13350" spans="28:35" ht="15" hidden="1" customHeight="1">
      <c r="AB13350" s="9"/>
      <c r="AC13350" s="9"/>
      <c r="AD13350" s="9"/>
      <c r="AF13350" s="10"/>
      <c r="AG13350" s="10"/>
      <c r="AH13350" s="10"/>
      <c r="AI13350" s="10"/>
    </row>
    <row r="13351" spans="28:35" ht="15" hidden="1" customHeight="1">
      <c r="AB13351" s="9"/>
      <c r="AC13351" s="9"/>
      <c r="AD13351" s="9"/>
      <c r="AF13351" s="10"/>
      <c r="AG13351" s="10"/>
      <c r="AH13351" s="10"/>
      <c r="AI13351" s="10"/>
    </row>
    <row r="13352" spans="28:35" ht="15" hidden="1" customHeight="1">
      <c r="AB13352" s="9"/>
      <c r="AC13352" s="9"/>
      <c r="AD13352" s="9"/>
      <c r="AF13352" s="10"/>
      <c r="AG13352" s="10"/>
      <c r="AH13352" s="10"/>
      <c r="AI13352" s="10"/>
    </row>
    <row r="13353" spans="28:35" ht="15" hidden="1" customHeight="1">
      <c r="AB13353" s="9"/>
      <c r="AC13353" s="9"/>
      <c r="AD13353" s="9"/>
      <c r="AF13353" s="10"/>
      <c r="AG13353" s="10"/>
      <c r="AH13353" s="10"/>
      <c r="AI13353" s="10"/>
    </row>
    <row r="13354" spans="28:35" ht="15" hidden="1" customHeight="1">
      <c r="AB13354" s="9"/>
      <c r="AC13354" s="9"/>
      <c r="AD13354" s="9"/>
      <c r="AF13354" s="10"/>
      <c r="AG13354" s="10"/>
      <c r="AH13354" s="10"/>
      <c r="AI13354" s="10"/>
    </row>
    <row r="13355" spans="28:35" ht="15" hidden="1" customHeight="1">
      <c r="AB13355" s="9"/>
      <c r="AC13355" s="9"/>
      <c r="AD13355" s="9"/>
      <c r="AF13355" s="10"/>
      <c r="AG13355" s="10"/>
      <c r="AH13355" s="10"/>
      <c r="AI13355" s="10"/>
    </row>
    <row r="13356" spans="28:35" ht="15" hidden="1" customHeight="1">
      <c r="AB13356" s="9"/>
      <c r="AC13356" s="9"/>
      <c r="AD13356" s="9"/>
      <c r="AF13356" s="10"/>
      <c r="AG13356" s="10"/>
      <c r="AH13356" s="10"/>
      <c r="AI13356" s="10"/>
    </row>
    <row r="13357" spans="28:35" ht="15" hidden="1" customHeight="1">
      <c r="AB13357" s="9"/>
      <c r="AC13357" s="9"/>
      <c r="AD13357" s="9"/>
      <c r="AF13357" s="10"/>
      <c r="AG13357" s="10"/>
      <c r="AH13357" s="10"/>
      <c r="AI13357" s="10"/>
    </row>
    <row r="13358" spans="28:35" ht="15" hidden="1" customHeight="1">
      <c r="AB13358" s="9"/>
      <c r="AC13358" s="9"/>
      <c r="AD13358" s="9"/>
      <c r="AF13358" s="10"/>
      <c r="AG13358" s="10"/>
      <c r="AH13358" s="10"/>
      <c r="AI13358" s="10"/>
    </row>
    <row r="13359" spans="28:35" ht="15" hidden="1" customHeight="1">
      <c r="AB13359" s="9"/>
      <c r="AC13359" s="9"/>
      <c r="AD13359" s="9"/>
      <c r="AF13359" s="10"/>
      <c r="AG13359" s="10"/>
      <c r="AH13359" s="10"/>
      <c r="AI13359" s="10"/>
    </row>
    <row r="13360" spans="28:35" ht="15" hidden="1" customHeight="1">
      <c r="AB13360" s="9"/>
      <c r="AC13360" s="9"/>
      <c r="AD13360" s="9"/>
      <c r="AF13360" s="10"/>
      <c r="AG13360" s="10"/>
      <c r="AH13360" s="10"/>
      <c r="AI13360" s="10"/>
    </row>
    <row r="13361" spans="28:35" ht="15" hidden="1" customHeight="1">
      <c r="AB13361" s="9"/>
      <c r="AC13361" s="9"/>
      <c r="AD13361" s="9"/>
      <c r="AF13361" s="10"/>
      <c r="AG13361" s="10"/>
      <c r="AH13361" s="10"/>
      <c r="AI13361" s="10"/>
    </row>
    <row r="13362" spans="28:35" ht="15" hidden="1" customHeight="1">
      <c r="AB13362" s="9"/>
      <c r="AC13362" s="9"/>
      <c r="AD13362" s="9"/>
      <c r="AF13362" s="10"/>
      <c r="AG13362" s="10"/>
      <c r="AH13362" s="10"/>
      <c r="AI13362" s="10"/>
    </row>
    <row r="13363" spans="28:35" ht="15" hidden="1" customHeight="1">
      <c r="AB13363" s="9"/>
      <c r="AC13363" s="9"/>
      <c r="AD13363" s="9"/>
      <c r="AF13363" s="10"/>
      <c r="AG13363" s="10"/>
      <c r="AH13363" s="10"/>
      <c r="AI13363" s="10"/>
    </row>
    <row r="13364" spans="28:35" ht="15" hidden="1" customHeight="1">
      <c r="AB13364" s="9"/>
      <c r="AC13364" s="9"/>
      <c r="AD13364" s="9"/>
      <c r="AF13364" s="10"/>
      <c r="AG13364" s="10"/>
      <c r="AH13364" s="10"/>
      <c r="AI13364" s="10"/>
    </row>
    <row r="13365" spans="28:35" ht="15" hidden="1" customHeight="1">
      <c r="AB13365" s="9"/>
      <c r="AC13365" s="9"/>
      <c r="AD13365" s="9"/>
      <c r="AF13365" s="10"/>
      <c r="AG13365" s="10"/>
      <c r="AH13365" s="10"/>
      <c r="AI13365" s="10"/>
    </row>
    <row r="13366" spans="28:35" ht="15" hidden="1" customHeight="1">
      <c r="AB13366" s="9"/>
      <c r="AC13366" s="9"/>
      <c r="AD13366" s="9"/>
      <c r="AF13366" s="10"/>
      <c r="AG13366" s="10"/>
      <c r="AH13366" s="10"/>
      <c r="AI13366" s="10"/>
    </row>
    <row r="13367" spans="28:35" ht="15" hidden="1" customHeight="1">
      <c r="AB13367" s="9"/>
      <c r="AC13367" s="9"/>
      <c r="AD13367" s="9"/>
      <c r="AF13367" s="10"/>
      <c r="AG13367" s="10"/>
      <c r="AH13367" s="10"/>
      <c r="AI13367" s="10"/>
    </row>
    <row r="13368" spans="28:35" ht="15" hidden="1" customHeight="1">
      <c r="AB13368" s="9"/>
      <c r="AC13368" s="9"/>
      <c r="AD13368" s="9"/>
      <c r="AF13368" s="10"/>
      <c r="AG13368" s="10"/>
      <c r="AH13368" s="10"/>
      <c r="AI13368" s="10"/>
    </row>
    <row r="13369" spans="28:35" ht="15" hidden="1" customHeight="1">
      <c r="AB13369" s="9"/>
      <c r="AC13369" s="9"/>
      <c r="AD13369" s="9"/>
      <c r="AF13369" s="10"/>
      <c r="AG13369" s="10"/>
      <c r="AH13369" s="10"/>
      <c r="AI13369" s="10"/>
    </row>
    <row r="13370" spans="28:35" ht="15" hidden="1" customHeight="1">
      <c r="AB13370" s="9"/>
      <c r="AC13370" s="9"/>
      <c r="AD13370" s="9"/>
      <c r="AF13370" s="10"/>
      <c r="AG13370" s="10"/>
      <c r="AH13370" s="10"/>
      <c r="AI13370" s="10"/>
    </row>
    <row r="13371" spans="28:35" ht="15" hidden="1" customHeight="1">
      <c r="AB13371" s="9"/>
      <c r="AC13371" s="9"/>
      <c r="AD13371" s="9"/>
      <c r="AF13371" s="10"/>
      <c r="AG13371" s="10"/>
      <c r="AH13371" s="10"/>
      <c r="AI13371" s="10"/>
    </row>
    <row r="13372" spans="28:35" ht="15" hidden="1" customHeight="1">
      <c r="AB13372" s="9"/>
      <c r="AC13372" s="9"/>
      <c r="AD13372" s="9"/>
      <c r="AF13372" s="10"/>
      <c r="AG13372" s="10"/>
      <c r="AH13372" s="10"/>
      <c r="AI13372" s="10"/>
    </row>
    <row r="13373" spans="28:35" ht="15" hidden="1" customHeight="1">
      <c r="AB13373" s="9"/>
      <c r="AC13373" s="9"/>
      <c r="AD13373" s="9"/>
      <c r="AF13373" s="10"/>
      <c r="AG13373" s="10"/>
      <c r="AH13373" s="10"/>
      <c r="AI13373" s="10"/>
    </row>
    <row r="13374" spans="28:35" ht="15" hidden="1" customHeight="1">
      <c r="AB13374" s="9"/>
      <c r="AC13374" s="9"/>
      <c r="AD13374" s="9"/>
      <c r="AF13374" s="10"/>
      <c r="AG13374" s="10"/>
      <c r="AH13374" s="10"/>
      <c r="AI13374" s="10"/>
    </row>
    <row r="13375" spans="28:35" ht="15" hidden="1" customHeight="1">
      <c r="AB13375" s="9"/>
      <c r="AC13375" s="9"/>
      <c r="AD13375" s="9"/>
      <c r="AF13375" s="10"/>
      <c r="AG13375" s="10"/>
      <c r="AH13375" s="10"/>
      <c r="AI13375" s="10"/>
    </row>
    <row r="13376" spans="28:35" ht="15" hidden="1" customHeight="1">
      <c r="AB13376" s="9"/>
      <c r="AC13376" s="9"/>
      <c r="AD13376" s="9"/>
      <c r="AF13376" s="10"/>
      <c r="AG13376" s="10"/>
      <c r="AH13376" s="10"/>
      <c r="AI13376" s="10"/>
    </row>
    <row r="13377" spans="28:35" ht="15" hidden="1" customHeight="1">
      <c r="AB13377" s="9"/>
      <c r="AC13377" s="9"/>
      <c r="AD13377" s="9"/>
      <c r="AF13377" s="10"/>
      <c r="AG13377" s="10"/>
      <c r="AH13377" s="10"/>
      <c r="AI13377" s="10"/>
    </row>
    <row r="13378" spans="28:35" ht="15" hidden="1" customHeight="1">
      <c r="AB13378" s="9"/>
      <c r="AC13378" s="9"/>
      <c r="AD13378" s="9"/>
      <c r="AF13378" s="10"/>
      <c r="AG13378" s="10"/>
      <c r="AH13378" s="10"/>
      <c r="AI13378" s="10"/>
    </row>
    <row r="13379" spans="28:35" ht="15" hidden="1" customHeight="1">
      <c r="AB13379" s="9"/>
      <c r="AC13379" s="9"/>
      <c r="AD13379" s="9"/>
      <c r="AF13379" s="10"/>
      <c r="AG13379" s="10"/>
      <c r="AH13379" s="10"/>
      <c r="AI13379" s="10"/>
    </row>
    <row r="13380" spans="28:35" ht="15" hidden="1" customHeight="1">
      <c r="AB13380" s="9"/>
      <c r="AC13380" s="9"/>
      <c r="AD13380" s="9"/>
      <c r="AF13380" s="10"/>
      <c r="AG13380" s="10"/>
      <c r="AH13380" s="10"/>
      <c r="AI13380" s="10"/>
    </row>
    <row r="13381" spans="28:35" ht="15" hidden="1" customHeight="1">
      <c r="AB13381" s="9"/>
      <c r="AC13381" s="9"/>
      <c r="AD13381" s="9"/>
      <c r="AF13381" s="10"/>
      <c r="AG13381" s="10"/>
      <c r="AH13381" s="10"/>
      <c r="AI13381" s="10"/>
    </row>
    <row r="13382" spans="28:35" ht="15" hidden="1" customHeight="1">
      <c r="AB13382" s="9"/>
      <c r="AC13382" s="9"/>
      <c r="AD13382" s="9"/>
      <c r="AF13382" s="10"/>
      <c r="AG13382" s="10"/>
      <c r="AH13382" s="10"/>
      <c r="AI13382" s="10"/>
    </row>
    <row r="13383" spans="28:35" ht="15" hidden="1" customHeight="1">
      <c r="AB13383" s="9"/>
      <c r="AC13383" s="9"/>
      <c r="AD13383" s="9"/>
      <c r="AF13383" s="10"/>
      <c r="AG13383" s="10"/>
      <c r="AH13383" s="10"/>
      <c r="AI13383" s="10"/>
    </row>
    <row r="13384" spans="28:35" ht="15" hidden="1" customHeight="1">
      <c r="AB13384" s="9"/>
      <c r="AC13384" s="9"/>
      <c r="AD13384" s="9"/>
      <c r="AF13384" s="10"/>
      <c r="AG13384" s="10"/>
      <c r="AH13384" s="10"/>
      <c r="AI13384" s="10"/>
    </row>
    <row r="13385" spans="28:35" ht="15" hidden="1" customHeight="1">
      <c r="AB13385" s="9"/>
      <c r="AC13385" s="9"/>
      <c r="AD13385" s="9"/>
      <c r="AF13385" s="10"/>
      <c r="AG13385" s="10"/>
      <c r="AH13385" s="10"/>
      <c r="AI13385" s="10"/>
    </row>
    <row r="13386" spans="28:35" ht="15" hidden="1" customHeight="1">
      <c r="AB13386" s="9"/>
      <c r="AC13386" s="9"/>
      <c r="AD13386" s="9"/>
      <c r="AF13386" s="10"/>
      <c r="AG13386" s="10"/>
      <c r="AH13386" s="10"/>
      <c r="AI13386" s="10"/>
    </row>
    <row r="13387" spans="28:35" ht="15" hidden="1" customHeight="1">
      <c r="AB13387" s="9"/>
      <c r="AC13387" s="9"/>
      <c r="AD13387" s="9"/>
      <c r="AF13387" s="10"/>
      <c r="AG13387" s="10"/>
      <c r="AH13387" s="10"/>
      <c r="AI13387" s="10"/>
    </row>
    <row r="13388" spans="28:35" ht="15" hidden="1" customHeight="1">
      <c r="AB13388" s="9"/>
      <c r="AC13388" s="9"/>
      <c r="AD13388" s="9"/>
      <c r="AF13388" s="10"/>
      <c r="AG13388" s="10"/>
      <c r="AH13388" s="10"/>
      <c r="AI13388" s="10"/>
    </row>
    <row r="13389" spans="28:35" ht="15" hidden="1" customHeight="1">
      <c r="AB13389" s="9"/>
      <c r="AC13389" s="9"/>
      <c r="AD13389" s="9"/>
      <c r="AF13389" s="10"/>
      <c r="AG13389" s="10"/>
      <c r="AH13389" s="10"/>
      <c r="AI13389" s="10"/>
    </row>
    <row r="13390" spans="28:35" ht="15" hidden="1" customHeight="1">
      <c r="AB13390" s="9"/>
      <c r="AC13390" s="9"/>
      <c r="AD13390" s="9"/>
      <c r="AF13390" s="10"/>
      <c r="AG13390" s="10"/>
      <c r="AH13390" s="10"/>
      <c r="AI13390" s="10"/>
    </row>
    <row r="13391" spans="28:35" ht="15" hidden="1" customHeight="1">
      <c r="AB13391" s="9"/>
      <c r="AC13391" s="9"/>
      <c r="AD13391" s="9"/>
      <c r="AF13391" s="10"/>
      <c r="AG13391" s="10"/>
      <c r="AH13391" s="10"/>
      <c r="AI13391" s="10"/>
    </row>
    <row r="13392" spans="28:35" ht="15" hidden="1" customHeight="1">
      <c r="AB13392" s="9"/>
      <c r="AC13392" s="9"/>
      <c r="AD13392" s="9"/>
      <c r="AF13392" s="10"/>
      <c r="AG13392" s="10"/>
      <c r="AH13392" s="10"/>
      <c r="AI13392" s="10"/>
    </row>
    <row r="13393" spans="28:35" ht="15" hidden="1" customHeight="1">
      <c r="AB13393" s="9"/>
      <c r="AC13393" s="9"/>
      <c r="AD13393" s="9"/>
      <c r="AF13393" s="10"/>
      <c r="AG13393" s="10"/>
      <c r="AH13393" s="10"/>
      <c r="AI13393" s="10"/>
    </row>
    <row r="13394" spans="28:35" ht="15" hidden="1" customHeight="1">
      <c r="AB13394" s="9"/>
      <c r="AC13394" s="9"/>
      <c r="AD13394" s="9"/>
      <c r="AF13394" s="10"/>
      <c r="AG13394" s="10"/>
      <c r="AH13394" s="10"/>
      <c r="AI13394" s="10"/>
    </row>
    <row r="13395" spans="28:35" ht="15" hidden="1" customHeight="1">
      <c r="AB13395" s="9"/>
      <c r="AC13395" s="9"/>
      <c r="AD13395" s="9"/>
      <c r="AF13395" s="10"/>
      <c r="AG13395" s="10"/>
      <c r="AH13395" s="10"/>
      <c r="AI13395" s="10"/>
    </row>
    <row r="13396" spans="28:35" ht="15" hidden="1" customHeight="1">
      <c r="AB13396" s="9"/>
      <c r="AC13396" s="9"/>
      <c r="AD13396" s="9"/>
      <c r="AF13396" s="10"/>
      <c r="AG13396" s="10"/>
      <c r="AH13396" s="10"/>
      <c r="AI13396" s="10"/>
    </row>
    <row r="13397" spans="28:35" ht="15" hidden="1" customHeight="1">
      <c r="AB13397" s="9"/>
      <c r="AC13397" s="9"/>
      <c r="AD13397" s="9"/>
      <c r="AF13397" s="10"/>
      <c r="AG13397" s="10"/>
      <c r="AH13397" s="10"/>
      <c r="AI13397" s="10"/>
    </row>
    <row r="13398" spans="28:35" ht="15" hidden="1" customHeight="1">
      <c r="AB13398" s="9"/>
      <c r="AC13398" s="9"/>
      <c r="AD13398" s="9"/>
      <c r="AF13398" s="10"/>
      <c r="AG13398" s="10"/>
      <c r="AH13398" s="10"/>
      <c r="AI13398" s="10"/>
    </row>
    <row r="13399" spans="28:35" ht="15" hidden="1" customHeight="1">
      <c r="AB13399" s="9"/>
      <c r="AC13399" s="9"/>
      <c r="AD13399" s="9"/>
      <c r="AF13399" s="10"/>
      <c r="AG13399" s="10"/>
      <c r="AH13399" s="10"/>
      <c r="AI13399" s="10"/>
    </row>
    <row r="13400" spans="28:35" ht="15" hidden="1" customHeight="1">
      <c r="AB13400" s="9"/>
      <c r="AC13400" s="9"/>
      <c r="AD13400" s="9"/>
      <c r="AF13400" s="10"/>
      <c r="AG13400" s="10"/>
      <c r="AH13400" s="10"/>
      <c r="AI13400" s="10"/>
    </row>
    <row r="13401" spans="28:35" ht="15" hidden="1" customHeight="1">
      <c r="AB13401" s="9"/>
      <c r="AC13401" s="9"/>
      <c r="AD13401" s="9"/>
      <c r="AF13401" s="10"/>
      <c r="AG13401" s="10"/>
      <c r="AH13401" s="10"/>
      <c r="AI13401" s="10"/>
    </row>
    <row r="13402" spans="28:35" ht="15" hidden="1" customHeight="1">
      <c r="AB13402" s="9"/>
      <c r="AC13402" s="9"/>
      <c r="AD13402" s="9"/>
      <c r="AF13402" s="10"/>
      <c r="AG13402" s="10"/>
      <c r="AH13402" s="10"/>
      <c r="AI13402" s="10"/>
    </row>
    <row r="13403" spans="28:35" ht="15" hidden="1" customHeight="1">
      <c r="AB13403" s="9"/>
      <c r="AC13403" s="9"/>
      <c r="AD13403" s="9"/>
      <c r="AF13403" s="10"/>
      <c r="AG13403" s="10"/>
      <c r="AH13403" s="10"/>
      <c r="AI13403" s="10"/>
    </row>
    <row r="13404" spans="28:35" ht="15" hidden="1" customHeight="1">
      <c r="AB13404" s="9"/>
      <c r="AC13404" s="9"/>
      <c r="AD13404" s="9"/>
      <c r="AF13404" s="10"/>
      <c r="AG13404" s="10"/>
      <c r="AH13404" s="10"/>
      <c r="AI13404" s="10"/>
    </row>
    <row r="13405" spans="28:35" ht="15" hidden="1" customHeight="1">
      <c r="AB13405" s="9"/>
      <c r="AC13405" s="9"/>
      <c r="AD13405" s="9"/>
      <c r="AF13405" s="10"/>
      <c r="AG13405" s="10"/>
      <c r="AH13405" s="10"/>
      <c r="AI13405" s="10"/>
    </row>
    <row r="13406" spans="28:35" ht="15" hidden="1" customHeight="1">
      <c r="AB13406" s="9"/>
      <c r="AC13406" s="9"/>
      <c r="AD13406" s="9"/>
      <c r="AF13406" s="10"/>
      <c r="AG13406" s="10"/>
      <c r="AH13406" s="10"/>
      <c r="AI13406" s="10"/>
    </row>
    <row r="13407" spans="28:35" ht="15" hidden="1" customHeight="1">
      <c r="AB13407" s="9"/>
      <c r="AC13407" s="9"/>
      <c r="AD13407" s="9"/>
      <c r="AF13407" s="10"/>
      <c r="AG13407" s="10"/>
      <c r="AH13407" s="10"/>
      <c r="AI13407" s="10"/>
    </row>
    <row r="13408" spans="28:35" ht="15" hidden="1" customHeight="1">
      <c r="AB13408" s="9"/>
      <c r="AC13408" s="9"/>
      <c r="AD13408" s="9"/>
      <c r="AF13408" s="10"/>
      <c r="AG13408" s="10"/>
      <c r="AH13408" s="10"/>
      <c r="AI13408" s="10"/>
    </row>
    <row r="13409" spans="28:35" ht="15" hidden="1" customHeight="1">
      <c r="AB13409" s="9"/>
      <c r="AC13409" s="9"/>
      <c r="AD13409" s="9"/>
      <c r="AF13409" s="10"/>
      <c r="AG13409" s="10"/>
      <c r="AH13409" s="10"/>
      <c r="AI13409" s="10"/>
    </row>
    <row r="13410" spans="28:35" ht="15" hidden="1" customHeight="1">
      <c r="AB13410" s="9"/>
      <c r="AC13410" s="9"/>
      <c r="AD13410" s="9"/>
      <c r="AF13410" s="10"/>
      <c r="AG13410" s="10"/>
      <c r="AH13410" s="10"/>
      <c r="AI13410" s="10"/>
    </row>
    <row r="13411" spans="28:35" ht="15" hidden="1" customHeight="1">
      <c r="AB13411" s="9"/>
      <c r="AC13411" s="9"/>
      <c r="AD13411" s="9"/>
      <c r="AF13411" s="10"/>
      <c r="AG13411" s="10"/>
      <c r="AH13411" s="10"/>
      <c r="AI13411" s="10"/>
    </row>
    <row r="13412" spans="28:35" ht="15" hidden="1" customHeight="1">
      <c r="AB13412" s="9"/>
      <c r="AC13412" s="9"/>
      <c r="AD13412" s="9"/>
      <c r="AF13412" s="10"/>
      <c r="AG13412" s="10"/>
      <c r="AH13412" s="10"/>
      <c r="AI13412" s="10"/>
    </row>
    <row r="13413" spans="28:35" ht="15" hidden="1" customHeight="1">
      <c r="AB13413" s="9"/>
      <c r="AC13413" s="9"/>
      <c r="AD13413" s="9"/>
      <c r="AF13413" s="10"/>
      <c r="AG13413" s="10"/>
      <c r="AH13413" s="10"/>
      <c r="AI13413" s="10"/>
    </row>
    <row r="13414" spans="28:35" ht="15" hidden="1" customHeight="1">
      <c r="AB13414" s="9"/>
      <c r="AC13414" s="9"/>
      <c r="AD13414" s="9"/>
      <c r="AF13414" s="10"/>
      <c r="AG13414" s="10"/>
      <c r="AH13414" s="10"/>
      <c r="AI13414" s="10"/>
    </row>
    <row r="13415" spans="28:35" ht="15" hidden="1" customHeight="1">
      <c r="AB13415" s="9"/>
      <c r="AC13415" s="9"/>
      <c r="AD13415" s="9"/>
      <c r="AF13415" s="10"/>
      <c r="AG13415" s="10"/>
      <c r="AH13415" s="10"/>
      <c r="AI13415" s="10"/>
    </row>
    <row r="13416" spans="28:35" ht="15" hidden="1" customHeight="1">
      <c r="AB13416" s="9"/>
      <c r="AC13416" s="9"/>
      <c r="AD13416" s="9"/>
      <c r="AF13416" s="10"/>
      <c r="AG13416" s="10"/>
      <c r="AH13416" s="10"/>
      <c r="AI13416" s="10"/>
    </row>
    <row r="13417" spans="28:35" ht="15" hidden="1" customHeight="1">
      <c r="AB13417" s="9"/>
      <c r="AC13417" s="9"/>
      <c r="AD13417" s="9"/>
      <c r="AF13417" s="10"/>
      <c r="AG13417" s="10"/>
      <c r="AH13417" s="10"/>
      <c r="AI13417" s="10"/>
    </row>
    <row r="13418" spans="28:35" ht="15" hidden="1" customHeight="1">
      <c r="AB13418" s="9"/>
      <c r="AC13418" s="9"/>
      <c r="AD13418" s="9"/>
      <c r="AF13418" s="10"/>
      <c r="AG13418" s="10"/>
      <c r="AH13418" s="10"/>
      <c r="AI13418" s="10"/>
    </row>
    <row r="13419" spans="28:35" ht="15" hidden="1" customHeight="1">
      <c r="AB13419" s="9"/>
      <c r="AC13419" s="9"/>
      <c r="AD13419" s="9"/>
      <c r="AF13419" s="10"/>
      <c r="AG13419" s="10"/>
      <c r="AH13419" s="10"/>
      <c r="AI13419" s="10"/>
    </row>
    <row r="13420" spans="28:35" ht="15" hidden="1" customHeight="1">
      <c r="AB13420" s="9"/>
      <c r="AC13420" s="9"/>
      <c r="AD13420" s="9"/>
      <c r="AF13420" s="10"/>
      <c r="AG13420" s="10"/>
      <c r="AH13420" s="10"/>
      <c r="AI13420" s="10"/>
    </row>
    <row r="13421" spans="28:35" ht="15" hidden="1" customHeight="1">
      <c r="AB13421" s="9"/>
      <c r="AC13421" s="9"/>
      <c r="AD13421" s="9"/>
      <c r="AF13421" s="10"/>
      <c r="AG13421" s="10"/>
      <c r="AH13421" s="10"/>
      <c r="AI13421" s="10"/>
    </row>
    <row r="13422" spans="28:35" ht="15" hidden="1" customHeight="1">
      <c r="AB13422" s="9"/>
      <c r="AC13422" s="9"/>
      <c r="AD13422" s="9"/>
      <c r="AF13422" s="10"/>
      <c r="AG13422" s="10"/>
      <c r="AH13422" s="10"/>
      <c r="AI13422" s="10"/>
    </row>
    <row r="13423" spans="28:35" ht="15" hidden="1" customHeight="1">
      <c r="AB13423" s="9"/>
      <c r="AC13423" s="9"/>
      <c r="AD13423" s="9"/>
      <c r="AF13423" s="10"/>
      <c r="AG13423" s="10"/>
      <c r="AH13423" s="10"/>
      <c r="AI13423" s="10"/>
    </row>
    <row r="13424" spans="28:35" ht="15" hidden="1" customHeight="1">
      <c r="AB13424" s="9"/>
      <c r="AC13424" s="9"/>
      <c r="AD13424" s="9"/>
      <c r="AF13424" s="10"/>
      <c r="AG13424" s="10"/>
      <c r="AH13424" s="10"/>
      <c r="AI13424" s="10"/>
    </row>
    <row r="13425" spans="28:35" ht="15" hidden="1" customHeight="1">
      <c r="AB13425" s="9"/>
      <c r="AC13425" s="9"/>
      <c r="AD13425" s="9"/>
      <c r="AF13425" s="10"/>
      <c r="AG13425" s="10"/>
      <c r="AH13425" s="10"/>
      <c r="AI13425" s="10"/>
    </row>
    <row r="13426" spans="28:35" ht="15" hidden="1" customHeight="1">
      <c r="AB13426" s="9"/>
      <c r="AC13426" s="9"/>
      <c r="AD13426" s="9"/>
      <c r="AF13426" s="10"/>
      <c r="AG13426" s="10"/>
      <c r="AH13426" s="10"/>
      <c r="AI13426" s="10"/>
    </row>
    <row r="13427" spans="28:35" ht="15" hidden="1" customHeight="1">
      <c r="AB13427" s="9"/>
      <c r="AC13427" s="9"/>
      <c r="AD13427" s="9"/>
      <c r="AF13427" s="10"/>
      <c r="AG13427" s="10"/>
      <c r="AH13427" s="10"/>
      <c r="AI13427" s="10"/>
    </row>
    <row r="13428" spans="28:35" ht="15" hidden="1" customHeight="1">
      <c r="AB13428" s="9"/>
      <c r="AC13428" s="9"/>
      <c r="AD13428" s="9"/>
      <c r="AF13428" s="10"/>
      <c r="AG13428" s="10"/>
      <c r="AH13428" s="10"/>
      <c r="AI13428" s="10"/>
    </row>
    <row r="13429" spans="28:35" ht="15" hidden="1" customHeight="1">
      <c r="AB13429" s="9"/>
      <c r="AC13429" s="9"/>
      <c r="AD13429" s="9"/>
      <c r="AF13429" s="10"/>
      <c r="AG13429" s="10"/>
      <c r="AH13429" s="10"/>
      <c r="AI13429" s="10"/>
    </row>
    <row r="13430" spans="28:35" ht="15" hidden="1" customHeight="1">
      <c r="AB13430" s="9"/>
      <c r="AC13430" s="9"/>
      <c r="AD13430" s="9"/>
      <c r="AF13430" s="10"/>
      <c r="AG13430" s="10"/>
      <c r="AH13430" s="10"/>
      <c r="AI13430" s="10"/>
    </row>
    <row r="13431" spans="28:35" ht="15" hidden="1" customHeight="1">
      <c r="AB13431" s="9"/>
      <c r="AC13431" s="9"/>
      <c r="AD13431" s="9"/>
      <c r="AF13431" s="10"/>
      <c r="AG13431" s="10"/>
      <c r="AH13431" s="10"/>
      <c r="AI13431" s="10"/>
    </row>
    <row r="13432" spans="28:35" ht="15" hidden="1" customHeight="1">
      <c r="AB13432" s="9"/>
      <c r="AC13432" s="9"/>
      <c r="AD13432" s="9"/>
      <c r="AF13432" s="10"/>
      <c r="AG13432" s="10"/>
      <c r="AH13432" s="10"/>
      <c r="AI13432" s="10"/>
    </row>
    <row r="13433" spans="28:35" ht="15" hidden="1" customHeight="1">
      <c r="AB13433" s="9"/>
      <c r="AC13433" s="9"/>
      <c r="AD13433" s="9"/>
      <c r="AF13433" s="10"/>
      <c r="AG13433" s="10"/>
      <c r="AH13433" s="10"/>
      <c r="AI13433" s="10"/>
    </row>
    <row r="13434" spans="28:35" ht="15" hidden="1" customHeight="1">
      <c r="AB13434" s="9"/>
      <c r="AC13434" s="9"/>
      <c r="AD13434" s="9"/>
      <c r="AF13434" s="10"/>
      <c r="AG13434" s="10"/>
      <c r="AH13434" s="10"/>
      <c r="AI13434" s="10"/>
    </row>
    <row r="13435" spans="28:35" ht="15" hidden="1" customHeight="1">
      <c r="AB13435" s="9"/>
      <c r="AC13435" s="9"/>
      <c r="AD13435" s="9"/>
      <c r="AF13435" s="10"/>
      <c r="AG13435" s="10"/>
      <c r="AH13435" s="10"/>
      <c r="AI13435" s="10"/>
    </row>
    <row r="13436" spans="28:35" ht="15" hidden="1" customHeight="1">
      <c r="AB13436" s="9"/>
      <c r="AC13436" s="9"/>
      <c r="AD13436" s="9"/>
      <c r="AF13436" s="10"/>
      <c r="AG13436" s="10"/>
      <c r="AH13436" s="10"/>
      <c r="AI13436" s="10"/>
    </row>
    <row r="13437" spans="28:35" ht="15" hidden="1" customHeight="1">
      <c r="AB13437" s="9"/>
      <c r="AC13437" s="9"/>
      <c r="AD13437" s="9"/>
      <c r="AF13437" s="10"/>
      <c r="AG13437" s="10"/>
      <c r="AH13437" s="10"/>
      <c r="AI13437" s="10"/>
    </row>
    <row r="13438" spans="28:35" ht="15" hidden="1" customHeight="1">
      <c r="AB13438" s="9"/>
      <c r="AC13438" s="9"/>
      <c r="AD13438" s="9"/>
      <c r="AF13438" s="10"/>
      <c r="AG13438" s="10"/>
      <c r="AH13438" s="10"/>
      <c r="AI13438" s="10"/>
    </row>
    <row r="13439" spans="28:35" ht="15" hidden="1" customHeight="1">
      <c r="AB13439" s="9"/>
      <c r="AC13439" s="9"/>
      <c r="AD13439" s="9"/>
      <c r="AF13439" s="10"/>
      <c r="AG13439" s="10"/>
      <c r="AH13439" s="10"/>
      <c r="AI13439" s="10"/>
    </row>
    <row r="13440" spans="28:35" ht="15" hidden="1" customHeight="1">
      <c r="AB13440" s="9"/>
      <c r="AC13440" s="9"/>
      <c r="AD13440" s="9"/>
      <c r="AF13440" s="10"/>
      <c r="AG13440" s="10"/>
      <c r="AH13440" s="10"/>
      <c r="AI13440" s="10"/>
    </row>
    <row r="13441" spans="28:35" ht="15" hidden="1" customHeight="1">
      <c r="AB13441" s="9"/>
      <c r="AC13441" s="9"/>
      <c r="AD13441" s="9"/>
      <c r="AF13441" s="10"/>
      <c r="AG13441" s="10"/>
      <c r="AH13441" s="10"/>
      <c r="AI13441" s="10"/>
    </row>
    <row r="13442" spans="28:35" ht="15" hidden="1" customHeight="1">
      <c r="AB13442" s="9"/>
      <c r="AC13442" s="9"/>
      <c r="AD13442" s="9"/>
      <c r="AF13442" s="10"/>
      <c r="AG13442" s="10"/>
      <c r="AH13442" s="10"/>
      <c r="AI13442" s="10"/>
    </row>
    <row r="13443" spans="28:35" ht="15" hidden="1" customHeight="1">
      <c r="AB13443" s="9"/>
      <c r="AC13443" s="9"/>
      <c r="AD13443" s="9"/>
      <c r="AF13443" s="10"/>
      <c r="AG13443" s="10"/>
      <c r="AH13443" s="10"/>
      <c r="AI13443" s="10"/>
    </row>
    <row r="13444" spans="28:35" ht="15" hidden="1" customHeight="1">
      <c r="AB13444" s="9"/>
      <c r="AC13444" s="9"/>
      <c r="AD13444" s="9"/>
      <c r="AF13444" s="10"/>
      <c r="AG13444" s="10"/>
      <c r="AH13444" s="10"/>
      <c r="AI13444" s="10"/>
    </row>
    <row r="13445" spans="28:35" ht="15" hidden="1" customHeight="1">
      <c r="AB13445" s="9"/>
      <c r="AC13445" s="9"/>
      <c r="AD13445" s="9"/>
      <c r="AF13445" s="10"/>
      <c r="AG13445" s="10"/>
      <c r="AH13445" s="10"/>
      <c r="AI13445" s="10"/>
    </row>
    <row r="13446" spans="28:35" ht="15" hidden="1" customHeight="1">
      <c r="AB13446" s="9"/>
      <c r="AC13446" s="9"/>
      <c r="AD13446" s="9"/>
      <c r="AF13446" s="10"/>
      <c r="AG13446" s="10"/>
      <c r="AH13446" s="10"/>
      <c r="AI13446" s="10"/>
    </row>
    <row r="13447" spans="28:35" ht="15" hidden="1" customHeight="1">
      <c r="AB13447" s="9"/>
      <c r="AC13447" s="9"/>
      <c r="AD13447" s="9"/>
      <c r="AF13447" s="10"/>
      <c r="AG13447" s="10"/>
      <c r="AH13447" s="10"/>
      <c r="AI13447" s="10"/>
    </row>
    <row r="13448" spans="28:35" ht="15" hidden="1" customHeight="1">
      <c r="AB13448" s="9"/>
      <c r="AC13448" s="9"/>
      <c r="AD13448" s="9"/>
      <c r="AF13448" s="10"/>
      <c r="AG13448" s="10"/>
      <c r="AH13448" s="10"/>
      <c r="AI13448" s="10"/>
    </row>
    <row r="13449" spans="28:35" ht="15" hidden="1" customHeight="1">
      <c r="AB13449" s="9"/>
      <c r="AC13449" s="9"/>
      <c r="AD13449" s="9"/>
      <c r="AF13449" s="10"/>
      <c r="AG13449" s="10"/>
      <c r="AH13449" s="10"/>
      <c r="AI13449" s="10"/>
    </row>
    <row r="13450" spans="28:35" ht="15" hidden="1" customHeight="1">
      <c r="AB13450" s="9"/>
      <c r="AC13450" s="9"/>
      <c r="AD13450" s="9"/>
      <c r="AF13450" s="10"/>
      <c r="AG13450" s="10"/>
      <c r="AH13450" s="10"/>
      <c r="AI13450" s="10"/>
    </row>
    <row r="13451" spans="28:35" ht="15" hidden="1" customHeight="1">
      <c r="AB13451" s="9"/>
      <c r="AC13451" s="9"/>
      <c r="AD13451" s="9"/>
      <c r="AF13451" s="10"/>
      <c r="AG13451" s="10"/>
      <c r="AH13451" s="10"/>
      <c r="AI13451" s="10"/>
    </row>
    <row r="13452" spans="28:35" ht="15" hidden="1" customHeight="1">
      <c r="AB13452" s="9"/>
      <c r="AC13452" s="9"/>
      <c r="AD13452" s="9"/>
      <c r="AF13452" s="10"/>
      <c r="AG13452" s="10"/>
      <c r="AH13452" s="10"/>
      <c r="AI13452" s="10"/>
    </row>
    <row r="13453" spans="28:35" ht="15" hidden="1" customHeight="1">
      <c r="AB13453" s="9"/>
      <c r="AC13453" s="9"/>
      <c r="AD13453" s="9"/>
      <c r="AF13453" s="10"/>
      <c r="AG13453" s="10"/>
      <c r="AH13453" s="10"/>
      <c r="AI13453" s="10"/>
    </row>
    <row r="13454" spans="28:35" ht="15" hidden="1" customHeight="1">
      <c r="AB13454" s="9"/>
      <c r="AC13454" s="9"/>
      <c r="AD13454" s="9"/>
      <c r="AF13454" s="10"/>
      <c r="AG13454" s="10"/>
      <c r="AH13454" s="10"/>
      <c r="AI13454" s="10"/>
    </row>
    <row r="13455" spans="28:35" ht="15" hidden="1" customHeight="1">
      <c r="AB13455" s="9"/>
      <c r="AC13455" s="9"/>
      <c r="AD13455" s="9"/>
      <c r="AF13455" s="10"/>
      <c r="AG13455" s="10"/>
      <c r="AH13455" s="10"/>
      <c r="AI13455" s="10"/>
    </row>
    <row r="13456" spans="28:35" ht="15" hidden="1" customHeight="1">
      <c r="AB13456" s="9"/>
      <c r="AC13456" s="9"/>
      <c r="AD13456" s="9"/>
      <c r="AF13456" s="10"/>
      <c r="AG13456" s="10"/>
      <c r="AH13456" s="10"/>
      <c r="AI13456" s="10"/>
    </row>
    <row r="13457" spans="28:35" ht="15" hidden="1" customHeight="1">
      <c r="AB13457" s="9"/>
      <c r="AC13457" s="9"/>
      <c r="AD13457" s="9"/>
      <c r="AF13457" s="10"/>
      <c r="AG13457" s="10"/>
      <c r="AH13457" s="10"/>
      <c r="AI13457" s="10"/>
    </row>
    <row r="13458" spans="28:35" ht="15" hidden="1" customHeight="1">
      <c r="AB13458" s="9"/>
      <c r="AC13458" s="9"/>
      <c r="AD13458" s="9"/>
      <c r="AF13458" s="10"/>
      <c r="AG13458" s="10"/>
      <c r="AH13458" s="10"/>
      <c r="AI13458" s="10"/>
    </row>
    <row r="13459" spans="28:35" ht="15" hidden="1" customHeight="1">
      <c r="AB13459" s="9"/>
      <c r="AC13459" s="9"/>
      <c r="AD13459" s="9"/>
      <c r="AF13459" s="10"/>
      <c r="AG13459" s="10"/>
      <c r="AH13459" s="10"/>
      <c r="AI13459" s="10"/>
    </row>
    <row r="13460" spans="28:35" ht="15" hidden="1" customHeight="1">
      <c r="AB13460" s="9"/>
      <c r="AC13460" s="9"/>
      <c r="AD13460" s="9"/>
      <c r="AF13460" s="10"/>
      <c r="AG13460" s="10"/>
      <c r="AH13460" s="10"/>
      <c r="AI13460" s="10"/>
    </row>
    <row r="13461" spans="28:35" ht="15" hidden="1" customHeight="1">
      <c r="AB13461" s="9"/>
      <c r="AC13461" s="9"/>
      <c r="AD13461" s="9"/>
      <c r="AF13461" s="10"/>
      <c r="AG13461" s="10"/>
      <c r="AH13461" s="10"/>
      <c r="AI13461" s="10"/>
    </row>
    <row r="13462" spans="28:35" ht="15" hidden="1" customHeight="1">
      <c r="AB13462" s="9"/>
      <c r="AC13462" s="9"/>
      <c r="AD13462" s="9"/>
      <c r="AF13462" s="10"/>
      <c r="AG13462" s="10"/>
      <c r="AH13462" s="10"/>
      <c r="AI13462" s="10"/>
    </row>
    <row r="13463" spans="28:35" ht="15" hidden="1" customHeight="1">
      <c r="AB13463" s="9"/>
      <c r="AC13463" s="9"/>
      <c r="AD13463" s="9"/>
      <c r="AF13463" s="10"/>
      <c r="AG13463" s="10"/>
      <c r="AH13463" s="10"/>
      <c r="AI13463" s="10"/>
    </row>
    <row r="13464" spans="28:35" ht="15" hidden="1" customHeight="1">
      <c r="AB13464" s="9"/>
      <c r="AC13464" s="9"/>
      <c r="AD13464" s="9"/>
      <c r="AF13464" s="10"/>
      <c r="AG13464" s="10"/>
      <c r="AH13464" s="10"/>
      <c r="AI13464" s="10"/>
    </row>
    <row r="13465" spans="28:35" ht="15" hidden="1" customHeight="1">
      <c r="AB13465" s="9"/>
      <c r="AC13465" s="9"/>
      <c r="AD13465" s="9"/>
      <c r="AF13465" s="10"/>
      <c r="AG13465" s="10"/>
      <c r="AH13465" s="10"/>
      <c r="AI13465" s="10"/>
    </row>
    <row r="13466" spans="28:35" ht="15" hidden="1" customHeight="1">
      <c r="AB13466" s="9"/>
      <c r="AC13466" s="9"/>
      <c r="AD13466" s="9"/>
      <c r="AF13466" s="10"/>
      <c r="AG13466" s="10"/>
      <c r="AH13466" s="10"/>
      <c r="AI13466" s="10"/>
    </row>
    <row r="13467" spans="28:35" ht="15" hidden="1" customHeight="1">
      <c r="AB13467" s="9"/>
      <c r="AC13467" s="9"/>
      <c r="AD13467" s="9"/>
      <c r="AF13467" s="10"/>
      <c r="AG13467" s="10"/>
      <c r="AH13467" s="10"/>
      <c r="AI13467" s="10"/>
    </row>
    <row r="13468" spans="28:35" ht="15" hidden="1" customHeight="1">
      <c r="AB13468" s="9"/>
      <c r="AC13468" s="9"/>
      <c r="AD13468" s="9"/>
      <c r="AF13468" s="10"/>
      <c r="AG13468" s="10"/>
      <c r="AH13468" s="10"/>
      <c r="AI13468" s="10"/>
    </row>
    <row r="13469" spans="28:35" ht="15" hidden="1" customHeight="1">
      <c r="AB13469" s="9"/>
      <c r="AC13469" s="9"/>
      <c r="AD13469" s="9"/>
      <c r="AF13469" s="10"/>
      <c r="AG13469" s="10"/>
      <c r="AH13469" s="10"/>
      <c r="AI13469" s="10"/>
    </row>
    <row r="13470" spans="28:35" ht="15" hidden="1" customHeight="1">
      <c r="AB13470" s="9"/>
      <c r="AC13470" s="9"/>
      <c r="AD13470" s="9"/>
      <c r="AF13470" s="10"/>
      <c r="AG13470" s="10"/>
      <c r="AH13470" s="10"/>
      <c r="AI13470" s="10"/>
    </row>
    <row r="13471" spans="28:35" ht="15" hidden="1" customHeight="1">
      <c r="AB13471" s="9"/>
      <c r="AC13471" s="9"/>
      <c r="AD13471" s="9"/>
      <c r="AF13471" s="10"/>
      <c r="AG13471" s="10"/>
      <c r="AH13471" s="10"/>
      <c r="AI13471" s="10"/>
    </row>
    <row r="13472" spans="28:35" ht="15" hidden="1" customHeight="1">
      <c r="AB13472" s="9"/>
      <c r="AC13472" s="9"/>
      <c r="AD13472" s="9"/>
      <c r="AF13472" s="10"/>
      <c r="AG13472" s="10"/>
      <c r="AH13472" s="10"/>
      <c r="AI13472" s="10"/>
    </row>
    <row r="13473" spans="28:35" ht="15" hidden="1" customHeight="1">
      <c r="AB13473" s="9"/>
      <c r="AC13473" s="9"/>
      <c r="AD13473" s="9"/>
      <c r="AF13473" s="10"/>
      <c r="AG13473" s="10"/>
      <c r="AH13473" s="10"/>
      <c r="AI13473" s="10"/>
    </row>
    <row r="13474" spans="28:35" ht="15" hidden="1" customHeight="1">
      <c r="AB13474" s="9"/>
      <c r="AC13474" s="9"/>
      <c r="AD13474" s="9"/>
      <c r="AF13474" s="10"/>
      <c r="AG13474" s="10"/>
      <c r="AH13474" s="10"/>
      <c r="AI13474" s="10"/>
    </row>
    <row r="13475" spans="28:35" ht="15" hidden="1" customHeight="1">
      <c r="AB13475" s="9"/>
      <c r="AC13475" s="9"/>
      <c r="AD13475" s="9"/>
      <c r="AF13475" s="10"/>
      <c r="AG13475" s="10"/>
      <c r="AH13475" s="10"/>
      <c r="AI13475" s="10"/>
    </row>
    <row r="13476" spans="28:35" ht="15" hidden="1" customHeight="1">
      <c r="AB13476" s="9"/>
      <c r="AC13476" s="9"/>
      <c r="AD13476" s="9"/>
      <c r="AF13476" s="10"/>
      <c r="AG13476" s="10"/>
      <c r="AH13476" s="10"/>
      <c r="AI13476" s="10"/>
    </row>
    <row r="13477" spans="28:35" ht="15" hidden="1" customHeight="1">
      <c r="AB13477" s="9"/>
      <c r="AC13477" s="9"/>
      <c r="AD13477" s="9"/>
      <c r="AF13477" s="10"/>
      <c r="AG13477" s="10"/>
      <c r="AH13477" s="10"/>
      <c r="AI13477" s="10"/>
    </row>
    <row r="13478" spans="28:35" ht="15" hidden="1" customHeight="1">
      <c r="AB13478" s="9"/>
      <c r="AC13478" s="9"/>
      <c r="AD13478" s="9"/>
      <c r="AF13478" s="10"/>
      <c r="AG13478" s="10"/>
      <c r="AH13478" s="10"/>
      <c r="AI13478" s="10"/>
    </row>
    <row r="13479" spans="28:35" ht="15" hidden="1" customHeight="1">
      <c r="AB13479" s="9"/>
      <c r="AC13479" s="9"/>
      <c r="AD13479" s="9"/>
      <c r="AF13479" s="10"/>
      <c r="AG13479" s="10"/>
      <c r="AH13479" s="10"/>
      <c r="AI13479" s="10"/>
    </row>
    <row r="13480" spans="28:35" ht="15" hidden="1" customHeight="1">
      <c r="AB13480" s="9"/>
      <c r="AC13480" s="9"/>
      <c r="AD13480" s="9"/>
      <c r="AF13480" s="10"/>
      <c r="AG13480" s="10"/>
      <c r="AH13480" s="10"/>
      <c r="AI13480" s="10"/>
    </row>
    <row r="13481" spans="28:35" ht="15" hidden="1" customHeight="1">
      <c r="AB13481" s="9"/>
      <c r="AC13481" s="9"/>
      <c r="AD13481" s="9"/>
      <c r="AF13481" s="10"/>
      <c r="AG13481" s="10"/>
      <c r="AH13481" s="10"/>
      <c r="AI13481" s="10"/>
    </row>
    <row r="13482" spans="28:35" ht="15" hidden="1" customHeight="1">
      <c r="AB13482" s="9"/>
      <c r="AC13482" s="9"/>
      <c r="AD13482" s="9"/>
      <c r="AF13482" s="10"/>
      <c r="AG13482" s="10"/>
      <c r="AH13482" s="10"/>
      <c r="AI13482" s="10"/>
    </row>
    <row r="13483" spans="28:35" ht="15" hidden="1" customHeight="1">
      <c r="AB13483" s="9"/>
      <c r="AC13483" s="9"/>
      <c r="AD13483" s="9"/>
      <c r="AF13483" s="10"/>
      <c r="AG13483" s="10"/>
      <c r="AH13483" s="10"/>
      <c r="AI13483" s="10"/>
    </row>
    <row r="13484" spans="28:35" ht="15" hidden="1" customHeight="1">
      <c r="AB13484" s="9"/>
      <c r="AC13484" s="9"/>
      <c r="AD13484" s="9"/>
      <c r="AF13484" s="10"/>
      <c r="AG13484" s="10"/>
      <c r="AH13484" s="10"/>
      <c r="AI13484" s="10"/>
    </row>
    <row r="13485" spans="28:35" ht="15" hidden="1" customHeight="1">
      <c r="AB13485" s="9"/>
      <c r="AC13485" s="9"/>
      <c r="AD13485" s="9"/>
      <c r="AF13485" s="10"/>
      <c r="AG13485" s="10"/>
      <c r="AH13485" s="10"/>
      <c r="AI13485" s="10"/>
    </row>
    <row r="13486" spans="28:35" ht="15" hidden="1" customHeight="1">
      <c r="AB13486" s="9"/>
      <c r="AC13486" s="9"/>
      <c r="AD13486" s="9"/>
      <c r="AF13486" s="10"/>
      <c r="AG13486" s="10"/>
      <c r="AH13486" s="10"/>
      <c r="AI13486" s="10"/>
    </row>
    <row r="13487" spans="28:35" ht="15" hidden="1" customHeight="1">
      <c r="AB13487" s="9"/>
      <c r="AC13487" s="9"/>
      <c r="AD13487" s="9"/>
      <c r="AF13487" s="10"/>
      <c r="AG13487" s="10"/>
      <c r="AH13487" s="10"/>
      <c r="AI13487" s="10"/>
    </row>
    <row r="13488" spans="28:35" ht="15" hidden="1" customHeight="1">
      <c r="AB13488" s="9"/>
      <c r="AC13488" s="9"/>
      <c r="AD13488" s="9"/>
      <c r="AF13488" s="10"/>
      <c r="AG13488" s="10"/>
      <c r="AH13488" s="10"/>
      <c r="AI13488" s="10"/>
    </row>
    <row r="13489" spans="28:35" ht="15" hidden="1" customHeight="1">
      <c r="AB13489" s="9"/>
      <c r="AC13489" s="9"/>
      <c r="AD13489" s="9"/>
      <c r="AF13489" s="10"/>
      <c r="AG13489" s="10"/>
      <c r="AH13489" s="10"/>
      <c r="AI13489" s="10"/>
    </row>
    <row r="13490" spans="28:35" ht="15" hidden="1" customHeight="1">
      <c r="AB13490" s="9"/>
      <c r="AC13490" s="9"/>
      <c r="AD13490" s="9"/>
      <c r="AF13490" s="10"/>
      <c r="AG13490" s="10"/>
      <c r="AH13490" s="10"/>
      <c r="AI13490" s="10"/>
    </row>
    <row r="13491" spans="28:35" ht="15" hidden="1" customHeight="1">
      <c r="AB13491" s="9"/>
      <c r="AC13491" s="9"/>
      <c r="AD13491" s="9"/>
      <c r="AF13491" s="10"/>
      <c r="AG13491" s="10"/>
      <c r="AH13491" s="10"/>
      <c r="AI13491" s="10"/>
    </row>
    <row r="13492" spans="28:35" ht="15" hidden="1" customHeight="1">
      <c r="AB13492" s="9"/>
      <c r="AC13492" s="9"/>
      <c r="AD13492" s="9"/>
      <c r="AF13492" s="10"/>
      <c r="AG13492" s="10"/>
      <c r="AH13492" s="10"/>
      <c r="AI13492" s="10"/>
    </row>
    <row r="13493" spans="28:35" ht="15" hidden="1" customHeight="1">
      <c r="AB13493" s="9"/>
      <c r="AC13493" s="9"/>
      <c r="AD13493" s="9"/>
      <c r="AF13493" s="10"/>
      <c r="AG13493" s="10"/>
      <c r="AH13493" s="10"/>
      <c r="AI13493" s="10"/>
    </row>
    <row r="13494" spans="28:35" ht="15" hidden="1" customHeight="1">
      <c r="AB13494" s="9"/>
      <c r="AC13494" s="9"/>
      <c r="AD13494" s="9"/>
      <c r="AF13494" s="10"/>
      <c r="AG13494" s="10"/>
      <c r="AH13494" s="10"/>
      <c r="AI13494" s="10"/>
    </row>
    <row r="13495" spans="28:35" ht="15" hidden="1" customHeight="1">
      <c r="AB13495" s="9"/>
      <c r="AC13495" s="9"/>
      <c r="AD13495" s="9"/>
      <c r="AF13495" s="10"/>
      <c r="AG13495" s="10"/>
      <c r="AH13495" s="10"/>
      <c r="AI13495" s="10"/>
    </row>
    <row r="13496" spans="28:35" ht="15" hidden="1" customHeight="1">
      <c r="AB13496" s="9"/>
      <c r="AC13496" s="9"/>
      <c r="AD13496" s="9"/>
      <c r="AF13496" s="10"/>
      <c r="AG13496" s="10"/>
      <c r="AH13496" s="10"/>
      <c r="AI13496" s="10"/>
    </row>
    <row r="13497" spans="28:35" ht="15" hidden="1" customHeight="1">
      <c r="AB13497" s="9"/>
      <c r="AC13497" s="9"/>
      <c r="AD13497" s="9"/>
      <c r="AF13497" s="10"/>
      <c r="AG13497" s="10"/>
      <c r="AH13497" s="10"/>
      <c r="AI13497" s="10"/>
    </row>
    <row r="13498" spans="28:35" ht="15" hidden="1" customHeight="1">
      <c r="AB13498" s="9"/>
      <c r="AC13498" s="9"/>
      <c r="AD13498" s="9"/>
      <c r="AF13498" s="10"/>
      <c r="AG13498" s="10"/>
      <c r="AH13498" s="10"/>
      <c r="AI13498" s="10"/>
    </row>
    <row r="13499" spans="28:35" ht="15" hidden="1" customHeight="1">
      <c r="AB13499" s="9"/>
      <c r="AC13499" s="9"/>
      <c r="AD13499" s="9"/>
      <c r="AF13499" s="10"/>
      <c r="AG13499" s="10"/>
      <c r="AH13499" s="10"/>
      <c r="AI13499" s="10"/>
    </row>
    <row r="13500" spans="28:35" ht="15" hidden="1" customHeight="1">
      <c r="AB13500" s="9"/>
      <c r="AC13500" s="9"/>
      <c r="AD13500" s="9"/>
      <c r="AF13500" s="10"/>
      <c r="AG13500" s="10"/>
      <c r="AH13500" s="10"/>
      <c r="AI13500" s="10"/>
    </row>
    <row r="13501" spans="28:35" ht="15" hidden="1" customHeight="1">
      <c r="AB13501" s="9"/>
      <c r="AC13501" s="9"/>
      <c r="AD13501" s="9"/>
      <c r="AF13501" s="10"/>
      <c r="AG13501" s="10"/>
      <c r="AH13501" s="10"/>
      <c r="AI13501" s="10"/>
    </row>
    <row r="13502" spans="28:35" ht="15" hidden="1" customHeight="1">
      <c r="AB13502" s="9"/>
      <c r="AC13502" s="9"/>
      <c r="AD13502" s="9"/>
      <c r="AF13502" s="10"/>
      <c r="AG13502" s="10"/>
      <c r="AH13502" s="10"/>
      <c r="AI13502" s="10"/>
    </row>
    <row r="13503" spans="28:35" ht="15" hidden="1" customHeight="1">
      <c r="AB13503" s="9"/>
      <c r="AC13503" s="9"/>
      <c r="AD13503" s="9"/>
      <c r="AF13503" s="10"/>
      <c r="AG13503" s="10"/>
      <c r="AH13503" s="10"/>
      <c r="AI13503" s="10"/>
    </row>
    <row r="13504" spans="28:35" ht="15" hidden="1" customHeight="1">
      <c r="AB13504" s="9"/>
      <c r="AC13504" s="9"/>
      <c r="AD13504" s="9"/>
      <c r="AF13504" s="10"/>
      <c r="AG13504" s="10"/>
      <c r="AH13504" s="10"/>
      <c r="AI13504" s="10"/>
    </row>
    <row r="13505" spans="28:35" ht="15" hidden="1" customHeight="1">
      <c r="AB13505" s="9"/>
      <c r="AC13505" s="9"/>
      <c r="AD13505" s="9"/>
      <c r="AF13505" s="10"/>
      <c r="AG13505" s="10"/>
      <c r="AH13505" s="10"/>
      <c r="AI13505" s="10"/>
    </row>
    <row r="13506" spans="28:35" ht="15" hidden="1" customHeight="1">
      <c r="AB13506" s="9"/>
      <c r="AC13506" s="9"/>
      <c r="AD13506" s="9"/>
      <c r="AF13506" s="10"/>
      <c r="AG13506" s="10"/>
      <c r="AH13506" s="10"/>
      <c r="AI13506" s="10"/>
    </row>
    <row r="13507" spans="28:35" ht="15" hidden="1" customHeight="1">
      <c r="AB13507" s="9"/>
      <c r="AC13507" s="9"/>
      <c r="AD13507" s="9"/>
      <c r="AF13507" s="10"/>
      <c r="AG13507" s="10"/>
      <c r="AH13507" s="10"/>
      <c r="AI13507" s="10"/>
    </row>
    <row r="13508" spans="28:35" ht="15" hidden="1" customHeight="1">
      <c r="AB13508" s="9"/>
      <c r="AC13508" s="9"/>
      <c r="AD13508" s="9"/>
      <c r="AF13508" s="10"/>
      <c r="AG13508" s="10"/>
      <c r="AH13508" s="10"/>
      <c r="AI13508" s="10"/>
    </row>
    <row r="13509" spans="28:35" ht="15" hidden="1" customHeight="1">
      <c r="AB13509" s="9"/>
      <c r="AC13509" s="9"/>
      <c r="AD13509" s="9"/>
      <c r="AF13509" s="10"/>
      <c r="AG13509" s="10"/>
      <c r="AH13509" s="10"/>
      <c r="AI13509" s="10"/>
    </row>
    <row r="13510" spans="28:35" ht="15" hidden="1" customHeight="1">
      <c r="AB13510" s="9"/>
      <c r="AC13510" s="9"/>
      <c r="AD13510" s="9"/>
      <c r="AF13510" s="10"/>
      <c r="AG13510" s="10"/>
      <c r="AH13510" s="10"/>
      <c r="AI13510" s="10"/>
    </row>
    <row r="13511" spans="28:35" ht="15" hidden="1" customHeight="1">
      <c r="AB13511" s="9"/>
      <c r="AC13511" s="9"/>
      <c r="AD13511" s="9"/>
      <c r="AF13511" s="10"/>
      <c r="AG13511" s="10"/>
      <c r="AH13511" s="10"/>
      <c r="AI13511" s="10"/>
    </row>
    <row r="13512" spans="28:35" ht="15" hidden="1" customHeight="1">
      <c r="AB13512" s="9"/>
      <c r="AC13512" s="9"/>
      <c r="AD13512" s="9"/>
      <c r="AF13512" s="10"/>
      <c r="AG13512" s="10"/>
      <c r="AH13512" s="10"/>
      <c r="AI13512" s="10"/>
    </row>
    <row r="13513" spans="28:35" ht="15" hidden="1" customHeight="1">
      <c r="AB13513" s="9"/>
      <c r="AC13513" s="9"/>
      <c r="AD13513" s="9"/>
      <c r="AF13513" s="10"/>
      <c r="AG13513" s="10"/>
      <c r="AH13513" s="10"/>
      <c r="AI13513" s="10"/>
    </row>
    <row r="13514" spans="28:35" ht="15" hidden="1" customHeight="1">
      <c r="AB13514" s="9"/>
      <c r="AC13514" s="9"/>
      <c r="AD13514" s="9"/>
      <c r="AF13514" s="10"/>
      <c r="AG13514" s="10"/>
      <c r="AH13514" s="10"/>
      <c r="AI13514" s="10"/>
    </row>
    <row r="13515" spans="28:35" ht="15" hidden="1" customHeight="1">
      <c r="AB13515" s="9"/>
      <c r="AC13515" s="9"/>
      <c r="AD13515" s="9"/>
      <c r="AF13515" s="10"/>
      <c r="AG13515" s="10"/>
      <c r="AH13515" s="10"/>
      <c r="AI13515" s="10"/>
    </row>
    <row r="13516" spans="28:35" ht="15" hidden="1" customHeight="1">
      <c r="AB13516" s="9"/>
      <c r="AC13516" s="9"/>
      <c r="AD13516" s="9"/>
      <c r="AF13516" s="10"/>
      <c r="AG13516" s="10"/>
      <c r="AH13516" s="10"/>
      <c r="AI13516" s="10"/>
    </row>
    <row r="13517" spans="28:35" ht="15" hidden="1" customHeight="1">
      <c r="AB13517" s="9"/>
      <c r="AC13517" s="9"/>
      <c r="AD13517" s="9"/>
      <c r="AF13517" s="10"/>
      <c r="AG13517" s="10"/>
      <c r="AH13517" s="10"/>
      <c r="AI13517" s="10"/>
    </row>
    <row r="13518" spans="28:35" ht="15" hidden="1" customHeight="1">
      <c r="AB13518" s="9"/>
      <c r="AC13518" s="9"/>
      <c r="AD13518" s="9"/>
      <c r="AF13518" s="10"/>
      <c r="AG13518" s="10"/>
      <c r="AH13518" s="10"/>
      <c r="AI13518" s="10"/>
    </row>
    <row r="13519" spans="28:35" ht="15" hidden="1" customHeight="1">
      <c r="AB13519" s="9"/>
      <c r="AC13519" s="9"/>
      <c r="AD13519" s="9"/>
      <c r="AF13519" s="10"/>
      <c r="AG13519" s="10"/>
      <c r="AH13519" s="10"/>
      <c r="AI13519" s="10"/>
    </row>
    <row r="13520" spans="28:35" ht="15" hidden="1" customHeight="1">
      <c r="AB13520" s="9"/>
      <c r="AC13520" s="9"/>
      <c r="AD13520" s="9"/>
      <c r="AF13520" s="10"/>
      <c r="AG13520" s="10"/>
      <c r="AH13520" s="10"/>
      <c r="AI13520" s="10"/>
    </row>
    <row r="13521" spans="28:35" ht="15" hidden="1" customHeight="1">
      <c r="AB13521" s="9"/>
      <c r="AC13521" s="9"/>
      <c r="AD13521" s="9"/>
      <c r="AF13521" s="10"/>
      <c r="AG13521" s="10"/>
      <c r="AH13521" s="10"/>
      <c r="AI13521" s="10"/>
    </row>
    <row r="13522" spans="28:35" ht="15" hidden="1" customHeight="1">
      <c r="AB13522" s="9"/>
      <c r="AC13522" s="9"/>
      <c r="AD13522" s="9"/>
      <c r="AF13522" s="10"/>
      <c r="AG13522" s="10"/>
      <c r="AH13522" s="10"/>
      <c r="AI13522" s="10"/>
    </row>
    <row r="13523" spans="28:35" ht="15" hidden="1" customHeight="1">
      <c r="AB13523" s="9"/>
      <c r="AC13523" s="9"/>
      <c r="AD13523" s="9"/>
      <c r="AF13523" s="10"/>
      <c r="AG13523" s="10"/>
      <c r="AH13523" s="10"/>
      <c r="AI13523" s="10"/>
    </row>
    <row r="13524" spans="28:35" ht="15" hidden="1" customHeight="1">
      <c r="AB13524" s="9"/>
      <c r="AC13524" s="9"/>
      <c r="AD13524" s="9"/>
      <c r="AF13524" s="10"/>
      <c r="AG13524" s="10"/>
      <c r="AH13524" s="10"/>
      <c r="AI13524" s="10"/>
    </row>
    <row r="13525" spans="28:35" ht="15" hidden="1" customHeight="1">
      <c r="AB13525" s="9"/>
      <c r="AC13525" s="9"/>
      <c r="AD13525" s="9"/>
      <c r="AF13525" s="10"/>
      <c r="AG13525" s="10"/>
      <c r="AH13525" s="10"/>
      <c r="AI13525" s="10"/>
    </row>
    <row r="13526" spans="28:35" ht="15" hidden="1" customHeight="1">
      <c r="AB13526" s="9"/>
      <c r="AC13526" s="9"/>
      <c r="AD13526" s="9"/>
      <c r="AF13526" s="10"/>
      <c r="AG13526" s="10"/>
      <c r="AH13526" s="10"/>
      <c r="AI13526" s="10"/>
    </row>
    <row r="13527" spans="28:35" ht="15" hidden="1" customHeight="1">
      <c r="AB13527" s="9"/>
      <c r="AC13527" s="9"/>
      <c r="AD13527" s="9"/>
      <c r="AF13527" s="10"/>
      <c r="AG13527" s="10"/>
      <c r="AH13527" s="10"/>
      <c r="AI13527" s="10"/>
    </row>
    <row r="13528" spans="28:35" ht="15" hidden="1" customHeight="1">
      <c r="AB13528" s="9"/>
      <c r="AC13528" s="9"/>
      <c r="AD13528" s="9"/>
      <c r="AF13528" s="10"/>
      <c r="AG13528" s="10"/>
      <c r="AH13528" s="10"/>
      <c r="AI13528" s="10"/>
    </row>
    <row r="13529" spans="28:35" ht="15" hidden="1" customHeight="1">
      <c r="AB13529" s="9"/>
      <c r="AC13529" s="9"/>
      <c r="AD13529" s="9"/>
      <c r="AF13529" s="10"/>
      <c r="AG13529" s="10"/>
      <c r="AH13529" s="10"/>
      <c r="AI13529" s="10"/>
    </row>
    <row r="13530" spans="28:35" ht="15" hidden="1" customHeight="1">
      <c r="AB13530" s="9"/>
      <c r="AC13530" s="9"/>
      <c r="AD13530" s="9"/>
      <c r="AF13530" s="10"/>
      <c r="AG13530" s="10"/>
      <c r="AH13530" s="10"/>
      <c r="AI13530" s="10"/>
    </row>
    <row r="13531" spans="28:35" ht="15" hidden="1" customHeight="1">
      <c r="AB13531" s="9"/>
      <c r="AC13531" s="9"/>
      <c r="AD13531" s="9"/>
      <c r="AF13531" s="10"/>
      <c r="AG13531" s="10"/>
      <c r="AH13531" s="10"/>
      <c r="AI13531" s="10"/>
    </row>
    <row r="13532" spans="28:35" ht="15" hidden="1" customHeight="1">
      <c r="AB13532" s="9"/>
      <c r="AC13532" s="9"/>
      <c r="AD13532" s="9"/>
      <c r="AF13532" s="10"/>
      <c r="AG13532" s="10"/>
      <c r="AH13532" s="10"/>
      <c r="AI13532" s="10"/>
    </row>
    <row r="13533" spans="28:35" ht="15" hidden="1" customHeight="1">
      <c r="AB13533" s="9"/>
      <c r="AC13533" s="9"/>
      <c r="AD13533" s="9"/>
      <c r="AF13533" s="10"/>
      <c r="AG13533" s="10"/>
      <c r="AH13533" s="10"/>
      <c r="AI13533" s="10"/>
    </row>
    <row r="13534" spans="28:35" ht="15" hidden="1" customHeight="1">
      <c r="AB13534" s="9"/>
      <c r="AC13534" s="9"/>
      <c r="AD13534" s="9"/>
      <c r="AF13534" s="10"/>
      <c r="AG13534" s="10"/>
      <c r="AH13534" s="10"/>
      <c r="AI13534" s="10"/>
    </row>
    <row r="13535" spans="28:35" ht="15" hidden="1" customHeight="1">
      <c r="AB13535" s="9"/>
      <c r="AC13535" s="9"/>
      <c r="AD13535" s="9"/>
      <c r="AF13535" s="10"/>
      <c r="AG13535" s="10"/>
      <c r="AH13535" s="10"/>
      <c r="AI13535" s="10"/>
    </row>
    <row r="13536" spans="28:35" ht="15" hidden="1" customHeight="1">
      <c r="AB13536" s="9"/>
      <c r="AC13536" s="9"/>
      <c r="AD13536" s="9"/>
      <c r="AF13536" s="10"/>
      <c r="AG13536" s="10"/>
      <c r="AH13536" s="10"/>
      <c r="AI13536" s="10"/>
    </row>
    <row r="13537" spans="28:35" ht="15" hidden="1" customHeight="1">
      <c r="AB13537" s="9"/>
      <c r="AC13537" s="9"/>
      <c r="AD13537" s="9"/>
      <c r="AF13537" s="10"/>
      <c r="AG13537" s="10"/>
      <c r="AH13537" s="10"/>
      <c r="AI13537" s="10"/>
    </row>
    <row r="13538" spans="28:35" ht="15" hidden="1" customHeight="1">
      <c r="AB13538" s="9"/>
      <c r="AC13538" s="9"/>
      <c r="AD13538" s="9"/>
      <c r="AF13538" s="10"/>
      <c r="AG13538" s="10"/>
      <c r="AH13538" s="10"/>
      <c r="AI13538" s="10"/>
    </row>
    <row r="13539" spans="28:35" ht="15" hidden="1" customHeight="1">
      <c r="AB13539" s="9"/>
      <c r="AC13539" s="9"/>
      <c r="AD13539" s="9"/>
      <c r="AF13539" s="10"/>
      <c r="AG13539" s="10"/>
      <c r="AH13539" s="10"/>
      <c r="AI13539" s="10"/>
    </row>
    <row r="13540" spans="28:35" ht="15" hidden="1" customHeight="1">
      <c r="AB13540" s="9"/>
      <c r="AC13540" s="9"/>
      <c r="AD13540" s="9"/>
      <c r="AF13540" s="10"/>
      <c r="AG13540" s="10"/>
      <c r="AH13540" s="10"/>
      <c r="AI13540" s="10"/>
    </row>
    <row r="13541" spans="28:35" ht="15" hidden="1" customHeight="1">
      <c r="AB13541" s="9"/>
      <c r="AC13541" s="9"/>
      <c r="AD13541" s="9"/>
      <c r="AF13541" s="10"/>
      <c r="AG13541" s="10"/>
      <c r="AH13541" s="10"/>
      <c r="AI13541" s="10"/>
    </row>
    <row r="13542" spans="28:35" ht="15" hidden="1" customHeight="1">
      <c r="AB13542" s="9"/>
      <c r="AC13542" s="9"/>
      <c r="AD13542" s="9"/>
      <c r="AF13542" s="10"/>
      <c r="AG13542" s="10"/>
      <c r="AH13542" s="10"/>
      <c r="AI13542" s="10"/>
    </row>
    <row r="13543" spans="28:35" ht="15" hidden="1" customHeight="1">
      <c r="AB13543" s="9"/>
      <c r="AC13543" s="9"/>
      <c r="AD13543" s="9"/>
      <c r="AF13543" s="10"/>
      <c r="AG13543" s="10"/>
      <c r="AH13543" s="10"/>
      <c r="AI13543" s="10"/>
    </row>
    <row r="13544" spans="28:35" ht="15" hidden="1" customHeight="1">
      <c r="AB13544" s="9"/>
      <c r="AC13544" s="9"/>
      <c r="AD13544" s="9"/>
      <c r="AF13544" s="10"/>
      <c r="AG13544" s="10"/>
      <c r="AH13544" s="10"/>
      <c r="AI13544" s="10"/>
    </row>
    <row r="13545" spans="28:35" ht="15" hidden="1" customHeight="1">
      <c r="AB13545" s="9"/>
      <c r="AC13545" s="9"/>
      <c r="AD13545" s="9"/>
      <c r="AF13545" s="10"/>
      <c r="AG13545" s="10"/>
      <c r="AH13545" s="10"/>
      <c r="AI13545" s="10"/>
    </row>
    <row r="13546" spans="28:35" ht="15" hidden="1" customHeight="1">
      <c r="AB13546" s="9"/>
      <c r="AC13546" s="9"/>
      <c r="AD13546" s="9"/>
      <c r="AF13546" s="10"/>
      <c r="AG13546" s="10"/>
      <c r="AH13546" s="10"/>
      <c r="AI13546" s="10"/>
    </row>
    <row r="13547" spans="28:35" ht="15" hidden="1" customHeight="1">
      <c r="AB13547" s="9"/>
      <c r="AC13547" s="9"/>
      <c r="AD13547" s="9"/>
      <c r="AF13547" s="10"/>
      <c r="AG13547" s="10"/>
      <c r="AH13547" s="10"/>
      <c r="AI13547" s="10"/>
    </row>
    <row r="13548" spans="28:35" ht="15" hidden="1" customHeight="1">
      <c r="AB13548" s="9"/>
      <c r="AC13548" s="9"/>
      <c r="AD13548" s="9"/>
      <c r="AF13548" s="10"/>
      <c r="AG13548" s="10"/>
      <c r="AH13548" s="10"/>
      <c r="AI13548" s="10"/>
    </row>
    <row r="13549" spans="28:35" ht="15" hidden="1" customHeight="1">
      <c r="AB13549" s="9"/>
      <c r="AC13549" s="9"/>
      <c r="AD13549" s="9"/>
      <c r="AF13549" s="10"/>
      <c r="AG13549" s="10"/>
      <c r="AH13549" s="10"/>
      <c r="AI13549" s="10"/>
    </row>
    <row r="13550" spans="28:35" ht="15" hidden="1" customHeight="1">
      <c r="AB13550" s="9"/>
      <c r="AC13550" s="9"/>
      <c r="AD13550" s="9"/>
      <c r="AF13550" s="10"/>
      <c r="AG13550" s="10"/>
      <c r="AH13550" s="10"/>
      <c r="AI13550" s="10"/>
    </row>
    <row r="13551" spans="28:35" ht="15" hidden="1" customHeight="1">
      <c r="AB13551" s="9"/>
      <c r="AC13551" s="9"/>
      <c r="AD13551" s="9"/>
      <c r="AF13551" s="10"/>
      <c r="AG13551" s="10"/>
      <c r="AH13551" s="10"/>
      <c r="AI13551" s="10"/>
    </row>
    <row r="13552" spans="28:35" ht="15" hidden="1" customHeight="1">
      <c r="AB13552" s="9"/>
      <c r="AC13552" s="9"/>
      <c r="AD13552" s="9"/>
      <c r="AF13552" s="10"/>
      <c r="AG13552" s="10"/>
      <c r="AH13552" s="10"/>
      <c r="AI13552" s="10"/>
    </row>
    <row r="13553" spans="28:35" ht="15" hidden="1" customHeight="1">
      <c r="AB13553" s="9"/>
      <c r="AC13553" s="9"/>
      <c r="AD13553" s="9"/>
      <c r="AF13553" s="10"/>
      <c r="AG13553" s="10"/>
      <c r="AH13553" s="10"/>
      <c r="AI13553" s="10"/>
    </row>
    <row r="13554" spans="28:35" ht="15" hidden="1" customHeight="1">
      <c r="AB13554" s="9"/>
      <c r="AC13554" s="9"/>
      <c r="AD13554" s="9"/>
      <c r="AF13554" s="10"/>
      <c r="AG13554" s="10"/>
      <c r="AH13554" s="10"/>
      <c r="AI13554" s="10"/>
    </row>
    <row r="13555" spans="28:35" ht="15" hidden="1" customHeight="1">
      <c r="AB13555" s="9"/>
      <c r="AC13555" s="9"/>
      <c r="AD13555" s="9"/>
      <c r="AF13555" s="10"/>
      <c r="AG13555" s="10"/>
      <c r="AH13555" s="10"/>
      <c r="AI13555" s="10"/>
    </row>
    <row r="13556" spans="28:35" ht="15" hidden="1" customHeight="1">
      <c r="AB13556" s="9"/>
      <c r="AC13556" s="9"/>
      <c r="AD13556" s="9"/>
      <c r="AF13556" s="10"/>
      <c r="AG13556" s="10"/>
      <c r="AH13556" s="10"/>
      <c r="AI13556" s="10"/>
    </row>
    <row r="13557" spans="28:35" ht="15" hidden="1" customHeight="1">
      <c r="AB13557" s="9"/>
      <c r="AC13557" s="9"/>
      <c r="AD13557" s="9"/>
      <c r="AF13557" s="10"/>
      <c r="AG13557" s="10"/>
      <c r="AH13557" s="10"/>
      <c r="AI13557" s="10"/>
    </row>
    <row r="13558" spans="28:35" ht="15" hidden="1" customHeight="1">
      <c r="AB13558" s="9"/>
      <c r="AC13558" s="9"/>
      <c r="AD13558" s="9"/>
      <c r="AF13558" s="10"/>
      <c r="AG13558" s="10"/>
      <c r="AH13558" s="10"/>
      <c r="AI13558" s="10"/>
    </row>
    <row r="13559" spans="28:35" ht="15" hidden="1" customHeight="1">
      <c r="AB13559" s="9"/>
      <c r="AC13559" s="9"/>
      <c r="AD13559" s="9"/>
      <c r="AF13559" s="10"/>
      <c r="AG13559" s="10"/>
      <c r="AH13559" s="10"/>
      <c r="AI13559" s="10"/>
    </row>
    <row r="13560" spans="28:35" ht="15" hidden="1" customHeight="1">
      <c r="AB13560" s="9"/>
      <c r="AC13560" s="9"/>
      <c r="AD13560" s="9"/>
      <c r="AF13560" s="10"/>
      <c r="AG13560" s="10"/>
      <c r="AH13560" s="10"/>
      <c r="AI13560" s="10"/>
    </row>
    <row r="13561" spans="28:35" ht="15" hidden="1" customHeight="1">
      <c r="AB13561" s="9"/>
      <c r="AC13561" s="9"/>
      <c r="AD13561" s="9"/>
      <c r="AF13561" s="10"/>
      <c r="AG13561" s="10"/>
      <c r="AH13561" s="10"/>
      <c r="AI13561" s="10"/>
    </row>
    <row r="13562" spans="28:35" ht="15" hidden="1" customHeight="1">
      <c r="AB13562" s="9"/>
      <c r="AC13562" s="9"/>
      <c r="AD13562" s="9"/>
      <c r="AF13562" s="10"/>
      <c r="AG13562" s="10"/>
      <c r="AH13562" s="10"/>
      <c r="AI13562" s="10"/>
    </row>
    <row r="13563" spans="28:35" ht="15" hidden="1" customHeight="1">
      <c r="AB13563" s="9"/>
      <c r="AC13563" s="9"/>
      <c r="AD13563" s="9"/>
      <c r="AF13563" s="10"/>
      <c r="AG13563" s="10"/>
      <c r="AH13563" s="10"/>
      <c r="AI13563" s="10"/>
    </row>
    <row r="13564" spans="28:35" ht="15" hidden="1" customHeight="1">
      <c r="AB13564" s="9"/>
      <c r="AC13564" s="9"/>
      <c r="AD13564" s="9"/>
      <c r="AF13564" s="10"/>
      <c r="AG13564" s="10"/>
      <c r="AH13564" s="10"/>
      <c r="AI13564" s="10"/>
    </row>
    <row r="13565" spans="28:35" ht="15" hidden="1" customHeight="1">
      <c r="AB13565" s="9"/>
      <c r="AC13565" s="9"/>
      <c r="AD13565" s="9"/>
      <c r="AF13565" s="10"/>
      <c r="AG13565" s="10"/>
      <c r="AH13565" s="10"/>
      <c r="AI13565" s="10"/>
    </row>
    <row r="13566" spans="28:35" ht="15" hidden="1" customHeight="1">
      <c r="AB13566" s="9"/>
      <c r="AC13566" s="9"/>
      <c r="AD13566" s="9"/>
      <c r="AF13566" s="10"/>
      <c r="AG13566" s="10"/>
      <c r="AH13566" s="10"/>
      <c r="AI13566" s="10"/>
    </row>
    <row r="13567" spans="28:35" ht="15" hidden="1" customHeight="1">
      <c r="AB13567" s="9"/>
      <c r="AC13567" s="9"/>
      <c r="AD13567" s="9"/>
      <c r="AF13567" s="10"/>
      <c r="AG13567" s="10"/>
      <c r="AH13567" s="10"/>
      <c r="AI13567" s="10"/>
    </row>
    <row r="13568" spans="28:35" ht="15" hidden="1" customHeight="1">
      <c r="AB13568" s="9"/>
      <c r="AC13568" s="9"/>
      <c r="AD13568" s="9"/>
      <c r="AF13568" s="10"/>
      <c r="AG13568" s="10"/>
      <c r="AH13568" s="10"/>
      <c r="AI13568" s="10"/>
    </row>
    <row r="13569" spans="28:35" ht="15" hidden="1" customHeight="1">
      <c r="AB13569" s="9"/>
      <c r="AC13569" s="9"/>
      <c r="AD13569" s="9"/>
      <c r="AF13569" s="10"/>
      <c r="AG13569" s="10"/>
      <c r="AH13569" s="10"/>
      <c r="AI13569" s="10"/>
    </row>
    <row r="13570" spans="28:35" ht="15" hidden="1" customHeight="1">
      <c r="AB13570" s="9"/>
      <c r="AC13570" s="9"/>
      <c r="AD13570" s="9"/>
      <c r="AF13570" s="10"/>
      <c r="AG13570" s="10"/>
      <c r="AH13570" s="10"/>
      <c r="AI13570" s="10"/>
    </row>
    <row r="13571" spans="28:35" ht="15" hidden="1" customHeight="1">
      <c r="AB13571" s="9"/>
      <c r="AC13571" s="9"/>
      <c r="AD13571" s="9"/>
      <c r="AF13571" s="10"/>
      <c r="AG13571" s="10"/>
      <c r="AH13571" s="10"/>
      <c r="AI13571" s="10"/>
    </row>
    <row r="13572" spans="28:35" ht="15" hidden="1" customHeight="1">
      <c r="AB13572" s="9"/>
      <c r="AC13572" s="9"/>
      <c r="AD13572" s="9"/>
      <c r="AF13572" s="10"/>
      <c r="AG13572" s="10"/>
      <c r="AH13572" s="10"/>
      <c r="AI13572" s="10"/>
    </row>
    <row r="13573" spans="28:35" ht="15" hidden="1" customHeight="1">
      <c r="AB13573" s="9"/>
      <c r="AC13573" s="9"/>
      <c r="AD13573" s="9"/>
      <c r="AF13573" s="10"/>
      <c r="AG13573" s="10"/>
      <c r="AH13573" s="10"/>
      <c r="AI13573" s="10"/>
    </row>
    <row r="13574" spans="28:35" ht="15" hidden="1" customHeight="1">
      <c r="AB13574" s="9"/>
      <c r="AC13574" s="9"/>
      <c r="AD13574" s="9"/>
      <c r="AF13574" s="10"/>
      <c r="AG13574" s="10"/>
      <c r="AH13574" s="10"/>
      <c r="AI13574" s="10"/>
    </row>
    <row r="13575" spans="28:35" ht="15" hidden="1" customHeight="1">
      <c r="AB13575" s="9"/>
      <c r="AC13575" s="9"/>
      <c r="AD13575" s="9"/>
      <c r="AF13575" s="10"/>
      <c r="AG13575" s="10"/>
      <c r="AH13575" s="10"/>
      <c r="AI13575" s="10"/>
    </row>
    <row r="13576" spans="28:35" ht="15" hidden="1" customHeight="1">
      <c r="AB13576" s="9"/>
      <c r="AC13576" s="9"/>
      <c r="AD13576" s="9"/>
      <c r="AF13576" s="10"/>
      <c r="AG13576" s="10"/>
      <c r="AH13576" s="10"/>
      <c r="AI13576" s="10"/>
    </row>
    <row r="13577" spans="28:35" ht="15" hidden="1" customHeight="1">
      <c r="AB13577" s="9"/>
      <c r="AC13577" s="9"/>
      <c r="AD13577" s="9"/>
      <c r="AF13577" s="10"/>
      <c r="AG13577" s="10"/>
      <c r="AH13577" s="10"/>
      <c r="AI13577" s="10"/>
    </row>
    <row r="13578" spans="28:35" ht="15" hidden="1" customHeight="1">
      <c r="AB13578" s="9"/>
      <c r="AC13578" s="9"/>
      <c r="AD13578" s="9"/>
      <c r="AF13578" s="10"/>
      <c r="AG13578" s="10"/>
      <c r="AH13578" s="10"/>
      <c r="AI13578" s="10"/>
    </row>
    <row r="13579" spans="28:35" ht="15" hidden="1" customHeight="1">
      <c r="AB13579" s="9"/>
      <c r="AC13579" s="9"/>
      <c r="AD13579" s="9"/>
      <c r="AF13579" s="10"/>
      <c r="AG13579" s="10"/>
      <c r="AH13579" s="10"/>
      <c r="AI13579" s="10"/>
    </row>
    <row r="13580" spans="28:35" ht="15" hidden="1" customHeight="1">
      <c r="AB13580" s="9"/>
      <c r="AC13580" s="9"/>
      <c r="AD13580" s="9"/>
      <c r="AF13580" s="10"/>
      <c r="AG13580" s="10"/>
      <c r="AH13580" s="10"/>
      <c r="AI13580" s="10"/>
    </row>
    <row r="13581" spans="28:35" ht="15" hidden="1" customHeight="1">
      <c r="AB13581" s="9"/>
      <c r="AC13581" s="9"/>
      <c r="AD13581" s="9"/>
      <c r="AF13581" s="10"/>
      <c r="AG13581" s="10"/>
      <c r="AH13581" s="10"/>
      <c r="AI13581" s="10"/>
    </row>
    <row r="13582" spans="28:35" ht="15" hidden="1" customHeight="1">
      <c r="AB13582" s="9"/>
      <c r="AC13582" s="9"/>
      <c r="AD13582" s="9"/>
      <c r="AF13582" s="10"/>
      <c r="AG13582" s="10"/>
      <c r="AH13582" s="10"/>
      <c r="AI13582" s="10"/>
    </row>
    <row r="13583" spans="28:35" ht="15" hidden="1" customHeight="1">
      <c r="AB13583" s="9"/>
      <c r="AC13583" s="9"/>
      <c r="AD13583" s="9"/>
      <c r="AF13583" s="10"/>
      <c r="AG13583" s="10"/>
      <c r="AH13583" s="10"/>
      <c r="AI13583" s="10"/>
    </row>
    <row r="13584" spans="28:35" ht="15" hidden="1" customHeight="1">
      <c r="AB13584" s="9"/>
      <c r="AC13584" s="9"/>
      <c r="AD13584" s="9"/>
      <c r="AF13584" s="10"/>
      <c r="AG13584" s="10"/>
      <c r="AH13584" s="10"/>
      <c r="AI13584" s="10"/>
    </row>
    <row r="13585" spans="28:35" ht="15" hidden="1" customHeight="1">
      <c r="AB13585" s="9"/>
      <c r="AC13585" s="9"/>
      <c r="AD13585" s="9"/>
      <c r="AF13585" s="10"/>
      <c r="AG13585" s="10"/>
      <c r="AH13585" s="10"/>
      <c r="AI13585" s="10"/>
    </row>
    <row r="13586" spans="28:35" ht="15" hidden="1" customHeight="1">
      <c r="AB13586" s="9"/>
      <c r="AC13586" s="9"/>
      <c r="AD13586" s="9"/>
      <c r="AF13586" s="10"/>
      <c r="AG13586" s="10"/>
      <c r="AH13586" s="10"/>
      <c r="AI13586" s="10"/>
    </row>
    <row r="13587" spans="28:35" ht="15" hidden="1" customHeight="1">
      <c r="AB13587" s="9"/>
      <c r="AC13587" s="9"/>
      <c r="AD13587" s="9"/>
      <c r="AF13587" s="10"/>
      <c r="AG13587" s="10"/>
      <c r="AH13587" s="10"/>
      <c r="AI13587" s="10"/>
    </row>
    <row r="13588" spans="28:35" ht="15" hidden="1" customHeight="1">
      <c r="AB13588" s="9"/>
      <c r="AC13588" s="9"/>
      <c r="AD13588" s="9"/>
      <c r="AF13588" s="10"/>
      <c r="AG13588" s="10"/>
      <c r="AH13588" s="10"/>
      <c r="AI13588" s="10"/>
    </row>
    <row r="13589" spans="28:35" ht="15" hidden="1" customHeight="1">
      <c r="AB13589" s="9"/>
      <c r="AC13589" s="9"/>
      <c r="AD13589" s="9"/>
      <c r="AF13589" s="10"/>
      <c r="AG13589" s="10"/>
      <c r="AH13589" s="10"/>
      <c r="AI13589" s="10"/>
    </row>
    <row r="13590" spans="28:35" ht="15" hidden="1" customHeight="1">
      <c r="AB13590" s="9"/>
      <c r="AC13590" s="9"/>
      <c r="AD13590" s="9"/>
      <c r="AF13590" s="10"/>
      <c r="AG13590" s="10"/>
      <c r="AH13590" s="10"/>
      <c r="AI13590" s="10"/>
    </row>
    <row r="13591" spans="28:35" ht="15" hidden="1" customHeight="1">
      <c r="AB13591" s="9"/>
      <c r="AC13591" s="9"/>
      <c r="AD13591" s="9"/>
      <c r="AF13591" s="10"/>
      <c r="AG13591" s="10"/>
      <c r="AH13591" s="10"/>
      <c r="AI13591" s="10"/>
    </row>
    <row r="13592" spans="28:35" ht="15" hidden="1" customHeight="1">
      <c r="AB13592" s="9"/>
      <c r="AC13592" s="9"/>
      <c r="AD13592" s="9"/>
      <c r="AF13592" s="10"/>
      <c r="AG13592" s="10"/>
      <c r="AH13592" s="10"/>
      <c r="AI13592" s="10"/>
    </row>
    <row r="13593" spans="28:35" ht="15" hidden="1" customHeight="1">
      <c r="AB13593" s="9"/>
      <c r="AC13593" s="9"/>
      <c r="AD13593" s="9"/>
      <c r="AF13593" s="10"/>
      <c r="AG13593" s="10"/>
      <c r="AH13593" s="10"/>
      <c r="AI13593" s="10"/>
    </row>
    <row r="13594" spans="28:35" ht="15" hidden="1" customHeight="1">
      <c r="AB13594" s="9"/>
      <c r="AC13594" s="9"/>
      <c r="AD13594" s="9"/>
      <c r="AF13594" s="10"/>
      <c r="AG13594" s="10"/>
      <c r="AH13594" s="10"/>
      <c r="AI13594" s="10"/>
    </row>
    <row r="13595" spans="28:35" ht="15" hidden="1" customHeight="1">
      <c r="AB13595" s="9"/>
      <c r="AC13595" s="9"/>
      <c r="AD13595" s="9"/>
      <c r="AF13595" s="10"/>
      <c r="AG13595" s="10"/>
      <c r="AH13595" s="10"/>
      <c r="AI13595" s="10"/>
    </row>
    <row r="13596" spans="28:35" ht="15" hidden="1" customHeight="1">
      <c r="AB13596" s="9"/>
      <c r="AC13596" s="9"/>
      <c r="AD13596" s="9"/>
      <c r="AF13596" s="10"/>
      <c r="AG13596" s="10"/>
      <c r="AH13596" s="10"/>
      <c r="AI13596" s="10"/>
    </row>
    <row r="13597" spans="28:35" ht="15" hidden="1" customHeight="1">
      <c r="AB13597" s="9"/>
      <c r="AC13597" s="9"/>
      <c r="AD13597" s="9"/>
      <c r="AF13597" s="10"/>
      <c r="AG13597" s="10"/>
      <c r="AH13597" s="10"/>
      <c r="AI13597" s="10"/>
    </row>
    <row r="13598" spans="28:35" ht="15" hidden="1" customHeight="1">
      <c r="AB13598" s="9"/>
      <c r="AC13598" s="9"/>
      <c r="AD13598" s="9"/>
      <c r="AF13598" s="10"/>
      <c r="AG13598" s="10"/>
      <c r="AH13598" s="10"/>
      <c r="AI13598" s="10"/>
    </row>
    <row r="13599" spans="28:35" ht="15" hidden="1" customHeight="1">
      <c r="AB13599" s="9"/>
      <c r="AC13599" s="9"/>
      <c r="AD13599" s="9"/>
      <c r="AF13599" s="10"/>
      <c r="AG13599" s="10"/>
      <c r="AH13599" s="10"/>
      <c r="AI13599" s="10"/>
    </row>
    <row r="13600" spans="28:35" ht="15" hidden="1" customHeight="1">
      <c r="AB13600" s="9"/>
      <c r="AC13600" s="9"/>
      <c r="AD13600" s="9"/>
      <c r="AF13600" s="10"/>
      <c r="AG13600" s="10"/>
      <c r="AH13600" s="10"/>
      <c r="AI13600" s="10"/>
    </row>
    <row r="13601" spans="28:35" ht="15" hidden="1" customHeight="1">
      <c r="AB13601" s="9"/>
      <c r="AC13601" s="9"/>
      <c r="AD13601" s="9"/>
      <c r="AF13601" s="10"/>
      <c r="AG13601" s="10"/>
      <c r="AH13601" s="10"/>
      <c r="AI13601" s="10"/>
    </row>
    <row r="13602" spans="28:35" ht="15" hidden="1" customHeight="1">
      <c r="AB13602" s="9"/>
      <c r="AC13602" s="9"/>
      <c r="AD13602" s="9"/>
      <c r="AF13602" s="10"/>
      <c r="AG13602" s="10"/>
      <c r="AH13602" s="10"/>
      <c r="AI13602" s="10"/>
    </row>
    <row r="13603" spans="28:35" ht="15" hidden="1" customHeight="1">
      <c r="AB13603" s="9"/>
      <c r="AC13603" s="9"/>
      <c r="AD13603" s="9"/>
      <c r="AF13603" s="10"/>
      <c r="AG13603" s="10"/>
      <c r="AH13603" s="10"/>
      <c r="AI13603" s="10"/>
    </row>
    <row r="13604" spans="28:35" ht="15" hidden="1" customHeight="1">
      <c r="AB13604" s="9"/>
      <c r="AC13604" s="9"/>
      <c r="AD13604" s="9"/>
      <c r="AF13604" s="10"/>
      <c r="AG13604" s="10"/>
      <c r="AH13604" s="10"/>
      <c r="AI13604" s="10"/>
    </row>
    <row r="13605" spans="28:35" ht="15" hidden="1" customHeight="1">
      <c r="AB13605" s="9"/>
      <c r="AC13605" s="9"/>
      <c r="AD13605" s="9"/>
      <c r="AF13605" s="10"/>
      <c r="AG13605" s="10"/>
      <c r="AH13605" s="10"/>
      <c r="AI13605" s="10"/>
    </row>
    <row r="13606" spans="28:35" ht="15" hidden="1" customHeight="1">
      <c r="AB13606" s="9"/>
      <c r="AC13606" s="9"/>
      <c r="AD13606" s="9"/>
      <c r="AF13606" s="10"/>
      <c r="AG13606" s="10"/>
      <c r="AH13606" s="10"/>
      <c r="AI13606" s="10"/>
    </row>
    <row r="13607" spans="28:35" ht="15" hidden="1" customHeight="1">
      <c r="AB13607" s="9"/>
      <c r="AC13607" s="9"/>
      <c r="AD13607" s="9"/>
      <c r="AF13607" s="10"/>
      <c r="AG13607" s="10"/>
      <c r="AH13607" s="10"/>
      <c r="AI13607" s="10"/>
    </row>
    <row r="13608" spans="28:35" ht="15" hidden="1" customHeight="1">
      <c r="AB13608" s="9"/>
      <c r="AC13608" s="9"/>
      <c r="AD13608" s="9"/>
      <c r="AF13608" s="10"/>
      <c r="AG13608" s="10"/>
      <c r="AH13608" s="10"/>
      <c r="AI13608" s="10"/>
    </row>
    <row r="13609" spans="28:35" ht="15" hidden="1" customHeight="1">
      <c r="AB13609" s="9"/>
      <c r="AC13609" s="9"/>
      <c r="AD13609" s="9"/>
      <c r="AF13609" s="10"/>
      <c r="AG13609" s="10"/>
      <c r="AH13609" s="10"/>
      <c r="AI13609" s="10"/>
    </row>
    <row r="13610" spans="28:35" ht="15" hidden="1" customHeight="1">
      <c r="AB13610" s="9"/>
      <c r="AC13610" s="9"/>
      <c r="AD13610" s="9"/>
      <c r="AF13610" s="10"/>
      <c r="AG13610" s="10"/>
      <c r="AH13610" s="10"/>
      <c r="AI13610" s="10"/>
    </row>
    <row r="13611" spans="28:35" ht="15" hidden="1" customHeight="1">
      <c r="AB13611" s="9"/>
      <c r="AC13611" s="9"/>
      <c r="AD13611" s="9"/>
      <c r="AF13611" s="10"/>
      <c r="AG13611" s="10"/>
      <c r="AH13611" s="10"/>
      <c r="AI13611" s="10"/>
    </row>
    <row r="13612" spans="28:35" ht="15" hidden="1" customHeight="1">
      <c r="AB13612" s="9"/>
      <c r="AC13612" s="9"/>
      <c r="AD13612" s="9"/>
      <c r="AF13612" s="10"/>
      <c r="AG13612" s="10"/>
      <c r="AH13612" s="10"/>
      <c r="AI13612" s="10"/>
    </row>
    <row r="13613" spans="28:35" ht="15" hidden="1" customHeight="1">
      <c r="AB13613" s="9"/>
      <c r="AC13613" s="9"/>
      <c r="AD13613" s="9"/>
      <c r="AF13613" s="10"/>
      <c r="AG13613" s="10"/>
      <c r="AH13613" s="10"/>
      <c r="AI13613" s="10"/>
    </row>
    <row r="13614" spans="28:35" ht="15" hidden="1" customHeight="1">
      <c r="AB13614" s="9"/>
      <c r="AC13614" s="9"/>
      <c r="AD13614" s="9"/>
      <c r="AF13614" s="10"/>
      <c r="AG13614" s="10"/>
      <c r="AH13614" s="10"/>
      <c r="AI13614" s="10"/>
    </row>
    <row r="13615" spans="28:35" ht="15" hidden="1" customHeight="1">
      <c r="AB13615" s="9"/>
      <c r="AC13615" s="9"/>
      <c r="AD13615" s="9"/>
      <c r="AF13615" s="10"/>
      <c r="AG13615" s="10"/>
      <c r="AH13615" s="10"/>
      <c r="AI13615" s="10"/>
    </row>
    <row r="13616" spans="28:35" ht="15" hidden="1" customHeight="1">
      <c r="AB13616" s="9"/>
      <c r="AC13616" s="9"/>
      <c r="AD13616" s="9"/>
      <c r="AF13616" s="10"/>
      <c r="AG13616" s="10"/>
      <c r="AH13616" s="10"/>
      <c r="AI13616" s="10"/>
    </row>
    <row r="13617" spans="28:35" ht="15" hidden="1" customHeight="1">
      <c r="AB13617" s="9"/>
      <c r="AC13617" s="9"/>
      <c r="AD13617" s="9"/>
      <c r="AF13617" s="10"/>
      <c r="AG13617" s="10"/>
      <c r="AH13617" s="10"/>
      <c r="AI13617" s="10"/>
    </row>
    <row r="13618" spans="28:35" ht="15" hidden="1" customHeight="1">
      <c r="AB13618" s="9"/>
      <c r="AC13618" s="9"/>
      <c r="AD13618" s="9"/>
      <c r="AF13618" s="10"/>
      <c r="AG13618" s="10"/>
      <c r="AH13618" s="10"/>
      <c r="AI13618" s="10"/>
    </row>
    <row r="13619" spans="28:35" ht="15" hidden="1" customHeight="1">
      <c r="AB13619" s="9"/>
      <c r="AC13619" s="9"/>
      <c r="AD13619" s="9"/>
      <c r="AF13619" s="10"/>
      <c r="AG13619" s="10"/>
      <c r="AH13619" s="10"/>
      <c r="AI13619" s="10"/>
    </row>
    <row r="13620" spans="28:35" ht="15" hidden="1" customHeight="1">
      <c r="AB13620" s="9"/>
      <c r="AC13620" s="9"/>
      <c r="AD13620" s="9"/>
      <c r="AF13620" s="10"/>
      <c r="AG13620" s="10"/>
      <c r="AH13620" s="10"/>
      <c r="AI13620" s="10"/>
    </row>
    <row r="13621" spans="28:35" ht="15" hidden="1" customHeight="1">
      <c r="AB13621" s="9"/>
      <c r="AC13621" s="9"/>
      <c r="AD13621" s="9"/>
      <c r="AF13621" s="10"/>
      <c r="AG13621" s="10"/>
      <c r="AH13621" s="10"/>
      <c r="AI13621" s="10"/>
    </row>
    <row r="13622" spans="28:35" ht="15" hidden="1" customHeight="1">
      <c r="AB13622" s="9"/>
      <c r="AC13622" s="9"/>
      <c r="AD13622" s="9"/>
      <c r="AF13622" s="10"/>
      <c r="AG13622" s="10"/>
      <c r="AH13622" s="10"/>
      <c r="AI13622" s="10"/>
    </row>
    <row r="13623" spans="28:35" ht="15" hidden="1" customHeight="1">
      <c r="AB13623" s="9"/>
      <c r="AC13623" s="9"/>
      <c r="AD13623" s="9"/>
      <c r="AF13623" s="10"/>
      <c r="AG13623" s="10"/>
      <c r="AH13623" s="10"/>
      <c r="AI13623" s="10"/>
    </row>
    <row r="13624" spans="28:35" ht="15" hidden="1" customHeight="1">
      <c r="AB13624" s="9"/>
      <c r="AC13624" s="9"/>
      <c r="AD13624" s="9"/>
      <c r="AF13624" s="10"/>
      <c r="AG13624" s="10"/>
      <c r="AH13624" s="10"/>
      <c r="AI13624" s="10"/>
    </row>
    <row r="13625" spans="28:35" ht="15" hidden="1" customHeight="1">
      <c r="AB13625" s="9"/>
      <c r="AC13625" s="9"/>
      <c r="AD13625" s="9"/>
      <c r="AF13625" s="10"/>
      <c r="AG13625" s="10"/>
      <c r="AH13625" s="10"/>
      <c r="AI13625" s="10"/>
    </row>
    <row r="13626" spans="28:35" ht="15" hidden="1" customHeight="1">
      <c r="AB13626" s="9"/>
      <c r="AC13626" s="9"/>
      <c r="AD13626" s="9"/>
      <c r="AF13626" s="10"/>
      <c r="AG13626" s="10"/>
      <c r="AH13626" s="10"/>
      <c r="AI13626" s="10"/>
    </row>
    <row r="13627" spans="28:35" ht="15" hidden="1" customHeight="1">
      <c r="AB13627" s="9"/>
      <c r="AC13627" s="9"/>
      <c r="AD13627" s="9"/>
      <c r="AF13627" s="10"/>
      <c r="AG13627" s="10"/>
      <c r="AH13627" s="10"/>
      <c r="AI13627" s="10"/>
    </row>
    <row r="13628" spans="28:35" ht="15" hidden="1" customHeight="1">
      <c r="AB13628" s="9"/>
      <c r="AC13628" s="9"/>
      <c r="AD13628" s="9"/>
      <c r="AF13628" s="10"/>
      <c r="AG13628" s="10"/>
      <c r="AH13628" s="10"/>
      <c r="AI13628" s="10"/>
    </row>
    <row r="13629" spans="28:35" ht="15" hidden="1" customHeight="1">
      <c r="AB13629" s="9"/>
      <c r="AC13629" s="9"/>
      <c r="AD13629" s="9"/>
      <c r="AF13629" s="10"/>
      <c r="AG13629" s="10"/>
      <c r="AH13629" s="10"/>
      <c r="AI13629" s="10"/>
    </row>
    <row r="13630" spans="28:35" ht="15" hidden="1" customHeight="1">
      <c r="AB13630" s="9"/>
      <c r="AC13630" s="9"/>
      <c r="AD13630" s="9"/>
      <c r="AF13630" s="10"/>
      <c r="AG13630" s="10"/>
      <c r="AH13630" s="10"/>
      <c r="AI13630" s="10"/>
    </row>
    <row r="13631" spans="28:35" ht="15" hidden="1" customHeight="1">
      <c r="AB13631" s="9"/>
      <c r="AC13631" s="9"/>
      <c r="AD13631" s="9"/>
      <c r="AF13631" s="10"/>
      <c r="AG13631" s="10"/>
      <c r="AH13631" s="10"/>
      <c r="AI13631" s="10"/>
    </row>
    <row r="13632" spans="28:35" ht="15" hidden="1" customHeight="1">
      <c r="AB13632" s="9"/>
      <c r="AC13632" s="9"/>
      <c r="AD13632" s="9"/>
      <c r="AF13632" s="10"/>
      <c r="AG13632" s="10"/>
      <c r="AH13632" s="10"/>
      <c r="AI13632" s="10"/>
    </row>
    <row r="13633" spans="28:35" ht="15" hidden="1" customHeight="1">
      <c r="AB13633" s="9"/>
      <c r="AC13633" s="9"/>
      <c r="AD13633" s="9"/>
      <c r="AF13633" s="10"/>
      <c r="AG13633" s="10"/>
      <c r="AH13633" s="10"/>
      <c r="AI13633" s="10"/>
    </row>
    <row r="13634" spans="28:35" ht="15" hidden="1" customHeight="1">
      <c r="AB13634" s="9"/>
      <c r="AC13634" s="9"/>
      <c r="AD13634" s="9"/>
      <c r="AF13634" s="10"/>
      <c r="AG13634" s="10"/>
      <c r="AH13634" s="10"/>
      <c r="AI13634" s="10"/>
    </row>
    <row r="13635" spans="28:35" ht="15" hidden="1" customHeight="1">
      <c r="AB13635" s="9"/>
      <c r="AC13635" s="9"/>
      <c r="AD13635" s="9"/>
      <c r="AF13635" s="10"/>
      <c r="AG13635" s="10"/>
      <c r="AH13635" s="10"/>
      <c r="AI13635" s="10"/>
    </row>
    <row r="13636" spans="28:35" ht="15" hidden="1" customHeight="1">
      <c r="AB13636" s="9"/>
      <c r="AC13636" s="9"/>
      <c r="AD13636" s="9"/>
      <c r="AF13636" s="10"/>
      <c r="AG13636" s="10"/>
      <c r="AH13636" s="10"/>
      <c r="AI13636" s="10"/>
    </row>
    <row r="13637" spans="28:35" ht="15" hidden="1" customHeight="1">
      <c r="AB13637" s="9"/>
      <c r="AC13637" s="9"/>
      <c r="AD13637" s="9"/>
      <c r="AF13637" s="10"/>
      <c r="AG13637" s="10"/>
      <c r="AH13637" s="10"/>
      <c r="AI13637" s="10"/>
    </row>
    <row r="13638" spans="28:35" ht="15" hidden="1" customHeight="1">
      <c r="AB13638" s="9"/>
      <c r="AC13638" s="9"/>
      <c r="AD13638" s="9"/>
      <c r="AF13638" s="10"/>
      <c r="AG13638" s="10"/>
      <c r="AH13638" s="10"/>
      <c r="AI13638" s="10"/>
    </row>
    <row r="13639" spans="28:35" ht="15" hidden="1" customHeight="1">
      <c r="AB13639" s="9"/>
      <c r="AC13639" s="9"/>
      <c r="AD13639" s="9"/>
      <c r="AF13639" s="10"/>
      <c r="AG13639" s="10"/>
      <c r="AH13639" s="10"/>
      <c r="AI13639" s="10"/>
    </row>
    <row r="13640" spans="28:35" ht="15" hidden="1" customHeight="1">
      <c r="AB13640" s="9"/>
      <c r="AC13640" s="9"/>
      <c r="AD13640" s="9"/>
      <c r="AF13640" s="10"/>
      <c r="AG13640" s="10"/>
      <c r="AH13640" s="10"/>
      <c r="AI13640" s="10"/>
    </row>
    <row r="13641" spans="28:35" ht="15" hidden="1" customHeight="1">
      <c r="AB13641" s="9"/>
      <c r="AC13641" s="9"/>
      <c r="AD13641" s="9"/>
      <c r="AF13641" s="10"/>
      <c r="AG13641" s="10"/>
      <c r="AH13641" s="10"/>
      <c r="AI13641" s="10"/>
    </row>
    <row r="13642" spans="28:35" ht="15" hidden="1" customHeight="1">
      <c r="AB13642" s="9"/>
      <c r="AC13642" s="9"/>
      <c r="AD13642" s="9"/>
      <c r="AF13642" s="10"/>
      <c r="AG13642" s="10"/>
      <c r="AH13642" s="10"/>
      <c r="AI13642" s="10"/>
    </row>
    <row r="13643" spans="28:35" ht="15" hidden="1" customHeight="1">
      <c r="AB13643" s="9"/>
      <c r="AC13643" s="9"/>
      <c r="AD13643" s="9"/>
      <c r="AF13643" s="10"/>
      <c r="AG13643" s="10"/>
      <c r="AH13643" s="10"/>
      <c r="AI13643" s="10"/>
    </row>
    <row r="13644" spans="28:35" ht="15" hidden="1" customHeight="1">
      <c r="AB13644" s="9"/>
      <c r="AC13644" s="9"/>
      <c r="AD13644" s="9"/>
      <c r="AF13644" s="10"/>
      <c r="AG13644" s="10"/>
      <c r="AH13644" s="10"/>
      <c r="AI13644" s="10"/>
    </row>
    <row r="13645" spans="28:35" ht="15" hidden="1" customHeight="1">
      <c r="AB13645" s="9"/>
      <c r="AC13645" s="9"/>
      <c r="AD13645" s="9"/>
      <c r="AF13645" s="10"/>
      <c r="AG13645" s="10"/>
      <c r="AH13645" s="10"/>
      <c r="AI13645" s="10"/>
    </row>
    <row r="13646" spans="28:35" ht="15" hidden="1" customHeight="1">
      <c r="AB13646" s="9"/>
      <c r="AC13646" s="9"/>
      <c r="AD13646" s="9"/>
      <c r="AF13646" s="10"/>
      <c r="AG13646" s="10"/>
      <c r="AH13646" s="10"/>
      <c r="AI13646" s="10"/>
    </row>
    <row r="13647" spans="28:35" ht="15" hidden="1" customHeight="1">
      <c r="AB13647" s="9"/>
      <c r="AC13647" s="9"/>
      <c r="AD13647" s="9"/>
      <c r="AF13647" s="10"/>
      <c r="AG13647" s="10"/>
      <c r="AH13647" s="10"/>
      <c r="AI13647" s="10"/>
    </row>
    <row r="13648" spans="28:35" ht="15" hidden="1" customHeight="1">
      <c r="AB13648" s="9"/>
      <c r="AC13648" s="9"/>
      <c r="AD13648" s="9"/>
      <c r="AF13648" s="10"/>
      <c r="AG13648" s="10"/>
      <c r="AH13648" s="10"/>
      <c r="AI13648" s="10"/>
    </row>
    <row r="13649" spans="28:35" ht="15" hidden="1" customHeight="1">
      <c r="AB13649" s="9"/>
      <c r="AC13649" s="9"/>
      <c r="AD13649" s="9"/>
      <c r="AF13649" s="10"/>
      <c r="AG13649" s="10"/>
      <c r="AH13649" s="10"/>
      <c r="AI13649" s="10"/>
    </row>
    <row r="13650" spans="28:35" ht="15" hidden="1" customHeight="1">
      <c r="AB13650" s="9"/>
      <c r="AC13650" s="9"/>
      <c r="AD13650" s="9"/>
      <c r="AF13650" s="10"/>
      <c r="AG13650" s="10"/>
      <c r="AH13650" s="10"/>
      <c r="AI13650" s="10"/>
    </row>
    <row r="13651" spans="28:35" ht="15" hidden="1" customHeight="1">
      <c r="AB13651" s="9"/>
      <c r="AC13651" s="9"/>
      <c r="AD13651" s="9"/>
      <c r="AF13651" s="10"/>
      <c r="AG13651" s="10"/>
      <c r="AH13651" s="10"/>
      <c r="AI13651" s="10"/>
    </row>
    <row r="13652" spans="28:35" ht="15" hidden="1" customHeight="1">
      <c r="AB13652" s="9"/>
      <c r="AC13652" s="9"/>
      <c r="AD13652" s="9"/>
      <c r="AF13652" s="10"/>
      <c r="AG13652" s="10"/>
      <c r="AH13652" s="10"/>
      <c r="AI13652" s="10"/>
    </row>
    <row r="13653" spans="28:35" ht="15" hidden="1" customHeight="1">
      <c r="AB13653" s="9"/>
      <c r="AC13653" s="9"/>
      <c r="AD13653" s="9"/>
      <c r="AF13653" s="10"/>
      <c r="AG13653" s="10"/>
      <c r="AH13653" s="10"/>
      <c r="AI13653" s="10"/>
    </row>
    <row r="13654" spans="28:35" ht="15" hidden="1" customHeight="1">
      <c r="AB13654" s="9"/>
      <c r="AC13654" s="9"/>
      <c r="AD13654" s="9"/>
      <c r="AF13654" s="10"/>
      <c r="AG13654" s="10"/>
      <c r="AH13654" s="10"/>
      <c r="AI13654" s="10"/>
    </row>
    <row r="13655" spans="28:35" ht="15" hidden="1" customHeight="1">
      <c r="AB13655" s="9"/>
      <c r="AC13655" s="9"/>
      <c r="AD13655" s="9"/>
      <c r="AF13655" s="10"/>
      <c r="AG13655" s="10"/>
      <c r="AH13655" s="10"/>
      <c r="AI13655" s="10"/>
    </row>
    <row r="13656" spans="28:35" ht="15" hidden="1" customHeight="1">
      <c r="AB13656" s="9"/>
      <c r="AC13656" s="9"/>
      <c r="AD13656" s="9"/>
      <c r="AF13656" s="10"/>
      <c r="AG13656" s="10"/>
      <c r="AH13656" s="10"/>
      <c r="AI13656" s="10"/>
    </row>
    <row r="13657" spans="28:35" ht="15" hidden="1" customHeight="1">
      <c r="AB13657" s="9"/>
      <c r="AC13657" s="9"/>
      <c r="AD13657" s="9"/>
      <c r="AF13657" s="10"/>
      <c r="AG13657" s="10"/>
      <c r="AH13657" s="10"/>
      <c r="AI13657" s="10"/>
    </row>
    <row r="13658" spans="28:35" ht="15" hidden="1" customHeight="1">
      <c r="AB13658" s="9"/>
      <c r="AC13658" s="9"/>
      <c r="AD13658" s="9"/>
      <c r="AF13658" s="10"/>
      <c r="AG13658" s="10"/>
      <c r="AH13658" s="10"/>
      <c r="AI13658" s="10"/>
    </row>
    <row r="13659" spans="28:35" ht="15" hidden="1" customHeight="1">
      <c r="AB13659" s="9"/>
      <c r="AC13659" s="9"/>
      <c r="AD13659" s="9"/>
      <c r="AF13659" s="10"/>
      <c r="AG13659" s="10"/>
      <c r="AH13659" s="10"/>
      <c r="AI13659" s="10"/>
    </row>
    <row r="13660" spans="28:35" ht="15" hidden="1" customHeight="1">
      <c r="AB13660" s="9"/>
      <c r="AC13660" s="9"/>
      <c r="AD13660" s="9"/>
      <c r="AF13660" s="10"/>
      <c r="AG13660" s="10"/>
      <c r="AH13660" s="10"/>
      <c r="AI13660" s="10"/>
    </row>
    <row r="13661" spans="28:35" ht="15" hidden="1" customHeight="1">
      <c r="AB13661" s="9"/>
      <c r="AC13661" s="9"/>
      <c r="AD13661" s="9"/>
      <c r="AF13661" s="10"/>
      <c r="AG13661" s="10"/>
      <c r="AH13661" s="10"/>
      <c r="AI13661" s="10"/>
    </row>
    <row r="13662" spans="28:35" ht="15" hidden="1" customHeight="1">
      <c r="AB13662" s="9"/>
      <c r="AC13662" s="9"/>
      <c r="AD13662" s="9"/>
      <c r="AF13662" s="10"/>
      <c r="AG13662" s="10"/>
      <c r="AH13662" s="10"/>
      <c r="AI13662" s="10"/>
    </row>
    <row r="13663" spans="28:35" ht="15" hidden="1" customHeight="1">
      <c r="AB13663" s="9"/>
      <c r="AC13663" s="9"/>
      <c r="AD13663" s="9"/>
      <c r="AF13663" s="10"/>
      <c r="AG13663" s="10"/>
      <c r="AH13663" s="10"/>
      <c r="AI13663" s="10"/>
    </row>
    <row r="13664" spans="28:35" ht="15" hidden="1" customHeight="1">
      <c r="AB13664" s="9"/>
      <c r="AC13664" s="9"/>
      <c r="AD13664" s="9"/>
      <c r="AF13664" s="10"/>
      <c r="AG13664" s="10"/>
      <c r="AH13664" s="10"/>
      <c r="AI13664" s="10"/>
    </row>
    <row r="13665" spans="28:35" ht="15" hidden="1" customHeight="1">
      <c r="AB13665" s="9"/>
      <c r="AC13665" s="9"/>
      <c r="AD13665" s="9"/>
      <c r="AF13665" s="10"/>
      <c r="AG13665" s="10"/>
      <c r="AH13665" s="10"/>
      <c r="AI13665" s="10"/>
    </row>
    <row r="13666" spans="28:35" ht="15" hidden="1" customHeight="1">
      <c r="AB13666" s="9"/>
      <c r="AC13666" s="9"/>
      <c r="AD13666" s="9"/>
      <c r="AF13666" s="10"/>
      <c r="AG13666" s="10"/>
      <c r="AH13666" s="10"/>
      <c r="AI13666" s="10"/>
    </row>
    <row r="13667" spans="28:35" ht="15" hidden="1" customHeight="1">
      <c r="AB13667" s="9"/>
      <c r="AC13667" s="9"/>
      <c r="AD13667" s="9"/>
      <c r="AF13667" s="10"/>
      <c r="AG13667" s="10"/>
      <c r="AH13667" s="10"/>
      <c r="AI13667" s="10"/>
    </row>
    <row r="13668" spans="28:35" ht="15" hidden="1" customHeight="1">
      <c r="AB13668" s="9"/>
      <c r="AC13668" s="9"/>
      <c r="AD13668" s="9"/>
      <c r="AF13668" s="10"/>
      <c r="AG13668" s="10"/>
      <c r="AH13668" s="10"/>
      <c r="AI13668" s="10"/>
    </row>
    <row r="13669" spans="28:35" ht="15" hidden="1" customHeight="1">
      <c r="AB13669" s="9"/>
      <c r="AC13669" s="9"/>
      <c r="AD13669" s="9"/>
      <c r="AF13669" s="10"/>
      <c r="AG13669" s="10"/>
      <c r="AH13669" s="10"/>
      <c r="AI13669" s="10"/>
    </row>
    <row r="13670" spans="28:35" ht="15" hidden="1" customHeight="1">
      <c r="AB13670" s="9"/>
      <c r="AC13670" s="9"/>
      <c r="AD13670" s="9"/>
      <c r="AF13670" s="10"/>
      <c r="AG13670" s="10"/>
      <c r="AH13670" s="10"/>
      <c r="AI13670" s="10"/>
    </row>
    <row r="13671" spans="28:35" ht="15" hidden="1" customHeight="1">
      <c r="AB13671" s="9"/>
      <c r="AC13671" s="9"/>
      <c r="AD13671" s="9"/>
      <c r="AF13671" s="10"/>
      <c r="AG13671" s="10"/>
      <c r="AH13671" s="10"/>
      <c r="AI13671" s="10"/>
    </row>
    <row r="13672" spans="28:35" ht="15" hidden="1" customHeight="1">
      <c r="AB13672" s="9"/>
      <c r="AC13672" s="9"/>
      <c r="AD13672" s="9"/>
      <c r="AF13672" s="10"/>
      <c r="AG13672" s="10"/>
      <c r="AH13672" s="10"/>
      <c r="AI13672" s="10"/>
    </row>
    <row r="13673" spans="28:35" ht="15" hidden="1" customHeight="1">
      <c r="AB13673" s="9"/>
      <c r="AC13673" s="9"/>
      <c r="AD13673" s="9"/>
      <c r="AF13673" s="10"/>
      <c r="AG13673" s="10"/>
      <c r="AH13673" s="10"/>
      <c r="AI13673" s="10"/>
    </row>
    <row r="13674" spans="28:35" ht="15" hidden="1" customHeight="1">
      <c r="AB13674" s="9"/>
      <c r="AC13674" s="9"/>
      <c r="AD13674" s="9"/>
      <c r="AF13674" s="10"/>
      <c r="AG13674" s="10"/>
      <c r="AH13674" s="10"/>
      <c r="AI13674" s="10"/>
    </row>
    <row r="13675" spans="28:35" ht="15" hidden="1" customHeight="1">
      <c r="AB13675" s="9"/>
      <c r="AC13675" s="9"/>
      <c r="AD13675" s="9"/>
      <c r="AF13675" s="10"/>
      <c r="AG13675" s="10"/>
      <c r="AH13675" s="10"/>
      <c r="AI13675" s="10"/>
    </row>
    <row r="13676" spans="28:35" ht="15" hidden="1" customHeight="1">
      <c r="AB13676" s="9"/>
      <c r="AC13676" s="9"/>
      <c r="AD13676" s="9"/>
      <c r="AF13676" s="10"/>
      <c r="AG13676" s="10"/>
      <c r="AH13676" s="10"/>
      <c r="AI13676" s="10"/>
    </row>
    <row r="13677" spans="28:35" ht="15" hidden="1" customHeight="1">
      <c r="AB13677" s="9"/>
      <c r="AC13677" s="9"/>
      <c r="AD13677" s="9"/>
      <c r="AF13677" s="10"/>
      <c r="AG13677" s="10"/>
      <c r="AH13677" s="10"/>
      <c r="AI13677" s="10"/>
    </row>
    <row r="13678" spans="28:35" ht="15" hidden="1" customHeight="1">
      <c r="AB13678" s="9"/>
      <c r="AC13678" s="9"/>
      <c r="AD13678" s="9"/>
      <c r="AF13678" s="10"/>
      <c r="AG13678" s="10"/>
      <c r="AH13678" s="10"/>
      <c r="AI13678" s="10"/>
    </row>
    <row r="13679" spans="28:35" ht="15" hidden="1" customHeight="1">
      <c r="AB13679" s="9"/>
      <c r="AC13679" s="9"/>
      <c r="AD13679" s="9"/>
      <c r="AF13679" s="10"/>
      <c r="AG13679" s="10"/>
      <c r="AH13679" s="10"/>
      <c r="AI13679" s="10"/>
    </row>
    <row r="13680" spans="28:35" ht="15" hidden="1" customHeight="1">
      <c r="AB13680" s="9"/>
      <c r="AC13680" s="9"/>
      <c r="AD13680" s="9"/>
      <c r="AF13680" s="10"/>
      <c r="AG13680" s="10"/>
      <c r="AH13680" s="10"/>
      <c r="AI13680" s="10"/>
    </row>
    <row r="13681" spans="28:35" ht="15" hidden="1" customHeight="1">
      <c r="AB13681" s="9"/>
      <c r="AC13681" s="9"/>
      <c r="AD13681" s="9"/>
      <c r="AF13681" s="10"/>
      <c r="AG13681" s="10"/>
      <c r="AH13681" s="10"/>
      <c r="AI13681" s="10"/>
    </row>
    <row r="13682" spans="28:35" ht="15" hidden="1" customHeight="1">
      <c r="AB13682" s="9"/>
      <c r="AC13682" s="9"/>
      <c r="AD13682" s="9"/>
      <c r="AF13682" s="10"/>
      <c r="AG13682" s="10"/>
      <c r="AH13682" s="10"/>
      <c r="AI13682" s="10"/>
    </row>
    <row r="13683" spans="28:35" ht="15" hidden="1" customHeight="1">
      <c r="AB13683" s="9"/>
      <c r="AC13683" s="9"/>
      <c r="AD13683" s="9"/>
      <c r="AF13683" s="10"/>
      <c r="AG13683" s="10"/>
      <c r="AH13683" s="10"/>
      <c r="AI13683" s="10"/>
    </row>
    <row r="13684" spans="28:35" ht="15" hidden="1" customHeight="1">
      <c r="AB13684" s="9"/>
      <c r="AC13684" s="9"/>
      <c r="AD13684" s="9"/>
      <c r="AF13684" s="10"/>
      <c r="AG13684" s="10"/>
      <c r="AH13684" s="10"/>
      <c r="AI13684" s="10"/>
    </row>
    <row r="13685" spans="28:35" ht="15" hidden="1" customHeight="1">
      <c r="AB13685" s="9"/>
      <c r="AC13685" s="9"/>
      <c r="AD13685" s="9"/>
      <c r="AF13685" s="10"/>
      <c r="AG13685" s="10"/>
      <c r="AH13685" s="10"/>
      <c r="AI13685" s="10"/>
    </row>
    <row r="13686" spans="28:35" ht="15" hidden="1" customHeight="1">
      <c r="AB13686" s="9"/>
      <c r="AC13686" s="9"/>
      <c r="AD13686" s="9"/>
      <c r="AF13686" s="10"/>
      <c r="AG13686" s="10"/>
      <c r="AH13686" s="10"/>
      <c r="AI13686" s="10"/>
    </row>
    <row r="13687" spans="28:35" ht="15" hidden="1" customHeight="1">
      <c r="AB13687" s="9"/>
      <c r="AC13687" s="9"/>
      <c r="AD13687" s="9"/>
      <c r="AF13687" s="10"/>
      <c r="AG13687" s="10"/>
      <c r="AH13687" s="10"/>
      <c r="AI13687" s="10"/>
    </row>
    <row r="13688" spans="28:35" ht="15" hidden="1" customHeight="1">
      <c r="AB13688" s="9"/>
      <c r="AC13688" s="9"/>
      <c r="AD13688" s="9"/>
      <c r="AF13688" s="10"/>
      <c r="AG13688" s="10"/>
      <c r="AH13688" s="10"/>
      <c r="AI13688" s="10"/>
    </row>
    <row r="13689" spans="28:35" ht="15" hidden="1" customHeight="1">
      <c r="AB13689" s="9"/>
      <c r="AC13689" s="9"/>
      <c r="AD13689" s="9"/>
      <c r="AF13689" s="10"/>
      <c r="AG13689" s="10"/>
      <c r="AH13689" s="10"/>
      <c r="AI13689" s="10"/>
    </row>
    <row r="13690" spans="28:35" ht="15" hidden="1" customHeight="1">
      <c r="AB13690" s="9"/>
      <c r="AC13690" s="9"/>
      <c r="AD13690" s="9"/>
      <c r="AF13690" s="10"/>
      <c r="AG13690" s="10"/>
      <c r="AH13690" s="10"/>
      <c r="AI13690" s="10"/>
    </row>
    <row r="13691" spans="28:35" ht="15" hidden="1" customHeight="1">
      <c r="AB13691" s="9"/>
      <c r="AC13691" s="9"/>
      <c r="AD13691" s="9"/>
      <c r="AF13691" s="10"/>
      <c r="AG13691" s="10"/>
      <c r="AH13691" s="10"/>
      <c r="AI13691" s="10"/>
    </row>
    <row r="13692" spans="28:35" ht="15" hidden="1" customHeight="1">
      <c r="AB13692" s="9"/>
      <c r="AC13692" s="9"/>
      <c r="AD13692" s="9"/>
      <c r="AF13692" s="10"/>
      <c r="AG13692" s="10"/>
      <c r="AH13692" s="10"/>
      <c r="AI13692" s="10"/>
    </row>
    <row r="13693" spans="28:35" ht="15" hidden="1" customHeight="1">
      <c r="AB13693" s="9"/>
      <c r="AC13693" s="9"/>
      <c r="AD13693" s="9"/>
      <c r="AF13693" s="10"/>
      <c r="AG13693" s="10"/>
      <c r="AH13693" s="10"/>
      <c r="AI13693" s="10"/>
    </row>
    <row r="13694" spans="28:35" ht="15" hidden="1" customHeight="1">
      <c r="AB13694" s="9"/>
      <c r="AC13694" s="9"/>
      <c r="AD13694" s="9"/>
      <c r="AF13694" s="10"/>
      <c r="AG13694" s="10"/>
      <c r="AH13694" s="10"/>
      <c r="AI13694" s="10"/>
    </row>
    <row r="13695" spans="28:35" ht="15" hidden="1" customHeight="1">
      <c r="AB13695" s="9"/>
      <c r="AC13695" s="9"/>
      <c r="AD13695" s="9"/>
      <c r="AF13695" s="10"/>
      <c r="AG13695" s="10"/>
      <c r="AH13695" s="10"/>
      <c r="AI13695" s="10"/>
    </row>
    <row r="13696" spans="28:35" ht="15" hidden="1" customHeight="1">
      <c r="AB13696" s="9"/>
      <c r="AC13696" s="9"/>
      <c r="AD13696" s="9"/>
      <c r="AF13696" s="10"/>
      <c r="AG13696" s="10"/>
      <c r="AH13696" s="10"/>
      <c r="AI13696" s="10"/>
    </row>
    <row r="13697" spans="28:35" ht="15" hidden="1" customHeight="1">
      <c r="AB13697" s="9"/>
      <c r="AC13697" s="9"/>
      <c r="AD13697" s="9"/>
      <c r="AF13697" s="10"/>
      <c r="AG13697" s="10"/>
      <c r="AH13697" s="10"/>
      <c r="AI13697" s="10"/>
    </row>
    <row r="13698" spans="28:35" ht="15" hidden="1" customHeight="1">
      <c r="AB13698" s="9"/>
      <c r="AC13698" s="9"/>
      <c r="AD13698" s="9"/>
      <c r="AF13698" s="10"/>
      <c r="AG13698" s="10"/>
      <c r="AH13698" s="10"/>
      <c r="AI13698" s="10"/>
    </row>
    <row r="13699" spans="28:35" ht="15" hidden="1" customHeight="1">
      <c r="AB13699" s="9"/>
      <c r="AC13699" s="9"/>
      <c r="AD13699" s="9"/>
      <c r="AF13699" s="10"/>
      <c r="AG13699" s="10"/>
      <c r="AH13699" s="10"/>
      <c r="AI13699" s="10"/>
    </row>
    <row r="13700" spans="28:35" ht="15" hidden="1" customHeight="1">
      <c r="AB13700" s="9"/>
      <c r="AC13700" s="9"/>
      <c r="AD13700" s="9"/>
      <c r="AF13700" s="10"/>
      <c r="AG13700" s="10"/>
      <c r="AH13700" s="10"/>
      <c r="AI13700" s="10"/>
    </row>
    <row r="13701" spans="28:35" ht="15" hidden="1" customHeight="1">
      <c r="AB13701" s="9"/>
      <c r="AC13701" s="9"/>
      <c r="AD13701" s="9"/>
      <c r="AF13701" s="10"/>
      <c r="AG13701" s="10"/>
      <c r="AH13701" s="10"/>
      <c r="AI13701" s="10"/>
    </row>
    <row r="13702" spans="28:35" ht="15" hidden="1" customHeight="1">
      <c r="AB13702" s="9"/>
      <c r="AC13702" s="9"/>
      <c r="AD13702" s="9"/>
      <c r="AF13702" s="10"/>
      <c r="AG13702" s="10"/>
      <c r="AH13702" s="10"/>
      <c r="AI13702" s="10"/>
    </row>
    <row r="13703" spans="28:35" ht="15" hidden="1" customHeight="1">
      <c r="AB13703" s="9"/>
      <c r="AC13703" s="9"/>
      <c r="AD13703" s="9"/>
      <c r="AF13703" s="10"/>
      <c r="AG13703" s="10"/>
      <c r="AH13703" s="10"/>
      <c r="AI13703" s="10"/>
    </row>
    <row r="13704" spans="28:35" ht="15" hidden="1" customHeight="1">
      <c r="AB13704" s="9"/>
      <c r="AC13704" s="9"/>
      <c r="AD13704" s="9"/>
      <c r="AF13704" s="10"/>
      <c r="AG13704" s="10"/>
      <c r="AH13704" s="10"/>
      <c r="AI13704" s="10"/>
    </row>
    <row r="13705" spans="28:35" ht="15" hidden="1" customHeight="1">
      <c r="AB13705" s="9"/>
      <c r="AC13705" s="9"/>
      <c r="AD13705" s="9"/>
      <c r="AF13705" s="10"/>
      <c r="AG13705" s="10"/>
      <c r="AH13705" s="10"/>
      <c r="AI13705" s="10"/>
    </row>
    <row r="13706" spans="28:35" ht="15" hidden="1" customHeight="1">
      <c r="AB13706" s="9"/>
      <c r="AC13706" s="9"/>
      <c r="AD13706" s="9"/>
      <c r="AF13706" s="10"/>
      <c r="AG13706" s="10"/>
      <c r="AH13706" s="10"/>
      <c r="AI13706" s="10"/>
    </row>
    <row r="13707" spans="28:35" ht="15" hidden="1" customHeight="1">
      <c r="AB13707" s="9"/>
      <c r="AC13707" s="9"/>
      <c r="AD13707" s="9"/>
      <c r="AF13707" s="10"/>
      <c r="AG13707" s="10"/>
      <c r="AH13707" s="10"/>
      <c r="AI13707" s="10"/>
    </row>
    <row r="13708" spans="28:35" ht="15" hidden="1" customHeight="1">
      <c r="AB13708" s="9"/>
      <c r="AC13708" s="9"/>
      <c r="AD13708" s="9"/>
      <c r="AF13708" s="10"/>
      <c r="AG13708" s="10"/>
      <c r="AH13708" s="10"/>
      <c r="AI13708" s="10"/>
    </row>
    <row r="13709" spans="28:35" ht="15" hidden="1" customHeight="1">
      <c r="AB13709" s="9"/>
      <c r="AC13709" s="9"/>
      <c r="AD13709" s="9"/>
      <c r="AF13709" s="10"/>
      <c r="AG13709" s="10"/>
      <c r="AH13709" s="10"/>
      <c r="AI13709" s="10"/>
    </row>
    <row r="13710" spans="28:35" ht="15" hidden="1" customHeight="1">
      <c r="AB13710" s="9"/>
      <c r="AC13710" s="9"/>
      <c r="AD13710" s="9"/>
      <c r="AF13710" s="10"/>
      <c r="AG13710" s="10"/>
      <c r="AH13710" s="10"/>
      <c r="AI13710" s="10"/>
    </row>
    <row r="13711" spans="28:35" ht="15" hidden="1" customHeight="1">
      <c r="AB13711" s="9"/>
      <c r="AC13711" s="9"/>
      <c r="AD13711" s="9"/>
      <c r="AF13711" s="10"/>
      <c r="AG13711" s="10"/>
      <c r="AH13711" s="10"/>
      <c r="AI13711" s="10"/>
    </row>
    <row r="13712" spans="28:35" ht="15" hidden="1" customHeight="1">
      <c r="AB13712" s="9"/>
      <c r="AC13712" s="9"/>
      <c r="AD13712" s="9"/>
      <c r="AF13712" s="10"/>
      <c r="AG13712" s="10"/>
      <c r="AH13712" s="10"/>
      <c r="AI13712" s="10"/>
    </row>
    <row r="13713" spans="28:35" ht="15" hidden="1" customHeight="1">
      <c r="AB13713" s="9"/>
      <c r="AC13713" s="9"/>
      <c r="AD13713" s="9"/>
      <c r="AF13713" s="10"/>
      <c r="AG13713" s="10"/>
      <c r="AH13713" s="10"/>
      <c r="AI13713" s="10"/>
    </row>
    <row r="13714" spans="28:35" ht="15" hidden="1" customHeight="1">
      <c r="AB13714" s="9"/>
      <c r="AC13714" s="9"/>
      <c r="AD13714" s="9"/>
      <c r="AF13714" s="10"/>
      <c r="AG13714" s="10"/>
      <c r="AH13714" s="10"/>
      <c r="AI13714" s="10"/>
    </row>
    <row r="13715" spans="28:35" ht="15" hidden="1" customHeight="1">
      <c r="AB13715" s="9"/>
      <c r="AC13715" s="9"/>
      <c r="AD13715" s="9"/>
      <c r="AF13715" s="10"/>
      <c r="AG13715" s="10"/>
      <c r="AH13715" s="10"/>
      <c r="AI13715" s="10"/>
    </row>
    <row r="13716" spans="28:35" ht="15" hidden="1" customHeight="1">
      <c r="AB13716" s="9"/>
      <c r="AC13716" s="9"/>
      <c r="AD13716" s="9"/>
      <c r="AF13716" s="10"/>
      <c r="AG13716" s="10"/>
      <c r="AH13716" s="10"/>
      <c r="AI13716" s="10"/>
    </row>
    <row r="13717" spans="28:35" ht="15" hidden="1" customHeight="1">
      <c r="AB13717" s="9"/>
      <c r="AC13717" s="9"/>
      <c r="AD13717" s="9"/>
      <c r="AF13717" s="10"/>
      <c r="AG13717" s="10"/>
      <c r="AH13717" s="10"/>
      <c r="AI13717" s="10"/>
    </row>
    <row r="13718" spans="28:35" ht="15" hidden="1" customHeight="1">
      <c r="AB13718" s="9"/>
      <c r="AC13718" s="9"/>
      <c r="AD13718" s="9"/>
      <c r="AF13718" s="10"/>
      <c r="AG13718" s="10"/>
      <c r="AH13718" s="10"/>
      <c r="AI13718" s="10"/>
    </row>
    <row r="13719" spans="28:35" ht="15" hidden="1" customHeight="1">
      <c r="AB13719" s="9"/>
      <c r="AC13719" s="9"/>
      <c r="AD13719" s="9"/>
      <c r="AF13719" s="10"/>
      <c r="AG13719" s="10"/>
      <c r="AH13719" s="10"/>
      <c r="AI13719" s="10"/>
    </row>
    <row r="13720" spans="28:35" ht="15" hidden="1" customHeight="1">
      <c r="AB13720" s="9"/>
      <c r="AC13720" s="9"/>
      <c r="AD13720" s="9"/>
      <c r="AF13720" s="10"/>
      <c r="AG13720" s="10"/>
      <c r="AH13720" s="10"/>
      <c r="AI13720" s="10"/>
    </row>
    <row r="13721" spans="28:35" ht="15" hidden="1" customHeight="1">
      <c r="AB13721" s="9"/>
      <c r="AC13721" s="9"/>
      <c r="AD13721" s="9"/>
      <c r="AF13721" s="10"/>
      <c r="AG13721" s="10"/>
      <c r="AH13721" s="10"/>
      <c r="AI13721" s="10"/>
    </row>
    <row r="13722" spans="28:35" ht="15" hidden="1" customHeight="1">
      <c r="AB13722" s="9"/>
      <c r="AC13722" s="9"/>
      <c r="AD13722" s="9"/>
      <c r="AF13722" s="10"/>
      <c r="AG13722" s="10"/>
      <c r="AH13722" s="10"/>
      <c r="AI13722" s="10"/>
    </row>
    <row r="13723" spans="28:35" ht="15" hidden="1" customHeight="1">
      <c r="AB13723" s="9"/>
      <c r="AC13723" s="9"/>
      <c r="AD13723" s="9"/>
      <c r="AF13723" s="10"/>
      <c r="AG13723" s="10"/>
      <c r="AH13723" s="10"/>
      <c r="AI13723" s="10"/>
    </row>
    <row r="13724" spans="28:35" ht="15" hidden="1" customHeight="1">
      <c r="AB13724" s="9"/>
      <c r="AC13724" s="9"/>
      <c r="AD13724" s="9"/>
      <c r="AF13724" s="10"/>
      <c r="AG13724" s="10"/>
      <c r="AH13724" s="10"/>
      <c r="AI13724" s="10"/>
    </row>
    <row r="13725" spans="28:35" ht="15" hidden="1" customHeight="1">
      <c r="AB13725" s="9"/>
      <c r="AC13725" s="9"/>
      <c r="AD13725" s="9"/>
      <c r="AF13725" s="10"/>
      <c r="AG13725" s="10"/>
      <c r="AH13725" s="10"/>
      <c r="AI13725" s="10"/>
    </row>
    <row r="13726" spans="28:35" ht="15" hidden="1" customHeight="1">
      <c r="AB13726" s="9"/>
      <c r="AC13726" s="9"/>
      <c r="AD13726" s="9"/>
      <c r="AF13726" s="10"/>
      <c r="AG13726" s="10"/>
      <c r="AH13726" s="10"/>
      <c r="AI13726" s="10"/>
    </row>
    <row r="13727" spans="28:35" ht="15" hidden="1" customHeight="1">
      <c r="AB13727" s="9"/>
      <c r="AC13727" s="9"/>
      <c r="AD13727" s="9"/>
      <c r="AF13727" s="10"/>
      <c r="AG13727" s="10"/>
      <c r="AH13727" s="10"/>
      <c r="AI13727" s="10"/>
    </row>
    <row r="13728" spans="28:35" ht="15" hidden="1" customHeight="1">
      <c r="AB13728" s="9"/>
      <c r="AC13728" s="9"/>
      <c r="AD13728" s="9"/>
      <c r="AF13728" s="10"/>
      <c r="AG13728" s="10"/>
      <c r="AH13728" s="10"/>
      <c r="AI13728" s="10"/>
    </row>
    <row r="13729" spans="28:35" ht="15" hidden="1" customHeight="1">
      <c r="AB13729" s="9"/>
      <c r="AC13729" s="9"/>
      <c r="AD13729" s="9"/>
      <c r="AF13729" s="10"/>
      <c r="AG13729" s="10"/>
      <c r="AH13729" s="10"/>
      <c r="AI13729" s="10"/>
    </row>
    <row r="13730" spans="28:35" ht="15" hidden="1" customHeight="1">
      <c r="AB13730" s="9"/>
      <c r="AC13730" s="9"/>
      <c r="AD13730" s="9"/>
      <c r="AF13730" s="10"/>
      <c r="AG13730" s="10"/>
      <c r="AH13730" s="10"/>
      <c r="AI13730" s="10"/>
    </row>
    <row r="13731" spans="28:35" ht="15" hidden="1" customHeight="1">
      <c r="AB13731" s="9"/>
      <c r="AC13731" s="9"/>
      <c r="AD13731" s="9"/>
      <c r="AF13731" s="10"/>
      <c r="AG13731" s="10"/>
      <c r="AH13731" s="10"/>
      <c r="AI13731" s="10"/>
    </row>
    <row r="13732" spans="28:35" ht="15" hidden="1" customHeight="1">
      <c r="AB13732" s="9"/>
      <c r="AC13732" s="9"/>
      <c r="AD13732" s="9"/>
      <c r="AF13732" s="10"/>
      <c r="AG13732" s="10"/>
      <c r="AH13732" s="10"/>
      <c r="AI13732" s="10"/>
    </row>
    <row r="13733" spans="28:35" ht="15" hidden="1" customHeight="1">
      <c r="AB13733" s="9"/>
      <c r="AC13733" s="9"/>
      <c r="AD13733" s="9"/>
      <c r="AF13733" s="10"/>
      <c r="AG13733" s="10"/>
      <c r="AH13733" s="10"/>
      <c r="AI13733" s="10"/>
    </row>
    <row r="13734" spans="28:35" ht="15" hidden="1" customHeight="1">
      <c r="AB13734" s="9"/>
      <c r="AC13734" s="9"/>
      <c r="AD13734" s="9"/>
      <c r="AF13734" s="10"/>
      <c r="AG13734" s="10"/>
      <c r="AH13734" s="10"/>
      <c r="AI13734" s="10"/>
    </row>
    <row r="13735" spans="28:35" ht="15" hidden="1" customHeight="1">
      <c r="AB13735" s="9"/>
      <c r="AC13735" s="9"/>
      <c r="AD13735" s="9"/>
      <c r="AF13735" s="10"/>
      <c r="AG13735" s="10"/>
      <c r="AH13735" s="10"/>
      <c r="AI13735" s="10"/>
    </row>
    <row r="13736" spans="28:35" ht="15" hidden="1" customHeight="1">
      <c r="AB13736" s="9"/>
      <c r="AC13736" s="9"/>
      <c r="AD13736" s="9"/>
      <c r="AF13736" s="10"/>
      <c r="AG13736" s="10"/>
      <c r="AH13736" s="10"/>
      <c r="AI13736" s="10"/>
    </row>
    <row r="13737" spans="28:35" ht="15" hidden="1" customHeight="1">
      <c r="AB13737" s="9"/>
      <c r="AC13737" s="9"/>
      <c r="AD13737" s="9"/>
      <c r="AF13737" s="10"/>
      <c r="AG13737" s="10"/>
      <c r="AH13737" s="10"/>
      <c r="AI13737" s="10"/>
    </row>
    <row r="13738" spans="28:35" ht="15" hidden="1" customHeight="1">
      <c r="AB13738" s="9"/>
      <c r="AC13738" s="9"/>
      <c r="AD13738" s="9"/>
      <c r="AF13738" s="10"/>
      <c r="AG13738" s="10"/>
      <c r="AH13738" s="10"/>
      <c r="AI13738" s="10"/>
    </row>
    <row r="13739" spans="28:35" ht="15" hidden="1" customHeight="1">
      <c r="AB13739" s="9"/>
      <c r="AC13739" s="9"/>
      <c r="AD13739" s="9"/>
      <c r="AF13739" s="10"/>
      <c r="AG13739" s="10"/>
      <c r="AH13739" s="10"/>
      <c r="AI13739" s="10"/>
    </row>
    <row r="13740" spans="28:35" ht="15" hidden="1" customHeight="1">
      <c r="AB13740" s="9"/>
      <c r="AC13740" s="9"/>
      <c r="AD13740" s="9"/>
      <c r="AF13740" s="10"/>
      <c r="AG13740" s="10"/>
      <c r="AH13740" s="10"/>
      <c r="AI13740" s="10"/>
    </row>
    <row r="13741" spans="28:35" ht="15" hidden="1" customHeight="1">
      <c r="AB13741" s="9"/>
      <c r="AC13741" s="9"/>
      <c r="AD13741" s="9"/>
      <c r="AF13741" s="10"/>
      <c r="AG13741" s="10"/>
      <c r="AH13741" s="10"/>
      <c r="AI13741" s="10"/>
    </row>
    <row r="13742" spans="28:35" ht="15" hidden="1" customHeight="1">
      <c r="AB13742" s="9"/>
      <c r="AC13742" s="9"/>
      <c r="AD13742" s="9"/>
      <c r="AF13742" s="10"/>
      <c r="AG13742" s="10"/>
      <c r="AH13742" s="10"/>
      <c r="AI13742" s="10"/>
    </row>
    <row r="13743" spans="28:35" ht="15" hidden="1" customHeight="1">
      <c r="AB13743" s="9"/>
      <c r="AC13743" s="9"/>
      <c r="AD13743" s="9"/>
      <c r="AF13743" s="10"/>
      <c r="AG13743" s="10"/>
      <c r="AH13743" s="10"/>
      <c r="AI13743" s="10"/>
    </row>
    <row r="13744" spans="28:35" ht="15" hidden="1" customHeight="1">
      <c r="AB13744" s="9"/>
      <c r="AC13744" s="9"/>
      <c r="AD13744" s="9"/>
      <c r="AF13744" s="10"/>
      <c r="AG13744" s="10"/>
      <c r="AH13744" s="10"/>
      <c r="AI13744" s="10"/>
    </row>
    <row r="13745" spans="28:35" ht="15" hidden="1" customHeight="1">
      <c r="AB13745" s="9"/>
      <c r="AC13745" s="9"/>
      <c r="AD13745" s="9"/>
      <c r="AF13745" s="10"/>
      <c r="AG13745" s="10"/>
      <c r="AH13745" s="10"/>
      <c r="AI13745" s="10"/>
    </row>
    <row r="13746" spans="28:35" ht="15" hidden="1" customHeight="1">
      <c r="AB13746" s="9"/>
      <c r="AC13746" s="9"/>
      <c r="AD13746" s="9"/>
      <c r="AF13746" s="10"/>
      <c r="AG13746" s="10"/>
      <c r="AH13746" s="10"/>
      <c r="AI13746" s="10"/>
    </row>
    <row r="13747" spans="28:35" ht="15" hidden="1" customHeight="1">
      <c r="AB13747" s="9"/>
      <c r="AC13747" s="9"/>
      <c r="AD13747" s="9"/>
      <c r="AF13747" s="10"/>
      <c r="AG13747" s="10"/>
      <c r="AH13747" s="10"/>
      <c r="AI13747" s="10"/>
    </row>
    <row r="13748" spans="28:35" ht="15" hidden="1" customHeight="1">
      <c r="AB13748" s="9"/>
      <c r="AC13748" s="9"/>
      <c r="AD13748" s="9"/>
      <c r="AF13748" s="10"/>
      <c r="AG13748" s="10"/>
      <c r="AH13748" s="10"/>
      <c r="AI13748" s="10"/>
    </row>
    <row r="13749" spans="28:35" ht="15" hidden="1" customHeight="1">
      <c r="AB13749" s="9"/>
      <c r="AC13749" s="9"/>
      <c r="AD13749" s="9"/>
      <c r="AF13749" s="10"/>
      <c r="AG13749" s="10"/>
      <c r="AH13749" s="10"/>
      <c r="AI13749" s="10"/>
    </row>
    <row r="13750" spans="28:35" ht="15" hidden="1" customHeight="1">
      <c r="AB13750" s="9"/>
      <c r="AC13750" s="9"/>
      <c r="AD13750" s="9"/>
      <c r="AF13750" s="10"/>
      <c r="AG13750" s="10"/>
      <c r="AH13750" s="10"/>
      <c r="AI13750" s="10"/>
    </row>
    <row r="13751" spans="28:35" ht="15" hidden="1" customHeight="1">
      <c r="AB13751" s="9"/>
      <c r="AC13751" s="9"/>
      <c r="AD13751" s="9"/>
      <c r="AF13751" s="10"/>
      <c r="AG13751" s="10"/>
      <c r="AH13751" s="10"/>
      <c r="AI13751" s="10"/>
    </row>
    <row r="13752" spans="28:35" ht="15" hidden="1" customHeight="1">
      <c r="AB13752" s="9"/>
      <c r="AC13752" s="9"/>
      <c r="AD13752" s="9"/>
      <c r="AF13752" s="10"/>
      <c r="AG13752" s="10"/>
      <c r="AH13752" s="10"/>
      <c r="AI13752" s="10"/>
    </row>
    <row r="13753" spans="28:35" ht="15" hidden="1" customHeight="1">
      <c r="AB13753" s="9"/>
      <c r="AC13753" s="9"/>
      <c r="AD13753" s="9"/>
      <c r="AF13753" s="10"/>
      <c r="AG13753" s="10"/>
      <c r="AH13753" s="10"/>
      <c r="AI13753" s="10"/>
    </row>
    <row r="13754" spans="28:35" ht="15" hidden="1" customHeight="1">
      <c r="AB13754" s="9"/>
      <c r="AC13754" s="9"/>
      <c r="AD13754" s="9"/>
      <c r="AF13754" s="10"/>
      <c r="AG13754" s="10"/>
      <c r="AH13754" s="10"/>
      <c r="AI13754" s="10"/>
    </row>
    <row r="13755" spans="28:35" ht="15" hidden="1" customHeight="1">
      <c r="AB13755" s="9"/>
      <c r="AC13755" s="9"/>
      <c r="AD13755" s="9"/>
      <c r="AF13755" s="10"/>
      <c r="AG13755" s="10"/>
      <c r="AH13755" s="10"/>
      <c r="AI13755" s="10"/>
    </row>
    <row r="13756" spans="28:35" ht="15" hidden="1" customHeight="1">
      <c r="AB13756" s="9"/>
      <c r="AC13756" s="9"/>
      <c r="AD13756" s="9"/>
      <c r="AF13756" s="10"/>
      <c r="AG13756" s="10"/>
      <c r="AH13756" s="10"/>
      <c r="AI13756" s="10"/>
    </row>
    <row r="13757" spans="28:35" ht="15" hidden="1" customHeight="1">
      <c r="AB13757" s="9"/>
      <c r="AC13757" s="9"/>
      <c r="AD13757" s="9"/>
      <c r="AF13757" s="10"/>
      <c r="AG13757" s="10"/>
      <c r="AH13757" s="10"/>
      <c r="AI13757" s="10"/>
    </row>
    <row r="13758" spans="28:35" ht="15" hidden="1" customHeight="1">
      <c r="AB13758" s="9"/>
      <c r="AC13758" s="9"/>
      <c r="AD13758" s="9"/>
      <c r="AF13758" s="10"/>
      <c r="AG13758" s="10"/>
      <c r="AH13758" s="10"/>
      <c r="AI13758" s="10"/>
    </row>
    <row r="13759" spans="28:35" ht="15" hidden="1" customHeight="1">
      <c r="AB13759" s="9"/>
      <c r="AC13759" s="9"/>
      <c r="AD13759" s="9"/>
      <c r="AF13759" s="10"/>
      <c r="AG13759" s="10"/>
      <c r="AH13759" s="10"/>
      <c r="AI13759" s="10"/>
    </row>
    <row r="13760" spans="28:35" ht="15" hidden="1" customHeight="1">
      <c r="AB13760" s="9"/>
      <c r="AC13760" s="9"/>
      <c r="AD13760" s="9"/>
      <c r="AF13760" s="10"/>
      <c r="AG13760" s="10"/>
      <c r="AH13760" s="10"/>
      <c r="AI13760" s="10"/>
    </row>
    <row r="13761" spans="28:35" ht="15" hidden="1" customHeight="1">
      <c r="AB13761" s="9"/>
      <c r="AC13761" s="9"/>
      <c r="AD13761" s="9"/>
      <c r="AF13761" s="10"/>
      <c r="AG13761" s="10"/>
      <c r="AH13761" s="10"/>
      <c r="AI13761" s="10"/>
    </row>
    <row r="13762" spans="28:35" ht="15" hidden="1" customHeight="1">
      <c r="AB13762" s="9"/>
      <c r="AC13762" s="9"/>
      <c r="AD13762" s="9"/>
      <c r="AF13762" s="10"/>
      <c r="AG13762" s="10"/>
      <c r="AH13762" s="10"/>
      <c r="AI13762" s="10"/>
    </row>
    <row r="13763" spans="28:35" ht="15" hidden="1" customHeight="1">
      <c r="AB13763" s="9"/>
      <c r="AC13763" s="9"/>
      <c r="AD13763" s="9"/>
      <c r="AF13763" s="10"/>
      <c r="AG13763" s="10"/>
      <c r="AH13763" s="10"/>
      <c r="AI13763" s="10"/>
    </row>
    <row r="13764" spans="28:35" ht="15" hidden="1" customHeight="1">
      <c r="AB13764" s="9"/>
      <c r="AC13764" s="9"/>
      <c r="AD13764" s="9"/>
      <c r="AF13764" s="10"/>
      <c r="AG13764" s="10"/>
      <c r="AH13764" s="10"/>
      <c r="AI13764" s="10"/>
    </row>
    <row r="13765" spans="28:35" ht="15" hidden="1" customHeight="1">
      <c r="AB13765" s="9"/>
      <c r="AC13765" s="9"/>
      <c r="AD13765" s="9"/>
      <c r="AF13765" s="10"/>
      <c r="AG13765" s="10"/>
      <c r="AH13765" s="10"/>
      <c r="AI13765" s="10"/>
    </row>
    <row r="13766" spans="28:35" ht="15" hidden="1" customHeight="1">
      <c r="AB13766" s="9"/>
      <c r="AC13766" s="9"/>
      <c r="AD13766" s="9"/>
      <c r="AF13766" s="10"/>
      <c r="AG13766" s="10"/>
      <c r="AH13766" s="10"/>
      <c r="AI13766" s="10"/>
    </row>
    <row r="13767" spans="28:35" ht="15" hidden="1" customHeight="1">
      <c r="AB13767" s="9"/>
      <c r="AC13767" s="9"/>
      <c r="AD13767" s="9"/>
      <c r="AF13767" s="10"/>
      <c r="AG13767" s="10"/>
      <c r="AH13767" s="10"/>
      <c r="AI13767" s="10"/>
    </row>
    <row r="13768" spans="28:35" ht="15" hidden="1" customHeight="1">
      <c r="AB13768" s="9"/>
      <c r="AC13768" s="9"/>
      <c r="AD13768" s="9"/>
      <c r="AF13768" s="10"/>
      <c r="AG13768" s="10"/>
      <c r="AH13768" s="10"/>
      <c r="AI13768" s="10"/>
    </row>
    <row r="13769" spans="28:35" ht="15" hidden="1" customHeight="1">
      <c r="AB13769" s="9"/>
      <c r="AC13769" s="9"/>
      <c r="AD13769" s="9"/>
      <c r="AF13769" s="10"/>
      <c r="AG13769" s="10"/>
      <c r="AH13769" s="10"/>
      <c r="AI13769" s="10"/>
    </row>
    <row r="13770" spans="28:35" ht="15" hidden="1" customHeight="1">
      <c r="AB13770" s="9"/>
      <c r="AC13770" s="9"/>
      <c r="AD13770" s="9"/>
      <c r="AF13770" s="10"/>
      <c r="AG13770" s="10"/>
      <c r="AH13770" s="10"/>
      <c r="AI13770" s="10"/>
    </row>
    <row r="13771" spans="28:35" ht="15" hidden="1" customHeight="1">
      <c r="AB13771" s="9"/>
      <c r="AC13771" s="9"/>
      <c r="AD13771" s="9"/>
      <c r="AF13771" s="10"/>
      <c r="AG13771" s="10"/>
      <c r="AH13771" s="10"/>
      <c r="AI13771" s="10"/>
    </row>
    <row r="13772" spans="28:35" ht="15" hidden="1" customHeight="1">
      <c r="AB13772" s="9"/>
      <c r="AC13772" s="9"/>
      <c r="AD13772" s="9"/>
      <c r="AF13772" s="10"/>
      <c r="AG13772" s="10"/>
      <c r="AH13772" s="10"/>
      <c r="AI13772" s="10"/>
    </row>
    <row r="13773" spans="28:35" ht="15" hidden="1" customHeight="1">
      <c r="AB13773" s="9"/>
      <c r="AC13773" s="9"/>
      <c r="AD13773" s="9"/>
      <c r="AF13773" s="10"/>
      <c r="AG13773" s="10"/>
      <c r="AH13773" s="10"/>
      <c r="AI13773" s="10"/>
    </row>
    <row r="13774" spans="28:35" ht="15" hidden="1" customHeight="1">
      <c r="AB13774" s="9"/>
      <c r="AC13774" s="9"/>
      <c r="AD13774" s="9"/>
      <c r="AF13774" s="10"/>
      <c r="AG13774" s="10"/>
      <c r="AH13774" s="10"/>
      <c r="AI13774" s="10"/>
    </row>
    <row r="13775" spans="28:35" ht="15" hidden="1" customHeight="1">
      <c r="AB13775" s="9"/>
      <c r="AC13775" s="9"/>
      <c r="AD13775" s="9"/>
      <c r="AF13775" s="10"/>
      <c r="AG13775" s="10"/>
      <c r="AH13775" s="10"/>
      <c r="AI13775" s="10"/>
    </row>
    <row r="13776" spans="28:35" ht="15" hidden="1" customHeight="1">
      <c r="AB13776" s="9"/>
      <c r="AC13776" s="9"/>
      <c r="AD13776" s="9"/>
      <c r="AF13776" s="10"/>
      <c r="AG13776" s="10"/>
      <c r="AH13776" s="10"/>
      <c r="AI13776" s="10"/>
    </row>
    <row r="13777" spans="28:35" ht="15" hidden="1" customHeight="1">
      <c r="AB13777" s="9"/>
      <c r="AC13777" s="9"/>
      <c r="AD13777" s="9"/>
      <c r="AF13777" s="10"/>
      <c r="AG13777" s="10"/>
      <c r="AH13777" s="10"/>
      <c r="AI13777" s="10"/>
    </row>
    <row r="13778" spans="28:35" ht="15" hidden="1" customHeight="1">
      <c r="AB13778" s="9"/>
      <c r="AC13778" s="9"/>
      <c r="AD13778" s="9"/>
      <c r="AF13778" s="10"/>
      <c r="AG13778" s="10"/>
      <c r="AH13778" s="10"/>
      <c r="AI13778" s="10"/>
    </row>
    <row r="13779" spans="28:35" ht="15" hidden="1" customHeight="1">
      <c r="AB13779" s="9"/>
      <c r="AC13779" s="9"/>
      <c r="AD13779" s="9"/>
      <c r="AF13779" s="10"/>
      <c r="AG13779" s="10"/>
      <c r="AH13779" s="10"/>
      <c r="AI13779" s="10"/>
    </row>
    <row r="13780" spans="28:35" ht="15" hidden="1" customHeight="1">
      <c r="AB13780" s="9"/>
      <c r="AC13780" s="9"/>
      <c r="AD13780" s="9"/>
      <c r="AF13780" s="10"/>
      <c r="AG13780" s="10"/>
      <c r="AH13780" s="10"/>
      <c r="AI13780" s="10"/>
    </row>
    <row r="13781" spans="28:35" ht="15" hidden="1" customHeight="1">
      <c r="AB13781" s="9"/>
      <c r="AC13781" s="9"/>
      <c r="AD13781" s="9"/>
      <c r="AF13781" s="10"/>
      <c r="AG13781" s="10"/>
      <c r="AH13781" s="10"/>
      <c r="AI13781" s="10"/>
    </row>
    <row r="13782" spans="28:35" ht="15" hidden="1" customHeight="1">
      <c r="AB13782" s="9"/>
      <c r="AC13782" s="9"/>
      <c r="AD13782" s="9"/>
      <c r="AF13782" s="10"/>
      <c r="AG13782" s="10"/>
      <c r="AH13782" s="10"/>
      <c r="AI13782" s="10"/>
    </row>
    <row r="13783" spans="28:35" ht="15" hidden="1" customHeight="1">
      <c r="AB13783" s="9"/>
      <c r="AC13783" s="9"/>
      <c r="AD13783" s="9"/>
      <c r="AF13783" s="10"/>
      <c r="AG13783" s="10"/>
      <c r="AH13783" s="10"/>
      <c r="AI13783" s="10"/>
    </row>
    <row r="13784" spans="28:35" ht="15" hidden="1" customHeight="1">
      <c r="AB13784" s="9"/>
      <c r="AC13784" s="9"/>
      <c r="AD13784" s="9"/>
      <c r="AF13784" s="10"/>
      <c r="AG13784" s="10"/>
      <c r="AH13784" s="10"/>
      <c r="AI13784" s="10"/>
    </row>
    <row r="13785" spans="28:35" ht="15" hidden="1" customHeight="1">
      <c r="AB13785" s="9"/>
      <c r="AC13785" s="9"/>
      <c r="AD13785" s="9"/>
      <c r="AF13785" s="10"/>
      <c r="AG13785" s="10"/>
      <c r="AH13785" s="10"/>
      <c r="AI13785" s="10"/>
    </row>
    <row r="13786" spans="28:35" ht="15" hidden="1" customHeight="1">
      <c r="AB13786" s="9"/>
      <c r="AC13786" s="9"/>
      <c r="AD13786" s="9"/>
      <c r="AF13786" s="10"/>
      <c r="AG13786" s="10"/>
      <c r="AH13786" s="10"/>
      <c r="AI13786" s="10"/>
    </row>
    <row r="13787" spans="28:35" ht="15" hidden="1" customHeight="1">
      <c r="AB13787" s="9"/>
      <c r="AC13787" s="9"/>
      <c r="AD13787" s="9"/>
      <c r="AF13787" s="10"/>
      <c r="AG13787" s="10"/>
      <c r="AH13787" s="10"/>
      <c r="AI13787" s="10"/>
    </row>
    <row r="13788" spans="28:35" ht="15" hidden="1" customHeight="1">
      <c r="AB13788" s="9"/>
      <c r="AC13788" s="9"/>
      <c r="AD13788" s="9"/>
      <c r="AF13788" s="10"/>
      <c r="AG13788" s="10"/>
      <c r="AH13788" s="10"/>
      <c r="AI13788" s="10"/>
    </row>
    <row r="13789" spans="28:35" ht="15" hidden="1" customHeight="1">
      <c r="AB13789" s="9"/>
      <c r="AC13789" s="9"/>
      <c r="AD13789" s="9"/>
      <c r="AF13789" s="10"/>
      <c r="AG13789" s="10"/>
      <c r="AH13789" s="10"/>
      <c r="AI13789" s="10"/>
    </row>
    <row r="13790" spans="28:35" ht="15" hidden="1" customHeight="1">
      <c r="AB13790" s="9"/>
      <c r="AC13790" s="9"/>
      <c r="AD13790" s="9"/>
      <c r="AF13790" s="10"/>
      <c r="AG13790" s="10"/>
      <c r="AH13790" s="10"/>
      <c r="AI13790" s="10"/>
    </row>
    <row r="13791" spans="28:35" ht="15" hidden="1" customHeight="1">
      <c r="AB13791" s="9"/>
      <c r="AC13791" s="9"/>
      <c r="AD13791" s="9"/>
      <c r="AF13791" s="10"/>
      <c r="AG13791" s="10"/>
      <c r="AH13791" s="10"/>
      <c r="AI13791" s="10"/>
    </row>
    <row r="13792" spans="28:35" ht="15" hidden="1" customHeight="1">
      <c r="AB13792" s="9"/>
      <c r="AC13792" s="9"/>
      <c r="AD13792" s="9"/>
      <c r="AF13792" s="10"/>
      <c r="AG13792" s="10"/>
      <c r="AH13792" s="10"/>
      <c r="AI13792" s="10"/>
    </row>
    <row r="13793" spans="28:35" ht="15" hidden="1" customHeight="1">
      <c r="AB13793" s="9"/>
      <c r="AC13793" s="9"/>
      <c r="AD13793" s="9"/>
      <c r="AF13793" s="10"/>
      <c r="AG13793" s="10"/>
      <c r="AH13793" s="10"/>
      <c r="AI13793" s="10"/>
    </row>
    <row r="13794" spans="28:35" ht="15" hidden="1" customHeight="1">
      <c r="AB13794" s="9"/>
      <c r="AC13794" s="9"/>
      <c r="AD13794" s="9"/>
      <c r="AF13794" s="10"/>
      <c r="AG13794" s="10"/>
      <c r="AH13794" s="10"/>
      <c r="AI13794" s="10"/>
    </row>
    <row r="13795" spans="28:35" ht="15" hidden="1" customHeight="1">
      <c r="AB13795" s="9"/>
      <c r="AC13795" s="9"/>
      <c r="AD13795" s="9"/>
      <c r="AF13795" s="10"/>
      <c r="AG13795" s="10"/>
      <c r="AH13795" s="10"/>
      <c r="AI13795" s="10"/>
    </row>
    <row r="13796" spans="28:35" ht="15" hidden="1" customHeight="1">
      <c r="AB13796" s="9"/>
      <c r="AC13796" s="9"/>
      <c r="AD13796" s="9"/>
      <c r="AF13796" s="10"/>
      <c r="AG13796" s="10"/>
      <c r="AH13796" s="10"/>
      <c r="AI13796" s="10"/>
    </row>
    <row r="13797" spans="28:35" ht="15" hidden="1" customHeight="1">
      <c r="AB13797" s="9"/>
      <c r="AC13797" s="9"/>
      <c r="AD13797" s="9"/>
      <c r="AF13797" s="10"/>
      <c r="AG13797" s="10"/>
      <c r="AH13797" s="10"/>
      <c r="AI13797" s="10"/>
    </row>
    <row r="13798" spans="28:35" ht="15" hidden="1" customHeight="1">
      <c r="AB13798" s="9"/>
      <c r="AC13798" s="9"/>
      <c r="AD13798" s="9"/>
      <c r="AF13798" s="10"/>
      <c r="AG13798" s="10"/>
      <c r="AH13798" s="10"/>
      <c r="AI13798" s="10"/>
    </row>
    <row r="13799" spans="28:35" ht="15" hidden="1" customHeight="1">
      <c r="AB13799" s="9"/>
      <c r="AC13799" s="9"/>
      <c r="AD13799" s="9"/>
      <c r="AF13799" s="10"/>
      <c r="AG13799" s="10"/>
      <c r="AH13799" s="10"/>
      <c r="AI13799" s="10"/>
    </row>
    <row r="13800" spans="28:35" ht="15" hidden="1" customHeight="1">
      <c r="AB13800" s="9"/>
      <c r="AC13800" s="9"/>
      <c r="AD13800" s="9"/>
      <c r="AF13800" s="10"/>
      <c r="AG13800" s="10"/>
      <c r="AH13800" s="10"/>
      <c r="AI13800" s="10"/>
    </row>
    <row r="13801" spans="28:35" ht="15" hidden="1" customHeight="1">
      <c r="AB13801" s="9"/>
      <c r="AC13801" s="9"/>
      <c r="AD13801" s="9"/>
      <c r="AF13801" s="10"/>
      <c r="AG13801" s="10"/>
      <c r="AH13801" s="10"/>
      <c r="AI13801" s="10"/>
    </row>
    <row r="13802" spans="28:35" ht="15" hidden="1" customHeight="1">
      <c r="AB13802" s="9"/>
      <c r="AC13802" s="9"/>
      <c r="AD13802" s="9"/>
      <c r="AF13802" s="10"/>
      <c r="AG13802" s="10"/>
      <c r="AH13802" s="10"/>
      <c r="AI13802" s="10"/>
    </row>
    <row r="13803" spans="28:35" ht="15" hidden="1" customHeight="1">
      <c r="AB13803" s="9"/>
      <c r="AC13803" s="9"/>
      <c r="AD13803" s="9"/>
      <c r="AF13803" s="10"/>
      <c r="AG13803" s="10"/>
      <c r="AH13803" s="10"/>
      <c r="AI13803" s="10"/>
    </row>
    <row r="13804" spans="28:35" ht="15" hidden="1" customHeight="1">
      <c r="AB13804" s="9"/>
      <c r="AC13804" s="9"/>
      <c r="AD13804" s="9"/>
      <c r="AF13804" s="10"/>
      <c r="AG13804" s="10"/>
      <c r="AH13804" s="10"/>
      <c r="AI13804" s="10"/>
    </row>
    <row r="13805" spans="28:35" ht="15" hidden="1" customHeight="1">
      <c r="AB13805" s="9"/>
      <c r="AC13805" s="9"/>
      <c r="AD13805" s="9"/>
      <c r="AF13805" s="10"/>
      <c r="AG13805" s="10"/>
      <c r="AH13805" s="10"/>
      <c r="AI13805" s="10"/>
    </row>
    <row r="13806" spans="28:35" ht="15" hidden="1" customHeight="1">
      <c r="AB13806" s="9"/>
      <c r="AC13806" s="9"/>
      <c r="AD13806" s="9"/>
      <c r="AF13806" s="10"/>
      <c r="AG13806" s="10"/>
      <c r="AH13806" s="10"/>
      <c r="AI13806" s="10"/>
    </row>
    <row r="13807" spans="28:35" ht="15" hidden="1" customHeight="1">
      <c r="AB13807" s="9"/>
      <c r="AC13807" s="9"/>
      <c r="AD13807" s="9"/>
      <c r="AF13807" s="10"/>
      <c r="AG13807" s="10"/>
      <c r="AH13807" s="10"/>
      <c r="AI13807" s="10"/>
    </row>
    <row r="13808" spans="28:35" ht="15" hidden="1" customHeight="1">
      <c r="AB13808" s="9"/>
      <c r="AC13808" s="9"/>
      <c r="AD13808" s="9"/>
      <c r="AF13808" s="10"/>
      <c r="AG13808" s="10"/>
      <c r="AH13808" s="10"/>
      <c r="AI13808" s="10"/>
    </row>
    <row r="13809" spans="28:35" ht="15" hidden="1" customHeight="1">
      <c r="AB13809" s="9"/>
      <c r="AC13809" s="9"/>
      <c r="AD13809" s="9"/>
      <c r="AF13809" s="10"/>
      <c r="AG13809" s="10"/>
      <c r="AH13809" s="10"/>
      <c r="AI13809" s="10"/>
    </row>
    <row r="13810" spans="28:35" ht="15" hidden="1" customHeight="1">
      <c r="AB13810" s="9"/>
      <c r="AC13810" s="9"/>
      <c r="AD13810" s="9"/>
      <c r="AF13810" s="10"/>
      <c r="AG13810" s="10"/>
      <c r="AH13810" s="10"/>
      <c r="AI13810" s="10"/>
    </row>
    <row r="13811" spans="28:35" ht="15" hidden="1" customHeight="1">
      <c r="AB13811" s="9"/>
      <c r="AC13811" s="9"/>
      <c r="AD13811" s="9"/>
      <c r="AF13811" s="10"/>
      <c r="AG13811" s="10"/>
      <c r="AH13811" s="10"/>
      <c r="AI13811" s="10"/>
    </row>
    <row r="13812" spans="28:35" ht="15" hidden="1" customHeight="1">
      <c r="AB13812" s="9"/>
      <c r="AC13812" s="9"/>
      <c r="AD13812" s="9"/>
      <c r="AF13812" s="10"/>
      <c r="AG13812" s="10"/>
      <c r="AH13812" s="10"/>
      <c r="AI13812" s="10"/>
    </row>
    <row r="13813" spans="28:35" ht="15" hidden="1" customHeight="1">
      <c r="AB13813" s="9"/>
      <c r="AC13813" s="9"/>
      <c r="AD13813" s="9"/>
      <c r="AF13813" s="10"/>
      <c r="AG13813" s="10"/>
      <c r="AH13813" s="10"/>
      <c r="AI13813" s="10"/>
    </row>
    <row r="13814" spans="28:35" ht="15" hidden="1" customHeight="1">
      <c r="AB13814" s="9"/>
      <c r="AC13814" s="9"/>
      <c r="AD13814" s="9"/>
      <c r="AF13814" s="10"/>
      <c r="AG13814" s="10"/>
      <c r="AH13814" s="10"/>
      <c r="AI13814" s="10"/>
    </row>
    <row r="13815" spans="28:35" ht="15" hidden="1" customHeight="1">
      <c r="AB13815" s="9"/>
      <c r="AC13815" s="9"/>
      <c r="AD13815" s="9"/>
      <c r="AF13815" s="10"/>
      <c r="AG13815" s="10"/>
      <c r="AH13815" s="10"/>
      <c r="AI13815" s="10"/>
    </row>
    <row r="13816" spans="28:35" ht="15" hidden="1" customHeight="1">
      <c r="AB13816" s="9"/>
      <c r="AC13816" s="9"/>
      <c r="AD13816" s="9"/>
      <c r="AF13816" s="10"/>
      <c r="AG13816" s="10"/>
      <c r="AH13816" s="10"/>
      <c r="AI13816" s="10"/>
    </row>
    <row r="13817" spans="28:35" ht="15" hidden="1" customHeight="1">
      <c r="AB13817" s="9"/>
      <c r="AC13817" s="9"/>
      <c r="AD13817" s="9"/>
      <c r="AF13817" s="10"/>
      <c r="AG13817" s="10"/>
      <c r="AH13817" s="10"/>
      <c r="AI13817" s="10"/>
    </row>
    <row r="13818" spans="28:35" ht="15" hidden="1" customHeight="1">
      <c r="AB13818" s="9"/>
      <c r="AC13818" s="9"/>
      <c r="AD13818" s="9"/>
      <c r="AF13818" s="10"/>
      <c r="AG13818" s="10"/>
      <c r="AH13818" s="10"/>
      <c r="AI13818" s="10"/>
    </row>
    <row r="13819" spans="28:35" ht="15" hidden="1" customHeight="1">
      <c r="AB13819" s="9"/>
      <c r="AC13819" s="9"/>
      <c r="AD13819" s="9"/>
      <c r="AF13819" s="10"/>
      <c r="AG13819" s="10"/>
      <c r="AH13819" s="10"/>
      <c r="AI13819" s="10"/>
    </row>
    <row r="13820" spans="28:35" ht="15" hidden="1" customHeight="1">
      <c r="AB13820" s="9"/>
      <c r="AC13820" s="9"/>
      <c r="AD13820" s="9"/>
      <c r="AF13820" s="10"/>
      <c r="AG13820" s="10"/>
      <c r="AH13820" s="10"/>
      <c r="AI13820" s="10"/>
    </row>
    <row r="13821" spans="28:35" ht="15" hidden="1" customHeight="1">
      <c r="AB13821" s="9"/>
      <c r="AC13821" s="9"/>
      <c r="AD13821" s="9"/>
      <c r="AF13821" s="10"/>
      <c r="AG13821" s="10"/>
      <c r="AH13821" s="10"/>
      <c r="AI13821" s="10"/>
    </row>
    <row r="13822" spans="28:35" ht="15" hidden="1" customHeight="1">
      <c r="AB13822" s="9"/>
      <c r="AC13822" s="9"/>
      <c r="AD13822" s="9"/>
      <c r="AF13822" s="10"/>
      <c r="AG13822" s="10"/>
      <c r="AH13822" s="10"/>
      <c r="AI13822" s="10"/>
    </row>
    <row r="13823" spans="28:35" ht="15" hidden="1" customHeight="1">
      <c r="AB13823" s="9"/>
      <c r="AC13823" s="9"/>
      <c r="AD13823" s="9"/>
      <c r="AF13823" s="10"/>
      <c r="AG13823" s="10"/>
      <c r="AH13823" s="10"/>
      <c r="AI13823" s="10"/>
    </row>
    <row r="13824" spans="28:35" ht="15" hidden="1" customHeight="1">
      <c r="AB13824" s="9"/>
      <c r="AC13824" s="9"/>
      <c r="AD13824" s="9"/>
      <c r="AF13824" s="10"/>
      <c r="AG13824" s="10"/>
      <c r="AH13824" s="10"/>
      <c r="AI13824" s="10"/>
    </row>
    <row r="13825" spans="28:35" ht="15" hidden="1" customHeight="1">
      <c r="AB13825" s="9"/>
      <c r="AC13825" s="9"/>
      <c r="AD13825" s="9"/>
      <c r="AF13825" s="10"/>
      <c r="AG13825" s="10"/>
      <c r="AH13825" s="10"/>
      <c r="AI13825" s="10"/>
    </row>
    <row r="13826" spans="28:35" ht="15" hidden="1" customHeight="1">
      <c r="AB13826" s="9"/>
      <c r="AC13826" s="9"/>
      <c r="AD13826" s="9"/>
      <c r="AF13826" s="10"/>
      <c r="AG13826" s="10"/>
      <c r="AH13826" s="10"/>
      <c r="AI13826" s="10"/>
    </row>
    <row r="13827" spans="28:35" ht="15" hidden="1" customHeight="1">
      <c r="AB13827" s="9"/>
      <c r="AC13827" s="9"/>
      <c r="AD13827" s="9"/>
      <c r="AF13827" s="10"/>
      <c r="AG13827" s="10"/>
      <c r="AH13827" s="10"/>
      <c r="AI13827" s="10"/>
    </row>
    <row r="13828" spans="28:35" ht="15" hidden="1" customHeight="1">
      <c r="AB13828" s="9"/>
      <c r="AC13828" s="9"/>
      <c r="AD13828" s="9"/>
      <c r="AF13828" s="10"/>
      <c r="AG13828" s="10"/>
      <c r="AH13828" s="10"/>
      <c r="AI13828" s="10"/>
    </row>
    <row r="13829" spans="28:35" ht="15" hidden="1" customHeight="1">
      <c r="AB13829" s="9"/>
      <c r="AC13829" s="9"/>
      <c r="AD13829" s="9"/>
      <c r="AF13829" s="10"/>
      <c r="AG13829" s="10"/>
      <c r="AH13829" s="10"/>
      <c r="AI13829" s="10"/>
    </row>
    <row r="13830" spans="28:35" ht="15" hidden="1" customHeight="1">
      <c r="AB13830" s="9"/>
      <c r="AC13830" s="9"/>
      <c r="AD13830" s="9"/>
      <c r="AF13830" s="10"/>
      <c r="AG13830" s="10"/>
      <c r="AH13830" s="10"/>
      <c r="AI13830" s="10"/>
    </row>
    <row r="13831" spans="28:35" ht="15" hidden="1" customHeight="1">
      <c r="AB13831" s="9"/>
      <c r="AC13831" s="9"/>
      <c r="AD13831" s="9"/>
      <c r="AF13831" s="10"/>
      <c r="AG13831" s="10"/>
      <c r="AH13831" s="10"/>
      <c r="AI13831" s="10"/>
    </row>
    <row r="13832" spans="28:35" ht="15" hidden="1" customHeight="1">
      <c r="AB13832" s="9"/>
      <c r="AC13832" s="9"/>
      <c r="AD13832" s="9"/>
      <c r="AF13832" s="10"/>
      <c r="AG13832" s="10"/>
      <c r="AH13832" s="10"/>
      <c r="AI13832" s="10"/>
    </row>
    <row r="13833" spans="28:35" ht="15" hidden="1" customHeight="1">
      <c r="AB13833" s="9"/>
      <c r="AC13833" s="9"/>
      <c r="AD13833" s="9"/>
      <c r="AF13833" s="10"/>
      <c r="AG13833" s="10"/>
      <c r="AH13833" s="10"/>
      <c r="AI13833" s="10"/>
    </row>
    <row r="13834" spans="28:35" ht="15" hidden="1" customHeight="1">
      <c r="AB13834" s="9"/>
      <c r="AC13834" s="9"/>
      <c r="AD13834" s="9"/>
      <c r="AF13834" s="10"/>
      <c r="AG13834" s="10"/>
      <c r="AH13834" s="10"/>
      <c r="AI13834" s="10"/>
    </row>
    <row r="13835" spans="28:35" ht="15" hidden="1" customHeight="1">
      <c r="AB13835" s="9"/>
      <c r="AC13835" s="9"/>
      <c r="AD13835" s="9"/>
      <c r="AF13835" s="10"/>
      <c r="AG13835" s="10"/>
      <c r="AH13835" s="10"/>
      <c r="AI13835" s="10"/>
    </row>
    <row r="13836" spans="28:35" ht="15" hidden="1" customHeight="1">
      <c r="AB13836" s="9"/>
      <c r="AC13836" s="9"/>
      <c r="AD13836" s="9"/>
      <c r="AF13836" s="10"/>
      <c r="AG13836" s="10"/>
      <c r="AH13836" s="10"/>
      <c r="AI13836" s="10"/>
    </row>
    <row r="13837" spans="28:35" ht="15" hidden="1" customHeight="1">
      <c r="AB13837" s="9"/>
      <c r="AC13837" s="9"/>
      <c r="AD13837" s="9"/>
      <c r="AF13837" s="10"/>
      <c r="AG13837" s="10"/>
      <c r="AH13837" s="10"/>
      <c r="AI13837" s="10"/>
    </row>
    <row r="13838" spans="28:35" ht="15" hidden="1" customHeight="1">
      <c r="AB13838" s="9"/>
      <c r="AC13838" s="9"/>
      <c r="AD13838" s="9"/>
      <c r="AF13838" s="10"/>
      <c r="AG13838" s="10"/>
      <c r="AH13838" s="10"/>
      <c r="AI13838" s="10"/>
    </row>
    <row r="13839" spans="28:35" ht="15" hidden="1" customHeight="1">
      <c r="AB13839" s="9"/>
      <c r="AC13839" s="9"/>
      <c r="AD13839" s="9"/>
      <c r="AF13839" s="10"/>
      <c r="AG13839" s="10"/>
      <c r="AH13839" s="10"/>
      <c r="AI13839" s="10"/>
    </row>
    <row r="13840" spans="28:35" ht="15" hidden="1" customHeight="1">
      <c r="AB13840" s="9"/>
      <c r="AC13840" s="9"/>
      <c r="AD13840" s="9"/>
      <c r="AF13840" s="10"/>
      <c r="AG13840" s="10"/>
      <c r="AH13840" s="10"/>
      <c r="AI13840" s="10"/>
    </row>
    <row r="13841" spans="28:35" ht="15" hidden="1" customHeight="1">
      <c r="AB13841" s="9"/>
      <c r="AC13841" s="9"/>
      <c r="AD13841" s="9"/>
      <c r="AF13841" s="10"/>
      <c r="AG13841" s="10"/>
      <c r="AH13841" s="10"/>
      <c r="AI13841" s="10"/>
    </row>
    <row r="13842" spans="28:35" ht="15" hidden="1" customHeight="1">
      <c r="AB13842" s="9"/>
      <c r="AC13842" s="9"/>
      <c r="AD13842" s="9"/>
      <c r="AF13842" s="10"/>
      <c r="AG13842" s="10"/>
      <c r="AH13842" s="10"/>
      <c r="AI13842" s="10"/>
    </row>
    <row r="13843" spans="28:35" ht="15" hidden="1" customHeight="1">
      <c r="AB13843" s="9"/>
      <c r="AC13843" s="9"/>
      <c r="AD13843" s="9"/>
      <c r="AF13843" s="10"/>
      <c r="AG13843" s="10"/>
      <c r="AH13843" s="10"/>
      <c r="AI13843" s="10"/>
    </row>
    <row r="13844" spans="28:35" ht="15" hidden="1" customHeight="1">
      <c r="AB13844" s="9"/>
      <c r="AC13844" s="9"/>
      <c r="AD13844" s="9"/>
      <c r="AF13844" s="10"/>
      <c r="AG13844" s="10"/>
      <c r="AH13844" s="10"/>
      <c r="AI13844" s="10"/>
    </row>
    <row r="13845" spans="28:35" ht="15" hidden="1" customHeight="1">
      <c r="AB13845" s="9"/>
      <c r="AC13845" s="9"/>
      <c r="AD13845" s="9"/>
      <c r="AF13845" s="10"/>
      <c r="AG13845" s="10"/>
      <c r="AH13845" s="10"/>
      <c r="AI13845" s="10"/>
    </row>
    <row r="13846" spans="28:35" ht="15" hidden="1" customHeight="1">
      <c r="AB13846" s="9"/>
      <c r="AC13846" s="9"/>
      <c r="AD13846" s="9"/>
      <c r="AF13846" s="10"/>
      <c r="AG13846" s="10"/>
      <c r="AH13846" s="10"/>
      <c r="AI13846" s="10"/>
    </row>
    <row r="13847" spans="28:35" ht="15" hidden="1" customHeight="1">
      <c r="AB13847" s="9"/>
      <c r="AC13847" s="9"/>
      <c r="AD13847" s="9"/>
      <c r="AF13847" s="10"/>
      <c r="AG13847" s="10"/>
      <c r="AH13847" s="10"/>
      <c r="AI13847" s="10"/>
    </row>
    <row r="13848" spans="28:35" ht="15" hidden="1" customHeight="1">
      <c r="AB13848" s="9"/>
      <c r="AC13848" s="9"/>
      <c r="AD13848" s="9"/>
      <c r="AF13848" s="10"/>
      <c r="AG13848" s="10"/>
      <c r="AH13848" s="10"/>
      <c r="AI13848" s="10"/>
    </row>
    <row r="13849" spans="28:35" ht="15" hidden="1" customHeight="1">
      <c r="AB13849" s="9"/>
      <c r="AC13849" s="9"/>
      <c r="AD13849" s="9"/>
      <c r="AF13849" s="10"/>
      <c r="AG13849" s="10"/>
      <c r="AH13849" s="10"/>
      <c r="AI13849" s="10"/>
    </row>
    <row r="13850" spans="28:35" ht="15" hidden="1" customHeight="1">
      <c r="AB13850" s="9"/>
      <c r="AC13850" s="9"/>
      <c r="AD13850" s="9"/>
      <c r="AF13850" s="10"/>
      <c r="AG13850" s="10"/>
      <c r="AH13850" s="10"/>
      <c r="AI13850" s="10"/>
    </row>
    <row r="13851" spans="28:35" ht="15" hidden="1" customHeight="1">
      <c r="AB13851" s="9"/>
      <c r="AC13851" s="9"/>
      <c r="AD13851" s="9"/>
      <c r="AF13851" s="10"/>
      <c r="AG13851" s="10"/>
      <c r="AH13851" s="10"/>
      <c r="AI13851" s="10"/>
    </row>
    <row r="13852" spans="28:35" ht="15" hidden="1" customHeight="1">
      <c r="AB13852" s="9"/>
      <c r="AC13852" s="9"/>
      <c r="AD13852" s="9"/>
      <c r="AF13852" s="10"/>
      <c r="AG13852" s="10"/>
      <c r="AH13852" s="10"/>
      <c r="AI13852" s="10"/>
    </row>
    <row r="13853" spans="28:35" ht="15" hidden="1" customHeight="1">
      <c r="AB13853" s="9"/>
      <c r="AC13853" s="9"/>
      <c r="AD13853" s="9"/>
      <c r="AF13853" s="10"/>
      <c r="AG13853" s="10"/>
      <c r="AH13853" s="10"/>
      <c r="AI13853" s="10"/>
    </row>
    <row r="13854" spans="28:35" ht="15" hidden="1" customHeight="1">
      <c r="AB13854" s="9"/>
      <c r="AC13854" s="9"/>
      <c r="AD13854" s="9"/>
      <c r="AF13854" s="10"/>
      <c r="AG13854" s="10"/>
      <c r="AH13854" s="10"/>
      <c r="AI13854" s="10"/>
    </row>
    <row r="13855" spans="28:35" ht="15" hidden="1" customHeight="1">
      <c r="AB13855" s="9"/>
      <c r="AC13855" s="9"/>
      <c r="AD13855" s="9"/>
      <c r="AF13855" s="10"/>
      <c r="AG13855" s="10"/>
      <c r="AH13855" s="10"/>
      <c r="AI13855" s="10"/>
    </row>
    <row r="13856" spans="28:35" ht="15" hidden="1" customHeight="1">
      <c r="AB13856" s="9"/>
      <c r="AC13856" s="9"/>
      <c r="AD13856" s="9"/>
      <c r="AF13856" s="10"/>
      <c r="AG13856" s="10"/>
      <c r="AH13856" s="10"/>
      <c r="AI13856" s="10"/>
    </row>
    <row r="13857" spans="28:35" ht="15" hidden="1" customHeight="1">
      <c r="AB13857" s="9"/>
      <c r="AC13857" s="9"/>
      <c r="AD13857" s="9"/>
      <c r="AF13857" s="10"/>
      <c r="AG13857" s="10"/>
      <c r="AH13857" s="10"/>
      <c r="AI13857" s="10"/>
    </row>
    <row r="13858" spans="28:35" ht="15" hidden="1" customHeight="1">
      <c r="AB13858" s="9"/>
      <c r="AC13858" s="9"/>
      <c r="AD13858" s="9"/>
      <c r="AF13858" s="10"/>
      <c r="AG13858" s="10"/>
      <c r="AH13858" s="10"/>
      <c r="AI13858" s="10"/>
    </row>
    <row r="13859" spans="28:35" ht="15" hidden="1" customHeight="1">
      <c r="AB13859" s="9"/>
      <c r="AC13859" s="9"/>
      <c r="AD13859" s="9"/>
      <c r="AF13859" s="10"/>
      <c r="AG13859" s="10"/>
      <c r="AH13859" s="10"/>
      <c r="AI13859" s="10"/>
    </row>
    <row r="13860" spans="28:35" ht="15" hidden="1" customHeight="1">
      <c r="AB13860" s="9"/>
      <c r="AC13860" s="9"/>
      <c r="AD13860" s="9"/>
      <c r="AF13860" s="10"/>
      <c r="AG13860" s="10"/>
      <c r="AH13860" s="10"/>
      <c r="AI13860" s="10"/>
    </row>
    <row r="13861" spans="28:35" ht="15" hidden="1" customHeight="1">
      <c r="AB13861" s="9"/>
      <c r="AC13861" s="9"/>
      <c r="AD13861" s="9"/>
      <c r="AF13861" s="10"/>
      <c r="AG13861" s="10"/>
      <c r="AH13861" s="10"/>
      <c r="AI13861" s="10"/>
    </row>
    <row r="13862" spans="28:35" ht="15" hidden="1" customHeight="1">
      <c r="AB13862" s="9"/>
      <c r="AC13862" s="9"/>
      <c r="AD13862" s="9"/>
      <c r="AF13862" s="10"/>
      <c r="AG13862" s="10"/>
      <c r="AH13862" s="10"/>
      <c r="AI13862" s="10"/>
    </row>
    <row r="13863" spans="28:35" ht="15" hidden="1" customHeight="1">
      <c r="AB13863" s="9"/>
      <c r="AC13863" s="9"/>
      <c r="AD13863" s="9"/>
      <c r="AF13863" s="10"/>
      <c r="AG13863" s="10"/>
      <c r="AH13863" s="10"/>
      <c r="AI13863" s="10"/>
    </row>
    <row r="13864" spans="28:35" ht="15" hidden="1" customHeight="1">
      <c r="AB13864" s="9"/>
      <c r="AC13864" s="9"/>
      <c r="AD13864" s="9"/>
      <c r="AF13864" s="10"/>
      <c r="AG13864" s="10"/>
      <c r="AH13864" s="10"/>
      <c r="AI13864" s="10"/>
    </row>
    <row r="13865" spans="28:35" ht="15" hidden="1" customHeight="1">
      <c r="AB13865" s="9"/>
      <c r="AC13865" s="9"/>
      <c r="AD13865" s="9"/>
      <c r="AF13865" s="10"/>
      <c r="AG13865" s="10"/>
      <c r="AH13865" s="10"/>
      <c r="AI13865" s="10"/>
    </row>
    <row r="13866" spans="28:35" ht="15" hidden="1" customHeight="1">
      <c r="AB13866" s="9"/>
      <c r="AC13866" s="9"/>
      <c r="AD13866" s="9"/>
      <c r="AF13866" s="10"/>
      <c r="AG13866" s="10"/>
      <c r="AH13866" s="10"/>
      <c r="AI13866" s="10"/>
    </row>
    <row r="13867" spans="28:35" ht="15" hidden="1" customHeight="1">
      <c r="AB13867" s="9"/>
      <c r="AC13867" s="9"/>
      <c r="AD13867" s="9"/>
      <c r="AF13867" s="10"/>
      <c r="AG13867" s="10"/>
      <c r="AH13867" s="10"/>
      <c r="AI13867" s="10"/>
    </row>
    <row r="13868" spans="28:35" ht="15" hidden="1" customHeight="1">
      <c r="AB13868" s="9"/>
      <c r="AC13868" s="9"/>
      <c r="AD13868" s="9"/>
      <c r="AF13868" s="10"/>
      <c r="AG13868" s="10"/>
      <c r="AH13868" s="10"/>
      <c r="AI13868" s="10"/>
    </row>
    <row r="13869" spans="28:35" ht="15" hidden="1" customHeight="1">
      <c r="AB13869" s="9"/>
      <c r="AC13869" s="9"/>
      <c r="AD13869" s="9"/>
      <c r="AF13869" s="10"/>
      <c r="AG13869" s="10"/>
      <c r="AH13869" s="10"/>
      <c r="AI13869" s="10"/>
    </row>
    <row r="13870" spans="28:35" ht="15" hidden="1" customHeight="1">
      <c r="AB13870" s="9"/>
      <c r="AC13870" s="9"/>
      <c r="AD13870" s="9"/>
      <c r="AF13870" s="10"/>
      <c r="AG13870" s="10"/>
      <c r="AH13870" s="10"/>
      <c r="AI13870" s="10"/>
    </row>
    <row r="13871" spans="28:35" ht="15" hidden="1" customHeight="1">
      <c r="AB13871" s="9"/>
      <c r="AC13871" s="9"/>
      <c r="AD13871" s="9"/>
      <c r="AF13871" s="10"/>
      <c r="AG13871" s="10"/>
      <c r="AH13871" s="10"/>
      <c r="AI13871" s="10"/>
    </row>
    <row r="13872" spans="28:35" ht="15" hidden="1" customHeight="1">
      <c r="AB13872" s="9"/>
      <c r="AC13872" s="9"/>
      <c r="AD13872" s="9"/>
      <c r="AF13872" s="10"/>
      <c r="AG13872" s="10"/>
      <c r="AH13872" s="10"/>
      <c r="AI13872" s="10"/>
    </row>
    <row r="13873" spans="28:35" ht="15" hidden="1" customHeight="1">
      <c r="AB13873" s="9"/>
      <c r="AC13873" s="9"/>
      <c r="AD13873" s="9"/>
      <c r="AF13873" s="10"/>
      <c r="AG13873" s="10"/>
      <c r="AH13873" s="10"/>
      <c r="AI13873" s="10"/>
    </row>
    <row r="13874" spans="28:35" ht="15" hidden="1" customHeight="1">
      <c r="AB13874" s="9"/>
      <c r="AC13874" s="9"/>
      <c r="AD13874" s="9"/>
      <c r="AF13874" s="10"/>
      <c r="AG13874" s="10"/>
      <c r="AH13874" s="10"/>
      <c r="AI13874" s="10"/>
    </row>
    <row r="13875" spans="28:35" ht="15" hidden="1" customHeight="1">
      <c r="AB13875" s="9"/>
      <c r="AC13875" s="9"/>
      <c r="AD13875" s="9"/>
      <c r="AF13875" s="10"/>
      <c r="AG13875" s="10"/>
      <c r="AH13875" s="10"/>
      <c r="AI13875" s="10"/>
    </row>
    <row r="13876" spans="28:35" ht="15" hidden="1" customHeight="1">
      <c r="AB13876" s="9"/>
      <c r="AC13876" s="9"/>
      <c r="AD13876" s="9"/>
      <c r="AF13876" s="10"/>
      <c r="AG13876" s="10"/>
      <c r="AH13876" s="10"/>
      <c r="AI13876" s="10"/>
    </row>
    <row r="13877" spans="28:35" ht="15" hidden="1" customHeight="1">
      <c r="AB13877" s="9"/>
      <c r="AC13877" s="9"/>
      <c r="AD13877" s="9"/>
      <c r="AF13877" s="10"/>
      <c r="AG13877" s="10"/>
      <c r="AH13877" s="10"/>
      <c r="AI13877" s="10"/>
    </row>
    <row r="13878" spans="28:35" ht="15" hidden="1" customHeight="1">
      <c r="AB13878" s="9"/>
      <c r="AC13878" s="9"/>
      <c r="AD13878" s="9"/>
      <c r="AF13878" s="10"/>
      <c r="AG13878" s="10"/>
      <c r="AH13878" s="10"/>
      <c r="AI13878" s="10"/>
    </row>
    <row r="13879" spans="28:35" ht="15" hidden="1" customHeight="1">
      <c r="AB13879" s="9"/>
      <c r="AC13879" s="9"/>
      <c r="AD13879" s="9"/>
      <c r="AF13879" s="10"/>
      <c r="AG13879" s="10"/>
      <c r="AH13879" s="10"/>
      <c r="AI13879" s="10"/>
    </row>
    <row r="13880" spans="28:35" ht="15" hidden="1" customHeight="1">
      <c r="AB13880" s="9"/>
      <c r="AC13880" s="9"/>
      <c r="AD13880" s="9"/>
      <c r="AF13880" s="10"/>
      <c r="AG13880" s="10"/>
      <c r="AH13880" s="10"/>
      <c r="AI13880" s="10"/>
    </row>
    <row r="13881" spans="28:35" ht="15" hidden="1" customHeight="1">
      <c r="AB13881" s="9"/>
      <c r="AC13881" s="9"/>
      <c r="AD13881" s="9"/>
      <c r="AF13881" s="10"/>
      <c r="AG13881" s="10"/>
      <c r="AH13881" s="10"/>
      <c r="AI13881" s="10"/>
    </row>
    <row r="13882" spans="28:35" ht="15" hidden="1" customHeight="1">
      <c r="AB13882" s="9"/>
      <c r="AC13882" s="9"/>
      <c r="AD13882" s="9"/>
      <c r="AF13882" s="10"/>
      <c r="AG13882" s="10"/>
      <c r="AH13882" s="10"/>
      <c r="AI13882" s="10"/>
    </row>
    <row r="13883" spans="28:35" ht="15" hidden="1" customHeight="1">
      <c r="AB13883" s="9"/>
      <c r="AC13883" s="9"/>
      <c r="AD13883" s="9"/>
      <c r="AF13883" s="10"/>
      <c r="AG13883" s="10"/>
      <c r="AH13883" s="10"/>
      <c r="AI13883" s="10"/>
    </row>
    <row r="13884" spans="28:35" ht="15" hidden="1" customHeight="1">
      <c r="AB13884" s="9"/>
      <c r="AC13884" s="9"/>
      <c r="AD13884" s="9"/>
      <c r="AF13884" s="10"/>
      <c r="AG13884" s="10"/>
      <c r="AH13884" s="10"/>
      <c r="AI13884" s="10"/>
    </row>
    <row r="13885" spans="28:35" ht="15" hidden="1" customHeight="1">
      <c r="AB13885" s="9"/>
      <c r="AC13885" s="9"/>
      <c r="AD13885" s="9"/>
      <c r="AF13885" s="10"/>
      <c r="AG13885" s="10"/>
      <c r="AH13885" s="10"/>
      <c r="AI13885" s="10"/>
    </row>
    <row r="13886" spans="28:35" ht="15" hidden="1" customHeight="1">
      <c r="AB13886" s="9"/>
      <c r="AC13886" s="9"/>
      <c r="AD13886" s="9"/>
      <c r="AF13886" s="10"/>
      <c r="AG13886" s="10"/>
      <c r="AH13886" s="10"/>
      <c r="AI13886" s="10"/>
    </row>
    <row r="13887" spans="28:35" ht="15" hidden="1" customHeight="1">
      <c r="AB13887" s="9"/>
      <c r="AC13887" s="9"/>
      <c r="AD13887" s="9"/>
      <c r="AF13887" s="10"/>
      <c r="AG13887" s="10"/>
      <c r="AH13887" s="10"/>
      <c r="AI13887" s="10"/>
    </row>
    <row r="13888" spans="28:35" ht="15" hidden="1" customHeight="1">
      <c r="AB13888" s="9"/>
      <c r="AC13888" s="9"/>
      <c r="AD13888" s="9"/>
      <c r="AF13888" s="10"/>
      <c r="AG13888" s="10"/>
      <c r="AH13888" s="10"/>
      <c r="AI13888" s="10"/>
    </row>
    <row r="13889" spans="28:35" ht="15" hidden="1" customHeight="1">
      <c r="AB13889" s="9"/>
      <c r="AC13889" s="9"/>
      <c r="AD13889" s="9"/>
      <c r="AF13889" s="10"/>
      <c r="AG13889" s="10"/>
      <c r="AH13889" s="10"/>
      <c r="AI13889" s="10"/>
    </row>
    <row r="13890" spans="28:35" ht="15" hidden="1" customHeight="1">
      <c r="AB13890" s="9"/>
      <c r="AC13890" s="9"/>
      <c r="AD13890" s="9"/>
      <c r="AF13890" s="10"/>
      <c r="AG13890" s="10"/>
      <c r="AH13890" s="10"/>
      <c r="AI13890" s="10"/>
    </row>
    <row r="13891" spans="28:35" ht="15" hidden="1" customHeight="1">
      <c r="AB13891" s="9"/>
      <c r="AC13891" s="9"/>
      <c r="AD13891" s="9"/>
      <c r="AF13891" s="10"/>
      <c r="AG13891" s="10"/>
      <c r="AH13891" s="10"/>
      <c r="AI13891" s="10"/>
    </row>
    <row r="13892" spans="28:35" ht="15" hidden="1" customHeight="1">
      <c r="AB13892" s="9"/>
      <c r="AC13892" s="9"/>
      <c r="AD13892" s="9"/>
      <c r="AF13892" s="10"/>
      <c r="AG13892" s="10"/>
      <c r="AH13892" s="10"/>
      <c r="AI13892" s="10"/>
    </row>
    <row r="13893" spans="28:35" ht="15" hidden="1" customHeight="1">
      <c r="AB13893" s="9"/>
      <c r="AC13893" s="9"/>
      <c r="AD13893" s="9"/>
      <c r="AF13893" s="10"/>
      <c r="AG13893" s="10"/>
      <c r="AH13893" s="10"/>
      <c r="AI13893" s="10"/>
    </row>
    <row r="13894" spans="28:35" ht="15" hidden="1" customHeight="1">
      <c r="AB13894" s="9"/>
      <c r="AC13894" s="9"/>
      <c r="AD13894" s="9"/>
      <c r="AF13894" s="10"/>
      <c r="AG13894" s="10"/>
      <c r="AH13894" s="10"/>
      <c r="AI13894" s="10"/>
    </row>
    <row r="13895" spans="28:35" ht="15" hidden="1" customHeight="1">
      <c r="AB13895" s="9"/>
      <c r="AC13895" s="9"/>
      <c r="AD13895" s="9"/>
      <c r="AF13895" s="10"/>
      <c r="AG13895" s="10"/>
      <c r="AH13895" s="10"/>
      <c r="AI13895" s="10"/>
    </row>
    <row r="13896" spans="28:35" ht="15" hidden="1" customHeight="1">
      <c r="AB13896" s="9"/>
      <c r="AC13896" s="9"/>
      <c r="AD13896" s="9"/>
      <c r="AF13896" s="10"/>
      <c r="AG13896" s="10"/>
      <c r="AH13896" s="10"/>
      <c r="AI13896" s="10"/>
    </row>
    <row r="13897" spans="28:35" ht="15" hidden="1" customHeight="1">
      <c r="AB13897" s="9"/>
      <c r="AC13897" s="9"/>
      <c r="AD13897" s="9"/>
      <c r="AF13897" s="10"/>
      <c r="AG13897" s="10"/>
      <c r="AH13897" s="10"/>
      <c r="AI13897" s="10"/>
    </row>
    <row r="13898" spans="28:35" ht="15" hidden="1" customHeight="1">
      <c r="AB13898" s="9"/>
      <c r="AC13898" s="9"/>
      <c r="AD13898" s="9"/>
      <c r="AF13898" s="10"/>
      <c r="AG13898" s="10"/>
      <c r="AH13898" s="10"/>
      <c r="AI13898" s="10"/>
    </row>
    <row r="13899" spans="28:35" ht="15" hidden="1" customHeight="1">
      <c r="AB13899" s="9"/>
      <c r="AC13899" s="9"/>
      <c r="AD13899" s="9"/>
      <c r="AF13899" s="10"/>
      <c r="AG13899" s="10"/>
      <c r="AH13899" s="10"/>
      <c r="AI13899" s="10"/>
    </row>
    <row r="13900" spans="28:35" ht="15" hidden="1" customHeight="1">
      <c r="AB13900" s="9"/>
      <c r="AC13900" s="9"/>
      <c r="AD13900" s="9"/>
      <c r="AF13900" s="10"/>
      <c r="AG13900" s="10"/>
      <c r="AH13900" s="10"/>
      <c r="AI13900" s="10"/>
    </row>
    <row r="13901" spans="28:35" ht="15" hidden="1" customHeight="1">
      <c r="AB13901" s="9"/>
      <c r="AC13901" s="9"/>
      <c r="AD13901" s="9"/>
      <c r="AF13901" s="10"/>
      <c r="AG13901" s="10"/>
      <c r="AH13901" s="10"/>
      <c r="AI13901" s="10"/>
    </row>
    <row r="13902" spans="28:35" ht="15" hidden="1" customHeight="1">
      <c r="AB13902" s="9"/>
      <c r="AC13902" s="9"/>
      <c r="AD13902" s="9"/>
      <c r="AF13902" s="10"/>
      <c r="AG13902" s="10"/>
      <c r="AH13902" s="10"/>
      <c r="AI13902" s="10"/>
    </row>
    <row r="13903" spans="28:35" ht="15" hidden="1" customHeight="1">
      <c r="AB13903" s="9"/>
      <c r="AC13903" s="9"/>
      <c r="AD13903" s="9"/>
      <c r="AF13903" s="10"/>
      <c r="AG13903" s="10"/>
      <c r="AH13903" s="10"/>
      <c r="AI13903" s="10"/>
    </row>
    <row r="13904" spans="28:35" ht="15" hidden="1" customHeight="1">
      <c r="AB13904" s="9"/>
      <c r="AC13904" s="9"/>
      <c r="AD13904" s="9"/>
      <c r="AF13904" s="10"/>
      <c r="AG13904" s="10"/>
      <c r="AH13904" s="10"/>
      <c r="AI13904" s="10"/>
    </row>
    <row r="13905" spans="28:35" ht="15" hidden="1" customHeight="1">
      <c r="AB13905" s="9"/>
      <c r="AC13905" s="9"/>
      <c r="AD13905" s="9"/>
      <c r="AF13905" s="10"/>
      <c r="AG13905" s="10"/>
      <c r="AH13905" s="10"/>
      <c r="AI13905" s="10"/>
    </row>
    <row r="13906" spans="28:35" ht="15" hidden="1" customHeight="1">
      <c r="AB13906" s="9"/>
      <c r="AC13906" s="9"/>
      <c r="AD13906" s="9"/>
      <c r="AF13906" s="10"/>
      <c r="AG13906" s="10"/>
      <c r="AH13906" s="10"/>
      <c r="AI13906" s="10"/>
    </row>
    <row r="13907" spans="28:35" ht="15" hidden="1" customHeight="1">
      <c r="AB13907" s="9"/>
      <c r="AC13907" s="9"/>
      <c r="AD13907" s="9"/>
      <c r="AF13907" s="10"/>
      <c r="AG13907" s="10"/>
      <c r="AH13907" s="10"/>
      <c r="AI13907" s="10"/>
    </row>
    <row r="13908" spans="28:35" ht="15" hidden="1" customHeight="1">
      <c r="AB13908" s="9"/>
      <c r="AC13908" s="9"/>
      <c r="AD13908" s="9"/>
      <c r="AF13908" s="10"/>
      <c r="AG13908" s="10"/>
      <c r="AH13908" s="10"/>
      <c r="AI13908" s="10"/>
    </row>
    <row r="13909" spans="28:35" ht="15" hidden="1" customHeight="1">
      <c r="AB13909" s="9"/>
      <c r="AC13909" s="9"/>
      <c r="AD13909" s="9"/>
      <c r="AF13909" s="10"/>
      <c r="AG13909" s="10"/>
      <c r="AH13909" s="10"/>
      <c r="AI13909" s="10"/>
    </row>
    <row r="13910" spans="28:35" ht="15" hidden="1" customHeight="1">
      <c r="AB13910" s="9"/>
      <c r="AC13910" s="9"/>
      <c r="AD13910" s="9"/>
      <c r="AF13910" s="10"/>
      <c r="AG13910" s="10"/>
      <c r="AH13910" s="10"/>
      <c r="AI13910" s="10"/>
    </row>
    <row r="13911" spans="28:35" ht="15" hidden="1" customHeight="1">
      <c r="AB13911" s="9"/>
      <c r="AC13911" s="9"/>
      <c r="AD13911" s="9"/>
      <c r="AF13911" s="10"/>
      <c r="AG13911" s="10"/>
      <c r="AH13911" s="10"/>
      <c r="AI13911" s="10"/>
    </row>
    <row r="13912" spans="28:35" ht="15" hidden="1" customHeight="1">
      <c r="AB13912" s="9"/>
      <c r="AC13912" s="9"/>
      <c r="AD13912" s="9"/>
      <c r="AF13912" s="10"/>
      <c r="AG13912" s="10"/>
      <c r="AH13912" s="10"/>
      <c r="AI13912" s="10"/>
    </row>
    <row r="13913" spans="28:35" ht="15" hidden="1" customHeight="1">
      <c r="AB13913" s="9"/>
      <c r="AC13913" s="9"/>
      <c r="AD13913" s="9"/>
      <c r="AF13913" s="10"/>
      <c r="AG13913" s="10"/>
      <c r="AH13913" s="10"/>
      <c r="AI13913" s="10"/>
    </row>
    <row r="13914" spans="28:35" ht="15" hidden="1" customHeight="1">
      <c r="AB13914" s="9"/>
      <c r="AC13914" s="9"/>
      <c r="AD13914" s="9"/>
      <c r="AF13914" s="10"/>
      <c r="AG13914" s="10"/>
      <c r="AH13914" s="10"/>
      <c r="AI13914" s="10"/>
    </row>
    <row r="13915" spans="28:35" ht="15" hidden="1" customHeight="1">
      <c r="AB13915" s="9"/>
      <c r="AC13915" s="9"/>
      <c r="AD13915" s="9"/>
      <c r="AF13915" s="10"/>
      <c r="AG13915" s="10"/>
      <c r="AH13915" s="10"/>
      <c r="AI13915" s="10"/>
    </row>
    <row r="13916" spans="28:35" ht="15" hidden="1" customHeight="1">
      <c r="AB13916" s="9"/>
      <c r="AC13916" s="9"/>
      <c r="AD13916" s="9"/>
      <c r="AF13916" s="10"/>
      <c r="AG13916" s="10"/>
      <c r="AH13916" s="10"/>
      <c r="AI13916" s="10"/>
    </row>
    <row r="13917" spans="28:35" ht="15" hidden="1" customHeight="1">
      <c r="AB13917" s="9"/>
      <c r="AC13917" s="9"/>
      <c r="AD13917" s="9"/>
      <c r="AF13917" s="10"/>
      <c r="AG13917" s="10"/>
      <c r="AH13917" s="10"/>
      <c r="AI13917" s="10"/>
    </row>
    <row r="13918" spans="28:35" ht="15" hidden="1" customHeight="1">
      <c r="AB13918" s="9"/>
      <c r="AC13918" s="9"/>
      <c r="AD13918" s="9"/>
      <c r="AF13918" s="10"/>
      <c r="AG13918" s="10"/>
      <c r="AH13918" s="10"/>
      <c r="AI13918" s="10"/>
    </row>
    <row r="13919" spans="28:35" ht="15" hidden="1" customHeight="1">
      <c r="AB13919" s="9"/>
      <c r="AC13919" s="9"/>
      <c r="AD13919" s="9"/>
      <c r="AF13919" s="10"/>
      <c r="AG13919" s="10"/>
      <c r="AH13919" s="10"/>
      <c r="AI13919" s="10"/>
    </row>
    <row r="13920" spans="28:35" ht="15" hidden="1" customHeight="1">
      <c r="AB13920" s="9"/>
      <c r="AC13920" s="9"/>
      <c r="AD13920" s="9"/>
      <c r="AF13920" s="10"/>
      <c r="AG13920" s="10"/>
      <c r="AH13920" s="10"/>
      <c r="AI13920" s="10"/>
    </row>
    <row r="13921" spans="28:35" ht="15" hidden="1" customHeight="1">
      <c r="AB13921" s="9"/>
      <c r="AC13921" s="9"/>
      <c r="AD13921" s="9"/>
      <c r="AF13921" s="10"/>
      <c r="AG13921" s="10"/>
      <c r="AH13921" s="10"/>
      <c r="AI13921" s="10"/>
    </row>
    <row r="13922" spans="28:35" ht="15" hidden="1" customHeight="1">
      <c r="AB13922" s="9"/>
      <c r="AC13922" s="9"/>
      <c r="AD13922" s="9"/>
      <c r="AF13922" s="10"/>
      <c r="AG13922" s="10"/>
      <c r="AH13922" s="10"/>
      <c r="AI13922" s="10"/>
    </row>
    <row r="13923" spans="28:35" ht="15" hidden="1" customHeight="1">
      <c r="AB13923" s="9"/>
      <c r="AC13923" s="9"/>
      <c r="AD13923" s="9"/>
      <c r="AF13923" s="10"/>
      <c r="AG13923" s="10"/>
      <c r="AH13923" s="10"/>
      <c r="AI13923" s="10"/>
    </row>
    <row r="13924" spans="28:35" ht="15" hidden="1" customHeight="1">
      <c r="AB13924" s="9"/>
      <c r="AC13924" s="9"/>
      <c r="AD13924" s="9"/>
      <c r="AF13924" s="10"/>
      <c r="AG13924" s="10"/>
      <c r="AH13924" s="10"/>
      <c r="AI13924" s="10"/>
    </row>
    <row r="13925" spans="28:35" ht="15" hidden="1" customHeight="1">
      <c r="AB13925" s="9"/>
      <c r="AC13925" s="9"/>
      <c r="AD13925" s="9"/>
      <c r="AF13925" s="10"/>
      <c r="AG13925" s="10"/>
      <c r="AH13925" s="10"/>
      <c r="AI13925" s="10"/>
    </row>
    <row r="13926" spans="28:35" ht="15" hidden="1" customHeight="1">
      <c r="AB13926" s="9"/>
      <c r="AC13926" s="9"/>
      <c r="AD13926" s="9"/>
      <c r="AF13926" s="10"/>
      <c r="AG13926" s="10"/>
      <c r="AH13926" s="10"/>
      <c r="AI13926" s="10"/>
    </row>
    <row r="13927" spans="28:35" ht="15" hidden="1" customHeight="1">
      <c r="AB13927" s="9"/>
      <c r="AC13927" s="9"/>
      <c r="AD13927" s="9"/>
      <c r="AF13927" s="10"/>
      <c r="AG13927" s="10"/>
      <c r="AH13927" s="10"/>
      <c r="AI13927" s="10"/>
    </row>
    <row r="13928" spans="28:35" ht="15" hidden="1" customHeight="1">
      <c r="AB13928" s="9"/>
      <c r="AC13928" s="9"/>
      <c r="AD13928" s="9"/>
      <c r="AF13928" s="10"/>
      <c r="AG13928" s="10"/>
      <c r="AH13928" s="10"/>
      <c r="AI13928" s="10"/>
    </row>
    <row r="13929" spans="28:35" ht="15" hidden="1" customHeight="1">
      <c r="AB13929" s="9"/>
      <c r="AC13929" s="9"/>
      <c r="AD13929" s="9"/>
      <c r="AF13929" s="10"/>
      <c r="AG13929" s="10"/>
      <c r="AH13929" s="10"/>
      <c r="AI13929" s="10"/>
    </row>
    <row r="13930" spans="28:35" ht="15" hidden="1" customHeight="1">
      <c r="AB13930" s="9"/>
      <c r="AC13930" s="9"/>
      <c r="AD13930" s="9"/>
      <c r="AF13930" s="10"/>
      <c r="AG13930" s="10"/>
      <c r="AH13930" s="10"/>
      <c r="AI13930" s="10"/>
    </row>
    <row r="13931" spans="28:35" ht="15" hidden="1" customHeight="1">
      <c r="AB13931" s="9"/>
      <c r="AC13931" s="9"/>
      <c r="AD13931" s="9"/>
      <c r="AF13931" s="10"/>
      <c r="AG13931" s="10"/>
      <c r="AH13931" s="10"/>
      <c r="AI13931" s="10"/>
    </row>
    <row r="13932" spans="28:35" ht="15" hidden="1" customHeight="1">
      <c r="AB13932" s="9"/>
      <c r="AC13932" s="9"/>
      <c r="AD13932" s="9"/>
      <c r="AF13932" s="10"/>
      <c r="AG13932" s="10"/>
      <c r="AH13932" s="10"/>
      <c r="AI13932" s="10"/>
    </row>
    <row r="13933" spans="28:35" ht="15" hidden="1" customHeight="1">
      <c r="AB13933" s="9"/>
      <c r="AC13933" s="9"/>
      <c r="AD13933" s="9"/>
      <c r="AF13933" s="10"/>
      <c r="AG13933" s="10"/>
      <c r="AH13933" s="10"/>
      <c r="AI13933" s="10"/>
    </row>
    <row r="13934" spans="28:35" ht="15" hidden="1" customHeight="1">
      <c r="AB13934" s="9"/>
      <c r="AC13934" s="9"/>
      <c r="AD13934" s="9"/>
      <c r="AF13934" s="10"/>
      <c r="AG13934" s="10"/>
      <c r="AH13934" s="10"/>
      <c r="AI13934" s="10"/>
    </row>
    <row r="13935" spans="28:35" ht="15" hidden="1" customHeight="1">
      <c r="AB13935" s="9"/>
      <c r="AC13935" s="9"/>
      <c r="AD13935" s="9"/>
      <c r="AF13935" s="10"/>
      <c r="AG13935" s="10"/>
      <c r="AH13935" s="10"/>
      <c r="AI13935" s="10"/>
    </row>
    <row r="13936" spans="28:35" ht="15" hidden="1" customHeight="1">
      <c r="AB13936" s="9"/>
      <c r="AC13936" s="9"/>
      <c r="AD13936" s="9"/>
      <c r="AF13936" s="10"/>
      <c r="AG13936" s="10"/>
      <c r="AH13936" s="10"/>
      <c r="AI13936" s="10"/>
    </row>
    <row r="13937" spans="28:35" ht="15" hidden="1" customHeight="1">
      <c r="AB13937" s="9"/>
      <c r="AC13937" s="9"/>
      <c r="AD13937" s="9"/>
      <c r="AF13937" s="10"/>
      <c r="AG13937" s="10"/>
      <c r="AH13937" s="10"/>
      <c r="AI13937" s="10"/>
    </row>
    <row r="13938" spans="28:35" ht="15" hidden="1" customHeight="1">
      <c r="AB13938" s="9"/>
      <c r="AC13938" s="9"/>
      <c r="AD13938" s="9"/>
      <c r="AF13938" s="10"/>
      <c r="AG13938" s="10"/>
      <c r="AH13938" s="10"/>
      <c r="AI13938" s="10"/>
    </row>
    <row r="13939" spans="28:35" ht="15" hidden="1" customHeight="1">
      <c r="AB13939" s="9"/>
      <c r="AC13939" s="9"/>
      <c r="AD13939" s="9"/>
      <c r="AF13939" s="10"/>
      <c r="AG13939" s="10"/>
      <c r="AH13939" s="10"/>
      <c r="AI13939" s="10"/>
    </row>
    <row r="13940" spans="28:35" ht="15" hidden="1" customHeight="1">
      <c r="AB13940" s="9"/>
      <c r="AC13940" s="9"/>
      <c r="AD13940" s="9"/>
      <c r="AF13940" s="10"/>
      <c r="AG13940" s="10"/>
      <c r="AH13940" s="10"/>
      <c r="AI13940" s="10"/>
    </row>
    <row r="13941" spans="28:35" ht="15" hidden="1" customHeight="1">
      <c r="AB13941" s="9"/>
      <c r="AC13941" s="9"/>
      <c r="AD13941" s="9"/>
      <c r="AF13941" s="10"/>
      <c r="AG13941" s="10"/>
      <c r="AH13941" s="10"/>
      <c r="AI13941" s="10"/>
    </row>
    <row r="13942" spans="28:35" ht="15" hidden="1" customHeight="1">
      <c r="AB13942" s="9"/>
      <c r="AC13942" s="9"/>
      <c r="AD13942" s="9"/>
      <c r="AF13942" s="10"/>
      <c r="AG13942" s="10"/>
      <c r="AH13942" s="10"/>
      <c r="AI13942" s="10"/>
    </row>
    <row r="13943" spans="28:35" ht="15" hidden="1" customHeight="1">
      <c r="AB13943" s="9"/>
      <c r="AC13943" s="9"/>
      <c r="AD13943" s="9"/>
      <c r="AF13943" s="10"/>
      <c r="AG13943" s="10"/>
      <c r="AH13943" s="10"/>
      <c r="AI13943" s="10"/>
    </row>
    <row r="13944" spans="28:35" ht="15" hidden="1" customHeight="1">
      <c r="AB13944" s="9"/>
      <c r="AC13944" s="9"/>
      <c r="AD13944" s="9"/>
      <c r="AF13944" s="10"/>
      <c r="AG13944" s="10"/>
      <c r="AH13944" s="10"/>
      <c r="AI13944" s="10"/>
    </row>
    <row r="13945" spans="28:35" ht="15" hidden="1" customHeight="1">
      <c r="AB13945" s="9"/>
      <c r="AC13945" s="9"/>
      <c r="AD13945" s="9"/>
      <c r="AF13945" s="10"/>
      <c r="AG13945" s="10"/>
      <c r="AH13945" s="10"/>
      <c r="AI13945" s="10"/>
    </row>
    <row r="13946" spans="28:35" ht="15" hidden="1" customHeight="1">
      <c r="AB13946" s="9"/>
      <c r="AC13946" s="9"/>
      <c r="AD13946" s="9"/>
      <c r="AF13946" s="10"/>
      <c r="AG13946" s="10"/>
      <c r="AH13946" s="10"/>
      <c r="AI13946" s="10"/>
    </row>
    <row r="13947" spans="28:35" ht="15" hidden="1" customHeight="1">
      <c r="AB13947" s="9"/>
      <c r="AC13947" s="9"/>
      <c r="AD13947" s="9"/>
      <c r="AF13947" s="10"/>
      <c r="AG13947" s="10"/>
      <c r="AH13947" s="10"/>
      <c r="AI13947" s="10"/>
    </row>
    <row r="13948" spans="28:35" ht="15" hidden="1" customHeight="1">
      <c r="AB13948" s="9"/>
      <c r="AC13948" s="9"/>
      <c r="AD13948" s="9"/>
      <c r="AF13948" s="10"/>
      <c r="AG13948" s="10"/>
      <c r="AH13948" s="10"/>
      <c r="AI13948" s="10"/>
    </row>
    <row r="13949" spans="28:35" ht="15" hidden="1" customHeight="1">
      <c r="AB13949" s="9"/>
      <c r="AC13949" s="9"/>
      <c r="AD13949" s="9"/>
      <c r="AF13949" s="10"/>
      <c r="AG13949" s="10"/>
      <c r="AH13949" s="10"/>
      <c r="AI13949" s="10"/>
    </row>
    <row r="13950" spans="28:35" ht="15" hidden="1" customHeight="1">
      <c r="AB13950" s="9"/>
      <c r="AC13950" s="9"/>
      <c r="AD13950" s="9"/>
      <c r="AF13950" s="10"/>
      <c r="AG13950" s="10"/>
      <c r="AH13950" s="10"/>
      <c r="AI13950" s="10"/>
    </row>
    <row r="13951" spans="28:35" ht="15" hidden="1" customHeight="1">
      <c r="AB13951" s="9"/>
      <c r="AC13951" s="9"/>
      <c r="AD13951" s="9"/>
      <c r="AF13951" s="10"/>
      <c r="AG13951" s="10"/>
      <c r="AH13951" s="10"/>
      <c r="AI13951" s="10"/>
    </row>
    <row r="13952" spans="28:35" ht="15" hidden="1" customHeight="1">
      <c r="AB13952" s="9"/>
      <c r="AC13952" s="9"/>
      <c r="AD13952" s="9"/>
      <c r="AF13952" s="10"/>
      <c r="AG13952" s="10"/>
      <c r="AH13952" s="10"/>
      <c r="AI13952" s="10"/>
    </row>
    <row r="13953" spans="28:35" ht="15" hidden="1" customHeight="1">
      <c r="AB13953" s="9"/>
      <c r="AC13953" s="9"/>
      <c r="AD13953" s="9"/>
      <c r="AF13953" s="10"/>
      <c r="AG13953" s="10"/>
      <c r="AH13953" s="10"/>
      <c r="AI13953" s="10"/>
    </row>
    <row r="13954" spans="28:35" ht="15" hidden="1" customHeight="1">
      <c r="AB13954" s="9"/>
      <c r="AC13954" s="9"/>
      <c r="AD13954" s="9"/>
      <c r="AF13954" s="10"/>
      <c r="AG13954" s="10"/>
      <c r="AH13954" s="10"/>
      <c r="AI13954" s="10"/>
    </row>
    <row r="13955" spans="28:35" ht="15" hidden="1" customHeight="1">
      <c r="AB13955" s="9"/>
      <c r="AC13955" s="9"/>
      <c r="AD13955" s="9"/>
      <c r="AF13955" s="10"/>
      <c r="AG13955" s="10"/>
      <c r="AH13955" s="10"/>
      <c r="AI13955" s="10"/>
    </row>
    <row r="13956" spans="28:35" ht="15" hidden="1" customHeight="1">
      <c r="AB13956" s="9"/>
      <c r="AC13956" s="9"/>
      <c r="AD13956" s="9"/>
      <c r="AF13956" s="10"/>
      <c r="AG13956" s="10"/>
      <c r="AH13956" s="10"/>
      <c r="AI13956" s="10"/>
    </row>
    <row r="13957" spans="28:35" ht="15" hidden="1" customHeight="1">
      <c r="AB13957" s="9"/>
      <c r="AC13957" s="9"/>
      <c r="AD13957" s="9"/>
      <c r="AF13957" s="10"/>
      <c r="AG13957" s="10"/>
      <c r="AH13957" s="10"/>
      <c r="AI13957" s="10"/>
    </row>
    <row r="13958" spans="28:35" ht="15" hidden="1" customHeight="1">
      <c r="AB13958" s="9"/>
      <c r="AC13958" s="9"/>
      <c r="AD13958" s="9"/>
      <c r="AF13958" s="10"/>
      <c r="AG13958" s="10"/>
      <c r="AH13958" s="10"/>
      <c r="AI13958" s="10"/>
    </row>
    <row r="13959" spans="28:35" ht="15" hidden="1" customHeight="1">
      <c r="AB13959" s="9"/>
      <c r="AC13959" s="9"/>
      <c r="AD13959" s="9"/>
      <c r="AF13959" s="10"/>
      <c r="AG13959" s="10"/>
      <c r="AH13959" s="10"/>
      <c r="AI13959" s="10"/>
    </row>
    <row r="13960" spans="28:35" ht="15" hidden="1" customHeight="1">
      <c r="AB13960" s="9"/>
      <c r="AC13960" s="9"/>
      <c r="AD13960" s="9"/>
      <c r="AF13960" s="10"/>
      <c r="AG13960" s="10"/>
      <c r="AH13960" s="10"/>
      <c r="AI13960" s="10"/>
    </row>
    <row r="13961" spans="28:35" ht="15" hidden="1" customHeight="1">
      <c r="AB13961" s="9"/>
      <c r="AC13961" s="9"/>
      <c r="AD13961" s="9"/>
      <c r="AF13961" s="10"/>
      <c r="AG13961" s="10"/>
      <c r="AH13961" s="10"/>
      <c r="AI13961" s="10"/>
    </row>
    <row r="13962" spans="28:35" ht="15" hidden="1" customHeight="1">
      <c r="AB13962" s="9"/>
      <c r="AC13962" s="9"/>
      <c r="AD13962" s="9"/>
      <c r="AF13962" s="10"/>
      <c r="AG13962" s="10"/>
      <c r="AH13962" s="10"/>
      <c r="AI13962" s="10"/>
    </row>
    <row r="13963" spans="28:35" ht="15" hidden="1" customHeight="1">
      <c r="AB13963" s="9"/>
      <c r="AC13963" s="9"/>
      <c r="AD13963" s="9"/>
      <c r="AF13963" s="10"/>
      <c r="AG13963" s="10"/>
      <c r="AH13963" s="10"/>
      <c r="AI13963" s="10"/>
    </row>
    <row r="13964" spans="28:35" ht="15" hidden="1" customHeight="1">
      <c r="AB13964" s="9"/>
      <c r="AC13964" s="9"/>
      <c r="AD13964" s="9"/>
      <c r="AF13964" s="10"/>
      <c r="AG13964" s="10"/>
      <c r="AH13964" s="10"/>
      <c r="AI13964" s="10"/>
    </row>
    <row r="13965" spans="28:35" ht="15" hidden="1" customHeight="1">
      <c r="AB13965" s="9"/>
      <c r="AC13965" s="9"/>
      <c r="AD13965" s="9"/>
      <c r="AF13965" s="10"/>
      <c r="AG13965" s="10"/>
      <c r="AH13965" s="10"/>
      <c r="AI13965" s="10"/>
    </row>
    <row r="13966" spans="28:35" ht="15" hidden="1" customHeight="1">
      <c r="AB13966" s="9"/>
      <c r="AC13966" s="9"/>
      <c r="AD13966" s="9"/>
      <c r="AF13966" s="10"/>
      <c r="AG13966" s="10"/>
      <c r="AH13966" s="10"/>
      <c r="AI13966" s="10"/>
    </row>
    <row r="13967" spans="28:35" ht="15" hidden="1" customHeight="1">
      <c r="AB13967" s="9"/>
      <c r="AC13967" s="9"/>
      <c r="AD13967" s="9"/>
      <c r="AF13967" s="10"/>
      <c r="AG13967" s="10"/>
      <c r="AH13967" s="10"/>
      <c r="AI13967" s="10"/>
    </row>
    <row r="13968" spans="28:35" ht="15" hidden="1" customHeight="1">
      <c r="AB13968" s="9"/>
      <c r="AC13968" s="9"/>
      <c r="AD13968" s="9"/>
      <c r="AF13968" s="10"/>
      <c r="AG13968" s="10"/>
      <c r="AH13968" s="10"/>
      <c r="AI13968" s="10"/>
    </row>
    <row r="13969" spans="28:35" ht="15" hidden="1" customHeight="1">
      <c r="AB13969" s="9"/>
      <c r="AC13969" s="9"/>
      <c r="AD13969" s="9"/>
      <c r="AF13969" s="10"/>
      <c r="AG13969" s="10"/>
      <c r="AH13969" s="10"/>
      <c r="AI13969" s="10"/>
    </row>
    <row r="13970" spans="28:35" ht="15" hidden="1" customHeight="1">
      <c r="AB13970" s="9"/>
      <c r="AC13970" s="9"/>
      <c r="AD13970" s="9"/>
      <c r="AF13970" s="10"/>
      <c r="AG13970" s="10"/>
      <c r="AH13970" s="10"/>
      <c r="AI13970" s="10"/>
    </row>
    <row r="13971" spans="28:35" ht="15" hidden="1" customHeight="1">
      <c r="AB13971" s="9"/>
      <c r="AC13971" s="9"/>
      <c r="AD13971" s="9"/>
      <c r="AF13971" s="10"/>
      <c r="AG13971" s="10"/>
      <c r="AH13971" s="10"/>
      <c r="AI13971" s="10"/>
    </row>
    <row r="13972" spans="28:35" ht="15" hidden="1" customHeight="1">
      <c r="AB13972" s="9"/>
      <c r="AC13972" s="9"/>
      <c r="AD13972" s="9"/>
      <c r="AF13972" s="10"/>
      <c r="AG13972" s="10"/>
      <c r="AH13972" s="10"/>
      <c r="AI13972" s="10"/>
    </row>
    <row r="13973" spans="28:35" ht="15" hidden="1" customHeight="1">
      <c r="AB13973" s="9"/>
      <c r="AC13973" s="9"/>
      <c r="AD13973" s="9"/>
      <c r="AF13973" s="10"/>
      <c r="AG13973" s="10"/>
      <c r="AH13973" s="10"/>
      <c r="AI13973" s="10"/>
    </row>
    <row r="13974" spans="28:35" ht="15" hidden="1" customHeight="1">
      <c r="AB13974" s="9"/>
      <c r="AC13974" s="9"/>
      <c r="AD13974" s="9"/>
      <c r="AF13974" s="10"/>
      <c r="AG13974" s="10"/>
      <c r="AH13974" s="10"/>
      <c r="AI13974" s="10"/>
    </row>
    <row r="13975" spans="28:35" ht="15" hidden="1" customHeight="1">
      <c r="AB13975" s="9"/>
      <c r="AC13975" s="9"/>
      <c r="AD13975" s="9"/>
      <c r="AF13975" s="10"/>
      <c r="AG13975" s="10"/>
      <c r="AH13975" s="10"/>
      <c r="AI13975" s="10"/>
    </row>
    <row r="13976" spans="28:35" ht="15" hidden="1" customHeight="1">
      <c r="AB13976" s="9"/>
      <c r="AC13976" s="9"/>
      <c r="AD13976" s="9"/>
      <c r="AF13976" s="10"/>
      <c r="AG13976" s="10"/>
      <c r="AH13976" s="10"/>
      <c r="AI13976" s="10"/>
    </row>
    <row r="13977" spans="28:35" ht="15" hidden="1" customHeight="1">
      <c r="AB13977" s="9"/>
      <c r="AC13977" s="9"/>
      <c r="AD13977" s="9"/>
      <c r="AF13977" s="10"/>
      <c r="AG13977" s="10"/>
      <c r="AH13977" s="10"/>
      <c r="AI13977" s="10"/>
    </row>
    <row r="13978" spans="28:35" ht="15" hidden="1" customHeight="1">
      <c r="AB13978" s="9"/>
      <c r="AC13978" s="9"/>
      <c r="AD13978" s="9"/>
      <c r="AF13978" s="10"/>
      <c r="AG13978" s="10"/>
      <c r="AH13978" s="10"/>
      <c r="AI13978" s="10"/>
    </row>
    <row r="13979" spans="28:35" ht="15" hidden="1" customHeight="1">
      <c r="AB13979" s="9"/>
      <c r="AC13979" s="9"/>
      <c r="AD13979" s="9"/>
      <c r="AF13979" s="10"/>
      <c r="AG13979" s="10"/>
      <c r="AH13979" s="10"/>
      <c r="AI13979" s="10"/>
    </row>
    <row r="13980" spans="28:35" ht="15" hidden="1" customHeight="1">
      <c r="AB13980" s="9"/>
      <c r="AC13980" s="9"/>
      <c r="AD13980" s="9"/>
      <c r="AF13980" s="10"/>
      <c r="AG13980" s="10"/>
      <c r="AH13980" s="10"/>
      <c r="AI13980" s="10"/>
    </row>
    <row r="13981" spans="28:35" ht="15" hidden="1" customHeight="1">
      <c r="AB13981" s="9"/>
      <c r="AC13981" s="9"/>
      <c r="AD13981" s="9"/>
      <c r="AF13981" s="10"/>
      <c r="AG13981" s="10"/>
      <c r="AH13981" s="10"/>
      <c r="AI13981" s="10"/>
    </row>
    <row r="13982" spans="28:35" ht="15" hidden="1" customHeight="1">
      <c r="AB13982" s="9"/>
      <c r="AC13982" s="9"/>
      <c r="AD13982" s="9"/>
      <c r="AF13982" s="10"/>
      <c r="AG13982" s="10"/>
      <c r="AH13982" s="10"/>
      <c r="AI13982" s="10"/>
    </row>
    <row r="13983" spans="28:35" ht="15" hidden="1" customHeight="1">
      <c r="AB13983" s="9"/>
      <c r="AC13983" s="9"/>
      <c r="AD13983" s="9"/>
      <c r="AF13983" s="10"/>
      <c r="AG13983" s="10"/>
      <c r="AH13983" s="10"/>
      <c r="AI13983" s="10"/>
    </row>
    <row r="13984" spans="28:35" ht="15" hidden="1" customHeight="1">
      <c r="AB13984" s="9"/>
      <c r="AC13984" s="9"/>
      <c r="AD13984" s="9"/>
      <c r="AF13984" s="10"/>
      <c r="AG13984" s="10"/>
      <c r="AH13984" s="10"/>
      <c r="AI13984" s="10"/>
    </row>
    <row r="13985" spans="28:35" ht="15" hidden="1" customHeight="1">
      <c r="AB13985" s="9"/>
      <c r="AC13985" s="9"/>
      <c r="AD13985" s="9"/>
      <c r="AF13985" s="10"/>
      <c r="AG13985" s="10"/>
      <c r="AH13985" s="10"/>
      <c r="AI13985" s="10"/>
    </row>
    <row r="13986" spans="28:35" ht="15" hidden="1" customHeight="1">
      <c r="AB13986" s="9"/>
      <c r="AC13986" s="9"/>
      <c r="AD13986" s="9"/>
      <c r="AF13986" s="10"/>
      <c r="AG13986" s="10"/>
      <c r="AH13986" s="10"/>
      <c r="AI13986" s="10"/>
    </row>
    <row r="13987" spans="28:35" ht="15" hidden="1" customHeight="1">
      <c r="AB13987" s="9"/>
      <c r="AC13987" s="9"/>
      <c r="AD13987" s="9"/>
      <c r="AF13987" s="10"/>
      <c r="AG13987" s="10"/>
      <c r="AH13987" s="10"/>
      <c r="AI13987" s="10"/>
    </row>
    <row r="13988" spans="28:35" ht="15" hidden="1" customHeight="1">
      <c r="AB13988" s="9"/>
      <c r="AC13988" s="9"/>
      <c r="AD13988" s="9"/>
      <c r="AF13988" s="10"/>
      <c r="AG13988" s="10"/>
      <c r="AH13988" s="10"/>
      <c r="AI13988" s="10"/>
    </row>
    <row r="13989" spans="28:35" ht="15" hidden="1" customHeight="1">
      <c r="AB13989" s="9"/>
      <c r="AC13989" s="9"/>
      <c r="AD13989" s="9"/>
      <c r="AF13989" s="10"/>
      <c r="AG13989" s="10"/>
      <c r="AH13989" s="10"/>
      <c r="AI13989" s="10"/>
    </row>
    <row r="13990" spans="28:35" ht="15" hidden="1" customHeight="1">
      <c r="AB13990" s="9"/>
      <c r="AC13990" s="9"/>
      <c r="AD13990" s="9"/>
      <c r="AF13990" s="10"/>
      <c r="AG13990" s="10"/>
      <c r="AH13990" s="10"/>
      <c r="AI13990" s="10"/>
    </row>
    <row r="13991" spans="28:35" ht="15" hidden="1" customHeight="1">
      <c r="AB13991" s="9"/>
      <c r="AC13991" s="9"/>
      <c r="AD13991" s="9"/>
      <c r="AF13991" s="10"/>
      <c r="AG13991" s="10"/>
      <c r="AH13991" s="10"/>
      <c r="AI13991" s="10"/>
    </row>
    <row r="13992" spans="28:35" ht="15" hidden="1" customHeight="1">
      <c r="AB13992" s="9"/>
      <c r="AC13992" s="9"/>
      <c r="AD13992" s="9"/>
      <c r="AF13992" s="10"/>
      <c r="AG13992" s="10"/>
      <c r="AH13992" s="10"/>
      <c r="AI13992" s="10"/>
    </row>
    <row r="13993" spans="28:35" ht="15" hidden="1" customHeight="1">
      <c r="AB13993" s="9"/>
      <c r="AC13993" s="9"/>
      <c r="AD13993" s="9"/>
      <c r="AF13993" s="10"/>
      <c r="AG13993" s="10"/>
      <c r="AH13993" s="10"/>
      <c r="AI13993" s="10"/>
    </row>
    <row r="13994" spans="28:35" ht="15" hidden="1" customHeight="1">
      <c r="AB13994" s="9"/>
      <c r="AC13994" s="9"/>
      <c r="AD13994" s="9"/>
      <c r="AF13994" s="10"/>
      <c r="AG13994" s="10"/>
      <c r="AH13994" s="10"/>
      <c r="AI13994" s="10"/>
    </row>
    <row r="13995" spans="28:35" ht="15" hidden="1" customHeight="1">
      <c r="AB13995" s="9"/>
      <c r="AC13995" s="9"/>
      <c r="AD13995" s="9"/>
      <c r="AF13995" s="10"/>
      <c r="AG13995" s="10"/>
      <c r="AH13995" s="10"/>
      <c r="AI13995" s="10"/>
    </row>
    <row r="13996" spans="28:35" ht="15" hidden="1" customHeight="1">
      <c r="AB13996" s="9"/>
      <c r="AC13996" s="9"/>
      <c r="AD13996" s="9"/>
      <c r="AF13996" s="10"/>
      <c r="AG13996" s="10"/>
      <c r="AH13996" s="10"/>
      <c r="AI13996" s="10"/>
    </row>
    <row r="13997" spans="28:35" ht="15" hidden="1" customHeight="1">
      <c r="AB13997" s="9"/>
      <c r="AC13997" s="9"/>
      <c r="AD13997" s="9"/>
      <c r="AF13997" s="10"/>
      <c r="AG13997" s="10"/>
      <c r="AH13997" s="10"/>
      <c r="AI13997" s="10"/>
    </row>
    <row r="13998" spans="28:35" ht="15" hidden="1" customHeight="1">
      <c r="AB13998" s="9"/>
      <c r="AC13998" s="9"/>
      <c r="AD13998" s="9"/>
      <c r="AF13998" s="10"/>
      <c r="AG13998" s="10"/>
      <c r="AH13998" s="10"/>
      <c r="AI13998" s="10"/>
    </row>
    <row r="13999" spans="28:35" ht="15" hidden="1" customHeight="1">
      <c r="AB13999" s="9"/>
      <c r="AC13999" s="9"/>
      <c r="AD13999" s="9"/>
      <c r="AF13999" s="10"/>
      <c r="AG13999" s="10"/>
      <c r="AH13999" s="10"/>
      <c r="AI13999" s="10"/>
    </row>
    <row r="14000" spans="28:35" ht="15" hidden="1" customHeight="1">
      <c r="AB14000" s="9"/>
      <c r="AC14000" s="9"/>
      <c r="AD14000" s="9"/>
      <c r="AF14000" s="10"/>
      <c r="AG14000" s="10"/>
      <c r="AH14000" s="10"/>
      <c r="AI14000" s="10"/>
    </row>
    <row r="14001" spans="28:35" ht="15" hidden="1" customHeight="1">
      <c r="AB14001" s="9"/>
      <c r="AC14001" s="9"/>
      <c r="AD14001" s="9"/>
      <c r="AF14001" s="10"/>
      <c r="AG14001" s="10"/>
      <c r="AH14001" s="10"/>
      <c r="AI14001" s="10"/>
    </row>
    <row r="14002" spans="28:35" ht="15" hidden="1" customHeight="1">
      <c r="AB14002" s="9"/>
      <c r="AC14002" s="9"/>
      <c r="AD14002" s="9"/>
      <c r="AF14002" s="10"/>
      <c r="AG14002" s="10"/>
      <c r="AH14002" s="10"/>
      <c r="AI14002" s="10"/>
    </row>
    <row r="14003" spans="28:35" ht="15" hidden="1" customHeight="1">
      <c r="AB14003" s="9"/>
      <c r="AC14003" s="9"/>
      <c r="AD14003" s="9"/>
      <c r="AF14003" s="10"/>
      <c r="AG14003" s="10"/>
      <c r="AH14003" s="10"/>
      <c r="AI14003" s="10"/>
    </row>
    <row r="14004" spans="28:35" ht="15" hidden="1" customHeight="1">
      <c r="AB14004" s="9"/>
      <c r="AC14004" s="9"/>
      <c r="AD14004" s="9"/>
      <c r="AF14004" s="10"/>
      <c r="AG14004" s="10"/>
      <c r="AH14004" s="10"/>
      <c r="AI14004" s="10"/>
    </row>
    <row r="14005" spans="28:35" ht="15" hidden="1" customHeight="1">
      <c r="AB14005" s="9"/>
      <c r="AC14005" s="9"/>
      <c r="AD14005" s="9"/>
      <c r="AF14005" s="10"/>
      <c r="AG14005" s="10"/>
      <c r="AH14005" s="10"/>
      <c r="AI14005" s="10"/>
    </row>
    <row r="14006" spans="28:35" ht="15" hidden="1" customHeight="1">
      <c r="AB14006" s="9"/>
      <c r="AC14006" s="9"/>
      <c r="AD14006" s="9"/>
      <c r="AF14006" s="10"/>
      <c r="AG14006" s="10"/>
      <c r="AH14006" s="10"/>
      <c r="AI14006" s="10"/>
    </row>
    <row r="14007" spans="28:35" ht="15" hidden="1" customHeight="1">
      <c r="AB14007" s="9"/>
      <c r="AC14007" s="9"/>
      <c r="AD14007" s="9"/>
      <c r="AF14007" s="10"/>
      <c r="AG14007" s="10"/>
      <c r="AH14007" s="10"/>
      <c r="AI14007" s="10"/>
    </row>
    <row r="14008" spans="28:35" ht="15" hidden="1" customHeight="1">
      <c r="AB14008" s="9"/>
      <c r="AC14008" s="9"/>
      <c r="AD14008" s="9"/>
      <c r="AF14008" s="10"/>
      <c r="AG14008" s="10"/>
      <c r="AH14008" s="10"/>
      <c r="AI14008" s="10"/>
    </row>
    <row r="14009" spans="28:35" ht="15" hidden="1" customHeight="1">
      <c r="AB14009" s="9"/>
      <c r="AC14009" s="9"/>
      <c r="AD14009" s="9"/>
      <c r="AF14009" s="10"/>
      <c r="AG14009" s="10"/>
      <c r="AH14009" s="10"/>
      <c r="AI14009" s="10"/>
    </row>
    <row r="14010" spans="28:35" ht="15" hidden="1" customHeight="1">
      <c r="AB14010" s="9"/>
      <c r="AC14010" s="9"/>
      <c r="AD14010" s="9"/>
      <c r="AF14010" s="10"/>
      <c r="AG14010" s="10"/>
      <c r="AH14010" s="10"/>
      <c r="AI14010" s="10"/>
    </row>
    <row r="14011" spans="28:35" ht="15" hidden="1" customHeight="1">
      <c r="AB14011" s="9"/>
      <c r="AC14011" s="9"/>
      <c r="AD14011" s="9"/>
      <c r="AF14011" s="10"/>
      <c r="AG14011" s="10"/>
      <c r="AH14011" s="10"/>
      <c r="AI14011" s="10"/>
    </row>
    <row r="14012" spans="28:35" ht="15" hidden="1" customHeight="1">
      <c r="AB14012" s="9"/>
      <c r="AC14012" s="9"/>
      <c r="AD14012" s="9"/>
      <c r="AF14012" s="10"/>
      <c r="AG14012" s="10"/>
      <c r="AH14012" s="10"/>
      <c r="AI14012" s="10"/>
    </row>
    <row r="14013" spans="28:35" ht="15" hidden="1" customHeight="1">
      <c r="AB14013" s="9"/>
      <c r="AC14013" s="9"/>
      <c r="AD14013" s="9"/>
      <c r="AF14013" s="10"/>
      <c r="AG14013" s="10"/>
      <c r="AH14013" s="10"/>
      <c r="AI14013" s="10"/>
    </row>
    <row r="14014" spans="28:35" ht="15" hidden="1" customHeight="1">
      <c r="AB14014" s="9"/>
      <c r="AC14014" s="9"/>
      <c r="AD14014" s="9"/>
      <c r="AF14014" s="10"/>
      <c r="AG14014" s="10"/>
      <c r="AH14014" s="10"/>
      <c r="AI14014" s="10"/>
    </row>
    <row r="14015" spans="28:35" ht="15" hidden="1" customHeight="1">
      <c r="AB14015" s="9"/>
      <c r="AC14015" s="9"/>
      <c r="AD14015" s="9"/>
      <c r="AF14015" s="10"/>
      <c r="AG14015" s="10"/>
      <c r="AH14015" s="10"/>
      <c r="AI14015" s="10"/>
    </row>
    <row r="14016" spans="28:35" ht="15" hidden="1" customHeight="1">
      <c r="AB14016" s="9"/>
      <c r="AC14016" s="9"/>
      <c r="AD14016" s="9"/>
      <c r="AF14016" s="10"/>
      <c r="AG14016" s="10"/>
      <c r="AH14016" s="10"/>
      <c r="AI14016" s="10"/>
    </row>
    <row r="14017" spans="28:35" ht="15" hidden="1" customHeight="1">
      <c r="AB14017" s="9"/>
      <c r="AC14017" s="9"/>
      <c r="AD14017" s="9"/>
      <c r="AF14017" s="10"/>
      <c r="AG14017" s="10"/>
      <c r="AH14017" s="10"/>
      <c r="AI14017" s="10"/>
    </row>
    <row r="14018" spans="28:35" ht="15" hidden="1" customHeight="1">
      <c r="AB14018" s="9"/>
      <c r="AC14018" s="9"/>
      <c r="AD14018" s="9"/>
      <c r="AF14018" s="10"/>
      <c r="AG14018" s="10"/>
      <c r="AH14018" s="10"/>
      <c r="AI14018" s="10"/>
    </row>
    <row r="14019" spans="28:35" ht="15" hidden="1" customHeight="1">
      <c r="AB14019" s="9"/>
      <c r="AC14019" s="9"/>
      <c r="AD14019" s="9"/>
      <c r="AF14019" s="10"/>
      <c r="AG14019" s="10"/>
      <c r="AH14019" s="10"/>
      <c r="AI14019" s="10"/>
    </row>
    <row r="14020" spans="28:35" ht="15" hidden="1" customHeight="1">
      <c r="AB14020" s="9"/>
      <c r="AC14020" s="9"/>
      <c r="AD14020" s="9"/>
      <c r="AF14020" s="10"/>
      <c r="AG14020" s="10"/>
      <c r="AH14020" s="10"/>
      <c r="AI14020" s="10"/>
    </row>
    <row r="14021" spans="28:35" ht="15" hidden="1" customHeight="1">
      <c r="AB14021" s="9"/>
      <c r="AC14021" s="9"/>
      <c r="AD14021" s="9"/>
      <c r="AF14021" s="10"/>
      <c r="AG14021" s="10"/>
      <c r="AH14021" s="10"/>
      <c r="AI14021" s="10"/>
    </row>
    <row r="14022" spans="28:35" ht="15" hidden="1" customHeight="1">
      <c r="AB14022" s="9"/>
      <c r="AC14022" s="9"/>
      <c r="AD14022" s="9"/>
      <c r="AF14022" s="10"/>
      <c r="AG14022" s="10"/>
      <c r="AH14022" s="10"/>
      <c r="AI14022" s="10"/>
    </row>
    <row r="14023" spans="28:35" ht="15" hidden="1" customHeight="1">
      <c r="AB14023" s="9"/>
      <c r="AC14023" s="9"/>
      <c r="AD14023" s="9"/>
      <c r="AF14023" s="10"/>
      <c r="AG14023" s="10"/>
      <c r="AH14023" s="10"/>
      <c r="AI14023" s="10"/>
    </row>
    <row r="14024" spans="28:35" ht="15" hidden="1" customHeight="1">
      <c r="AB14024" s="9"/>
      <c r="AC14024" s="9"/>
      <c r="AD14024" s="9"/>
      <c r="AF14024" s="10"/>
      <c r="AG14024" s="10"/>
      <c r="AH14024" s="10"/>
      <c r="AI14024" s="10"/>
    </row>
    <row r="14025" spans="28:35" ht="15" hidden="1" customHeight="1">
      <c r="AB14025" s="9"/>
      <c r="AC14025" s="9"/>
      <c r="AD14025" s="9"/>
      <c r="AF14025" s="10"/>
      <c r="AG14025" s="10"/>
      <c r="AH14025" s="10"/>
      <c r="AI14025" s="10"/>
    </row>
    <row r="14026" spans="28:35" ht="15" hidden="1" customHeight="1">
      <c r="AB14026" s="9"/>
      <c r="AC14026" s="9"/>
      <c r="AD14026" s="9"/>
      <c r="AF14026" s="10"/>
      <c r="AG14026" s="10"/>
      <c r="AH14026" s="10"/>
      <c r="AI14026" s="10"/>
    </row>
    <row r="14027" spans="28:35" ht="15" hidden="1" customHeight="1">
      <c r="AB14027" s="9"/>
      <c r="AC14027" s="9"/>
      <c r="AD14027" s="9"/>
      <c r="AF14027" s="10"/>
      <c r="AG14027" s="10"/>
      <c r="AH14027" s="10"/>
      <c r="AI14027" s="10"/>
    </row>
    <row r="14028" spans="28:35" ht="15" hidden="1" customHeight="1">
      <c r="AB14028" s="9"/>
      <c r="AC14028" s="9"/>
      <c r="AD14028" s="9"/>
      <c r="AF14028" s="10"/>
      <c r="AG14028" s="10"/>
      <c r="AH14028" s="10"/>
      <c r="AI14028" s="10"/>
    </row>
    <row r="14029" spans="28:35" ht="15" hidden="1" customHeight="1">
      <c r="AB14029" s="9"/>
      <c r="AC14029" s="9"/>
      <c r="AD14029" s="9"/>
      <c r="AF14029" s="10"/>
      <c r="AG14029" s="10"/>
      <c r="AH14029" s="10"/>
      <c r="AI14029" s="10"/>
    </row>
    <row r="14030" spans="28:35" ht="15" hidden="1" customHeight="1">
      <c r="AB14030" s="9"/>
      <c r="AC14030" s="9"/>
      <c r="AD14030" s="9"/>
      <c r="AF14030" s="10"/>
      <c r="AG14030" s="10"/>
      <c r="AH14030" s="10"/>
      <c r="AI14030" s="10"/>
    </row>
    <row r="14031" spans="28:35" ht="15" hidden="1" customHeight="1">
      <c r="AB14031" s="9"/>
      <c r="AC14031" s="9"/>
      <c r="AD14031" s="9"/>
      <c r="AF14031" s="10"/>
      <c r="AG14031" s="10"/>
      <c r="AH14031" s="10"/>
      <c r="AI14031" s="10"/>
    </row>
    <row r="14032" spans="28:35" ht="15" hidden="1" customHeight="1">
      <c r="AB14032" s="9"/>
      <c r="AC14032" s="9"/>
      <c r="AD14032" s="9"/>
      <c r="AF14032" s="10"/>
      <c r="AG14032" s="10"/>
      <c r="AH14032" s="10"/>
      <c r="AI14032" s="10"/>
    </row>
    <row r="14033" spans="28:35" ht="15" hidden="1" customHeight="1">
      <c r="AB14033" s="9"/>
      <c r="AC14033" s="9"/>
      <c r="AD14033" s="9"/>
      <c r="AF14033" s="10"/>
      <c r="AG14033" s="10"/>
      <c r="AH14033" s="10"/>
      <c r="AI14033" s="10"/>
    </row>
    <row r="14034" spans="28:35" ht="15" hidden="1" customHeight="1">
      <c r="AB14034" s="9"/>
      <c r="AC14034" s="9"/>
      <c r="AD14034" s="9"/>
      <c r="AF14034" s="10"/>
      <c r="AG14034" s="10"/>
      <c r="AH14034" s="10"/>
      <c r="AI14034" s="10"/>
    </row>
    <row r="14035" spans="28:35" ht="15" hidden="1" customHeight="1">
      <c r="AB14035" s="9"/>
      <c r="AC14035" s="9"/>
      <c r="AD14035" s="9"/>
      <c r="AF14035" s="10"/>
      <c r="AG14035" s="10"/>
      <c r="AH14035" s="10"/>
      <c r="AI14035" s="10"/>
    </row>
    <row r="14036" spans="28:35" ht="15" hidden="1" customHeight="1">
      <c r="AB14036" s="9"/>
      <c r="AC14036" s="9"/>
      <c r="AD14036" s="9"/>
      <c r="AF14036" s="10"/>
      <c r="AG14036" s="10"/>
      <c r="AH14036" s="10"/>
      <c r="AI14036" s="10"/>
    </row>
    <row r="14037" spans="28:35" ht="15" hidden="1" customHeight="1">
      <c r="AB14037" s="9"/>
      <c r="AC14037" s="9"/>
      <c r="AD14037" s="9"/>
      <c r="AF14037" s="10"/>
      <c r="AG14037" s="10"/>
      <c r="AH14037" s="10"/>
      <c r="AI14037" s="10"/>
    </row>
    <row r="14038" spans="28:35" ht="15" hidden="1" customHeight="1">
      <c r="AB14038" s="9"/>
      <c r="AC14038" s="9"/>
      <c r="AD14038" s="9"/>
      <c r="AF14038" s="10"/>
      <c r="AG14038" s="10"/>
      <c r="AH14038" s="10"/>
      <c r="AI14038" s="10"/>
    </row>
    <row r="14039" spans="28:35" ht="15" hidden="1" customHeight="1">
      <c r="AB14039" s="9"/>
      <c r="AC14039" s="9"/>
      <c r="AD14039" s="9"/>
      <c r="AF14039" s="10"/>
      <c r="AG14039" s="10"/>
      <c r="AH14039" s="10"/>
      <c r="AI14039" s="10"/>
    </row>
    <row r="14040" spans="28:35" ht="15" hidden="1" customHeight="1">
      <c r="AB14040" s="9"/>
      <c r="AC14040" s="9"/>
      <c r="AD14040" s="9"/>
      <c r="AF14040" s="10"/>
      <c r="AG14040" s="10"/>
      <c r="AH14040" s="10"/>
      <c r="AI14040" s="10"/>
    </row>
    <row r="14041" spans="28:35" ht="15" hidden="1" customHeight="1">
      <c r="AB14041" s="9"/>
      <c r="AC14041" s="9"/>
      <c r="AD14041" s="9"/>
      <c r="AF14041" s="10"/>
      <c r="AG14041" s="10"/>
      <c r="AH14041" s="10"/>
      <c r="AI14041" s="10"/>
    </row>
    <row r="14042" spans="28:35" ht="15" hidden="1" customHeight="1">
      <c r="AB14042" s="9"/>
      <c r="AC14042" s="9"/>
      <c r="AD14042" s="9"/>
      <c r="AF14042" s="10"/>
      <c r="AG14042" s="10"/>
      <c r="AH14042" s="10"/>
      <c r="AI14042" s="10"/>
    </row>
    <row r="14043" spans="28:35" ht="15" hidden="1" customHeight="1">
      <c r="AB14043" s="9"/>
      <c r="AC14043" s="9"/>
      <c r="AD14043" s="9"/>
      <c r="AF14043" s="10"/>
      <c r="AG14043" s="10"/>
      <c r="AH14043" s="10"/>
      <c r="AI14043" s="10"/>
    </row>
    <row r="14044" spans="28:35" ht="15" hidden="1" customHeight="1">
      <c r="AB14044" s="9"/>
      <c r="AC14044" s="9"/>
      <c r="AD14044" s="9"/>
      <c r="AF14044" s="10"/>
      <c r="AG14044" s="10"/>
      <c r="AH14044" s="10"/>
      <c r="AI14044" s="10"/>
    </row>
    <row r="14045" spans="28:35" ht="15" hidden="1" customHeight="1">
      <c r="AB14045" s="9"/>
      <c r="AC14045" s="9"/>
      <c r="AD14045" s="9"/>
      <c r="AF14045" s="10"/>
      <c r="AG14045" s="10"/>
      <c r="AH14045" s="10"/>
      <c r="AI14045" s="10"/>
    </row>
    <row r="14046" spans="28:35" ht="15" hidden="1" customHeight="1">
      <c r="AB14046" s="9"/>
      <c r="AC14046" s="9"/>
      <c r="AD14046" s="9"/>
      <c r="AF14046" s="10"/>
      <c r="AG14046" s="10"/>
      <c r="AH14046" s="10"/>
      <c r="AI14046" s="10"/>
    </row>
    <row r="14047" spans="28:35" ht="15" hidden="1" customHeight="1">
      <c r="AB14047" s="9"/>
      <c r="AC14047" s="9"/>
      <c r="AD14047" s="9"/>
      <c r="AF14047" s="10"/>
      <c r="AG14047" s="10"/>
      <c r="AH14047" s="10"/>
      <c r="AI14047" s="10"/>
    </row>
    <row r="14048" spans="28:35" ht="15" hidden="1" customHeight="1">
      <c r="AB14048" s="9"/>
      <c r="AC14048" s="9"/>
      <c r="AD14048" s="9"/>
      <c r="AF14048" s="10"/>
      <c r="AG14048" s="10"/>
      <c r="AH14048" s="10"/>
      <c r="AI14048" s="10"/>
    </row>
    <row r="14049" spans="28:35" ht="15" hidden="1" customHeight="1">
      <c r="AB14049" s="9"/>
      <c r="AC14049" s="9"/>
      <c r="AD14049" s="9"/>
      <c r="AF14049" s="10"/>
      <c r="AG14049" s="10"/>
      <c r="AH14049" s="10"/>
      <c r="AI14049" s="10"/>
    </row>
    <row r="14050" spans="28:35" ht="15" hidden="1" customHeight="1">
      <c r="AB14050" s="9"/>
      <c r="AC14050" s="9"/>
      <c r="AD14050" s="9"/>
      <c r="AF14050" s="10"/>
      <c r="AG14050" s="10"/>
      <c r="AH14050" s="10"/>
      <c r="AI14050" s="10"/>
    </row>
    <row r="14051" spans="28:35" ht="15" hidden="1" customHeight="1">
      <c r="AB14051" s="9"/>
      <c r="AC14051" s="9"/>
      <c r="AD14051" s="9"/>
      <c r="AF14051" s="10"/>
      <c r="AG14051" s="10"/>
      <c r="AH14051" s="10"/>
      <c r="AI14051" s="10"/>
    </row>
    <row r="14052" spans="28:35" ht="15" hidden="1" customHeight="1">
      <c r="AB14052" s="9"/>
      <c r="AC14052" s="9"/>
      <c r="AD14052" s="9"/>
      <c r="AF14052" s="10"/>
      <c r="AG14052" s="10"/>
      <c r="AH14052" s="10"/>
      <c r="AI14052" s="10"/>
    </row>
    <row r="14053" spans="28:35" ht="15" hidden="1" customHeight="1">
      <c r="AB14053" s="9"/>
      <c r="AC14053" s="9"/>
      <c r="AD14053" s="9"/>
      <c r="AF14053" s="10"/>
      <c r="AG14053" s="10"/>
      <c r="AH14053" s="10"/>
      <c r="AI14053" s="10"/>
    </row>
    <row r="14054" spans="28:35" ht="15" hidden="1" customHeight="1">
      <c r="AB14054" s="9"/>
      <c r="AC14054" s="9"/>
      <c r="AD14054" s="9"/>
      <c r="AF14054" s="10"/>
      <c r="AG14054" s="10"/>
      <c r="AH14054" s="10"/>
      <c r="AI14054" s="10"/>
    </row>
    <row r="14055" spans="28:35" ht="15" hidden="1" customHeight="1">
      <c r="AB14055" s="9"/>
      <c r="AC14055" s="9"/>
      <c r="AD14055" s="9"/>
      <c r="AF14055" s="10"/>
      <c r="AG14055" s="10"/>
      <c r="AH14055" s="10"/>
      <c r="AI14055" s="10"/>
    </row>
    <row r="14056" spans="28:35" ht="15" hidden="1" customHeight="1">
      <c r="AB14056" s="9"/>
      <c r="AC14056" s="9"/>
      <c r="AD14056" s="9"/>
      <c r="AF14056" s="10"/>
      <c r="AG14056" s="10"/>
      <c r="AH14056" s="10"/>
      <c r="AI14056" s="10"/>
    </row>
    <row r="14057" spans="28:35" ht="15" hidden="1" customHeight="1">
      <c r="AB14057" s="9"/>
      <c r="AC14057" s="9"/>
      <c r="AD14057" s="9"/>
      <c r="AF14057" s="10"/>
      <c r="AG14057" s="10"/>
      <c r="AH14057" s="10"/>
      <c r="AI14057" s="10"/>
    </row>
    <row r="14058" spans="28:35" ht="15" hidden="1" customHeight="1">
      <c r="AB14058" s="9"/>
      <c r="AC14058" s="9"/>
      <c r="AD14058" s="9"/>
      <c r="AF14058" s="10"/>
      <c r="AG14058" s="10"/>
      <c r="AH14058" s="10"/>
      <c r="AI14058" s="10"/>
    </row>
    <row r="14059" spans="28:35" ht="15" hidden="1" customHeight="1">
      <c r="AB14059" s="9"/>
      <c r="AC14059" s="9"/>
      <c r="AD14059" s="9"/>
      <c r="AF14059" s="10"/>
      <c r="AG14059" s="10"/>
      <c r="AH14059" s="10"/>
      <c r="AI14059" s="10"/>
    </row>
    <row r="14060" spans="28:35" ht="15" hidden="1" customHeight="1">
      <c r="AB14060" s="9"/>
      <c r="AC14060" s="9"/>
      <c r="AD14060" s="9"/>
      <c r="AF14060" s="10"/>
      <c r="AG14060" s="10"/>
      <c r="AH14060" s="10"/>
      <c r="AI14060" s="10"/>
    </row>
    <row r="14061" spans="28:35" ht="15" hidden="1" customHeight="1">
      <c r="AB14061" s="9"/>
      <c r="AC14061" s="9"/>
      <c r="AD14061" s="9"/>
      <c r="AF14061" s="10"/>
      <c r="AG14061" s="10"/>
      <c r="AH14061" s="10"/>
      <c r="AI14061" s="10"/>
    </row>
    <row r="14062" spans="28:35" ht="15" hidden="1" customHeight="1">
      <c r="AB14062" s="9"/>
      <c r="AC14062" s="9"/>
      <c r="AD14062" s="9"/>
      <c r="AF14062" s="10"/>
      <c r="AG14062" s="10"/>
      <c r="AH14062" s="10"/>
      <c r="AI14062" s="10"/>
    </row>
    <row r="14063" spans="28:35" ht="15" hidden="1" customHeight="1">
      <c r="AB14063" s="9"/>
      <c r="AC14063" s="9"/>
      <c r="AD14063" s="9"/>
      <c r="AF14063" s="10"/>
      <c r="AG14063" s="10"/>
      <c r="AH14063" s="10"/>
      <c r="AI14063" s="10"/>
    </row>
    <row r="14064" spans="28:35" ht="15" hidden="1" customHeight="1">
      <c r="AB14064" s="9"/>
      <c r="AC14064" s="9"/>
      <c r="AD14064" s="9"/>
      <c r="AF14064" s="10"/>
      <c r="AG14064" s="10"/>
      <c r="AH14064" s="10"/>
      <c r="AI14064" s="10"/>
    </row>
    <row r="14065" spans="28:35" ht="15" hidden="1" customHeight="1">
      <c r="AB14065" s="9"/>
      <c r="AC14065" s="9"/>
      <c r="AD14065" s="9"/>
      <c r="AF14065" s="10"/>
      <c r="AG14065" s="10"/>
      <c r="AH14065" s="10"/>
      <c r="AI14065" s="10"/>
    </row>
    <row r="14066" spans="28:35" ht="15" hidden="1" customHeight="1">
      <c r="AB14066" s="9"/>
      <c r="AC14066" s="9"/>
      <c r="AD14066" s="9"/>
      <c r="AF14066" s="10"/>
      <c r="AG14066" s="10"/>
      <c r="AH14066" s="10"/>
      <c r="AI14066" s="10"/>
    </row>
    <row r="14067" spans="28:35" ht="15" hidden="1" customHeight="1">
      <c r="AB14067" s="9"/>
      <c r="AC14067" s="9"/>
      <c r="AD14067" s="9"/>
      <c r="AF14067" s="10"/>
      <c r="AG14067" s="10"/>
      <c r="AH14067" s="10"/>
      <c r="AI14067" s="10"/>
    </row>
    <row r="14068" spans="28:35" ht="15" hidden="1" customHeight="1">
      <c r="AB14068" s="9"/>
      <c r="AC14068" s="9"/>
      <c r="AD14068" s="9"/>
      <c r="AF14068" s="10"/>
      <c r="AG14068" s="10"/>
      <c r="AH14068" s="10"/>
      <c r="AI14068" s="10"/>
    </row>
    <row r="14069" spans="28:35" ht="15" hidden="1" customHeight="1">
      <c r="AB14069" s="9"/>
      <c r="AC14069" s="9"/>
      <c r="AD14069" s="9"/>
      <c r="AF14069" s="10"/>
      <c r="AG14069" s="10"/>
      <c r="AH14069" s="10"/>
      <c r="AI14069" s="10"/>
    </row>
    <row r="14070" spans="28:35" ht="15" hidden="1" customHeight="1">
      <c r="AB14070" s="9"/>
      <c r="AC14070" s="9"/>
      <c r="AD14070" s="9"/>
      <c r="AF14070" s="10"/>
      <c r="AG14070" s="10"/>
      <c r="AH14070" s="10"/>
      <c r="AI14070" s="10"/>
    </row>
    <row r="14071" spans="28:35" ht="15" hidden="1" customHeight="1">
      <c r="AB14071" s="9"/>
      <c r="AC14071" s="9"/>
      <c r="AD14071" s="9"/>
      <c r="AF14071" s="10"/>
      <c r="AG14071" s="10"/>
      <c r="AH14071" s="10"/>
      <c r="AI14071" s="10"/>
    </row>
    <row r="14072" spans="28:35" ht="15" hidden="1" customHeight="1">
      <c r="AB14072" s="9"/>
      <c r="AC14072" s="9"/>
      <c r="AD14072" s="9"/>
      <c r="AF14072" s="10"/>
      <c r="AG14072" s="10"/>
      <c r="AH14072" s="10"/>
      <c r="AI14072" s="10"/>
    </row>
    <row r="14073" spans="28:35" ht="15" hidden="1" customHeight="1">
      <c r="AB14073" s="9"/>
      <c r="AC14073" s="9"/>
      <c r="AD14073" s="9"/>
      <c r="AF14073" s="10"/>
      <c r="AG14073" s="10"/>
      <c r="AH14073" s="10"/>
      <c r="AI14073" s="10"/>
    </row>
    <row r="14074" spans="28:35" ht="15" hidden="1" customHeight="1">
      <c r="AB14074" s="9"/>
      <c r="AC14074" s="9"/>
      <c r="AD14074" s="9"/>
      <c r="AF14074" s="10"/>
      <c r="AG14074" s="10"/>
      <c r="AH14074" s="10"/>
      <c r="AI14074" s="10"/>
    </row>
    <row r="14075" spans="28:35" ht="15" hidden="1" customHeight="1">
      <c r="AB14075" s="9"/>
      <c r="AC14075" s="9"/>
      <c r="AD14075" s="9"/>
      <c r="AF14075" s="10"/>
      <c r="AG14075" s="10"/>
      <c r="AH14075" s="10"/>
      <c r="AI14075" s="10"/>
    </row>
    <row r="14076" spans="28:35" ht="15" hidden="1" customHeight="1">
      <c r="AB14076" s="9"/>
      <c r="AC14076" s="9"/>
      <c r="AD14076" s="9"/>
      <c r="AF14076" s="10"/>
      <c r="AG14076" s="10"/>
      <c r="AH14076" s="10"/>
      <c r="AI14076" s="10"/>
    </row>
    <row r="14077" spans="28:35" ht="15" hidden="1" customHeight="1">
      <c r="AB14077" s="9"/>
      <c r="AC14077" s="9"/>
      <c r="AD14077" s="9"/>
      <c r="AF14077" s="10"/>
      <c r="AG14077" s="10"/>
      <c r="AH14077" s="10"/>
      <c r="AI14077" s="10"/>
    </row>
    <row r="14078" spans="28:35" ht="15" hidden="1" customHeight="1">
      <c r="AB14078" s="9"/>
      <c r="AC14078" s="9"/>
      <c r="AD14078" s="9"/>
      <c r="AF14078" s="10"/>
      <c r="AG14078" s="10"/>
      <c r="AH14078" s="10"/>
      <c r="AI14078" s="10"/>
    </row>
    <row r="14079" spans="28:35" ht="15" hidden="1" customHeight="1">
      <c r="AB14079" s="9"/>
      <c r="AC14079" s="9"/>
      <c r="AD14079" s="9"/>
      <c r="AF14079" s="10"/>
      <c r="AG14079" s="10"/>
      <c r="AH14079" s="10"/>
      <c r="AI14079" s="10"/>
    </row>
    <row r="14080" spans="28:35" ht="15" hidden="1" customHeight="1">
      <c r="AB14080" s="9"/>
      <c r="AC14080" s="9"/>
      <c r="AD14080" s="9"/>
      <c r="AF14080" s="10"/>
      <c r="AG14080" s="10"/>
      <c r="AH14080" s="10"/>
      <c r="AI14080" s="10"/>
    </row>
    <row r="14081" spans="28:35" ht="15" hidden="1" customHeight="1">
      <c r="AB14081" s="9"/>
      <c r="AC14081" s="9"/>
      <c r="AD14081" s="9"/>
      <c r="AF14081" s="10"/>
      <c r="AG14081" s="10"/>
      <c r="AH14081" s="10"/>
      <c r="AI14081" s="10"/>
    </row>
    <row r="14082" spans="28:35" ht="15" hidden="1" customHeight="1">
      <c r="AB14082" s="9"/>
      <c r="AC14082" s="9"/>
      <c r="AD14082" s="9"/>
      <c r="AF14082" s="10"/>
      <c r="AG14082" s="10"/>
      <c r="AH14082" s="10"/>
      <c r="AI14082" s="10"/>
    </row>
    <row r="14083" spans="28:35" ht="15" hidden="1" customHeight="1">
      <c r="AB14083" s="9"/>
      <c r="AC14083" s="9"/>
      <c r="AD14083" s="9"/>
      <c r="AF14083" s="10"/>
      <c r="AG14083" s="10"/>
      <c r="AH14083" s="10"/>
      <c r="AI14083" s="10"/>
    </row>
    <row r="14084" spans="28:35" ht="15" hidden="1" customHeight="1">
      <c r="AB14084" s="9"/>
      <c r="AC14084" s="9"/>
      <c r="AD14084" s="9"/>
      <c r="AF14084" s="10"/>
      <c r="AG14084" s="10"/>
      <c r="AH14084" s="10"/>
      <c r="AI14084" s="10"/>
    </row>
    <row r="14085" spans="28:35" ht="15" hidden="1" customHeight="1">
      <c r="AB14085" s="9"/>
      <c r="AC14085" s="9"/>
      <c r="AD14085" s="9"/>
      <c r="AF14085" s="10"/>
      <c r="AG14085" s="10"/>
      <c r="AH14085" s="10"/>
      <c r="AI14085" s="10"/>
    </row>
    <row r="14086" spans="28:35" ht="15" hidden="1" customHeight="1">
      <c r="AB14086" s="9"/>
      <c r="AC14086" s="9"/>
      <c r="AD14086" s="9"/>
      <c r="AF14086" s="10"/>
      <c r="AG14086" s="10"/>
      <c r="AH14086" s="10"/>
      <c r="AI14086" s="10"/>
    </row>
    <row r="14087" spans="28:35" ht="15" hidden="1" customHeight="1">
      <c r="AB14087" s="9"/>
      <c r="AC14087" s="9"/>
      <c r="AD14087" s="9"/>
      <c r="AF14087" s="10"/>
      <c r="AG14087" s="10"/>
      <c r="AH14087" s="10"/>
      <c r="AI14087" s="10"/>
    </row>
    <row r="14088" spans="28:35" ht="15" hidden="1" customHeight="1">
      <c r="AB14088" s="9"/>
      <c r="AC14088" s="9"/>
      <c r="AD14088" s="9"/>
      <c r="AF14088" s="10"/>
      <c r="AG14088" s="10"/>
      <c r="AH14088" s="10"/>
      <c r="AI14088" s="10"/>
    </row>
    <row r="14089" spans="28:35" ht="15" hidden="1" customHeight="1">
      <c r="AB14089" s="9"/>
      <c r="AC14089" s="9"/>
      <c r="AD14089" s="9"/>
      <c r="AF14089" s="10"/>
      <c r="AG14089" s="10"/>
      <c r="AH14089" s="10"/>
      <c r="AI14089" s="10"/>
    </row>
    <row r="14090" spans="28:35" ht="15" hidden="1" customHeight="1">
      <c r="AB14090" s="9"/>
      <c r="AC14090" s="9"/>
      <c r="AD14090" s="9"/>
      <c r="AF14090" s="10"/>
      <c r="AG14090" s="10"/>
      <c r="AH14090" s="10"/>
      <c r="AI14090" s="10"/>
    </row>
    <row r="14091" spans="28:35" ht="15" hidden="1" customHeight="1">
      <c r="AB14091" s="9"/>
      <c r="AC14091" s="9"/>
      <c r="AD14091" s="9"/>
      <c r="AF14091" s="10"/>
      <c r="AG14091" s="10"/>
      <c r="AH14091" s="10"/>
      <c r="AI14091" s="10"/>
    </row>
    <row r="14092" spans="28:35" ht="15" hidden="1" customHeight="1">
      <c r="AB14092" s="9"/>
      <c r="AC14092" s="9"/>
      <c r="AD14092" s="9"/>
      <c r="AF14092" s="10"/>
      <c r="AG14092" s="10"/>
      <c r="AH14092" s="10"/>
      <c r="AI14092" s="10"/>
    </row>
    <row r="14093" spans="28:35" ht="15" hidden="1" customHeight="1">
      <c r="AB14093" s="9"/>
      <c r="AC14093" s="9"/>
      <c r="AD14093" s="9"/>
      <c r="AF14093" s="10"/>
      <c r="AG14093" s="10"/>
      <c r="AH14093" s="10"/>
      <c r="AI14093" s="10"/>
    </row>
    <row r="14094" spans="28:35" ht="15" hidden="1" customHeight="1">
      <c r="AB14094" s="9"/>
      <c r="AC14094" s="9"/>
      <c r="AD14094" s="9"/>
      <c r="AF14094" s="10"/>
      <c r="AG14094" s="10"/>
      <c r="AH14094" s="10"/>
      <c r="AI14094" s="10"/>
    </row>
    <row r="14095" spans="28:35" ht="15" hidden="1" customHeight="1">
      <c r="AB14095" s="9"/>
      <c r="AC14095" s="9"/>
      <c r="AD14095" s="9"/>
      <c r="AF14095" s="10"/>
      <c r="AG14095" s="10"/>
      <c r="AH14095" s="10"/>
      <c r="AI14095" s="10"/>
    </row>
    <row r="14096" spans="28:35" ht="15" hidden="1" customHeight="1">
      <c r="AB14096" s="9"/>
      <c r="AC14096" s="9"/>
      <c r="AD14096" s="9"/>
      <c r="AF14096" s="10"/>
      <c r="AG14096" s="10"/>
      <c r="AH14096" s="10"/>
      <c r="AI14096" s="10"/>
    </row>
    <row r="14097" spans="28:35" ht="15" hidden="1" customHeight="1">
      <c r="AB14097" s="9"/>
      <c r="AC14097" s="9"/>
      <c r="AD14097" s="9"/>
      <c r="AF14097" s="10"/>
      <c r="AG14097" s="10"/>
      <c r="AH14097" s="10"/>
      <c r="AI14097" s="10"/>
    </row>
    <row r="14098" spans="28:35" ht="15" hidden="1" customHeight="1">
      <c r="AB14098" s="9"/>
      <c r="AC14098" s="9"/>
      <c r="AD14098" s="9"/>
      <c r="AF14098" s="10"/>
      <c r="AG14098" s="10"/>
      <c r="AH14098" s="10"/>
      <c r="AI14098" s="10"/>
    </row>
    <row r="14099" spans="28:35" ht="15" hidden="1" customHeight="1">
      <c r="AB14099" s="9"/>
      <c r="AC14099" s="9"/>
      <c r="AD14099" s="9"/>
      <c r="AF14099" s="10"/>
      <c r="AG14099" s="10"/>
      <c r="AH14099" s="10"/>
      <c r="AI14099" s="10"/>
    </row>
    <row r="14100" spans="28:35" ht="15" hidden="1" customHeight="1">
      <c r="AB14100" s="9"/>
      <c r="AC14100" s="9"/>
      <c r="AD14100" s="9"/>
      <c r="AF14100" s="10"/>
      <c r="AG14100" s="10"/>
      <c r="AH14100" s="10"/>
      <c r="AI14100" s="10"/>
    </row>
    <row r="14101" spans="28:35" ht="15" hidden="1" customHeight="1">
      <c r="AB14101" s="9"/>
      <c r="AC14101" s="9"/>
      <c r="AD14101" s="9"/>
      <c r="AF14101" s="10"/>
      <c r="AG14101" s="10"/>
      <c r="AH14101" s="10"/>
      <c r="AI14101" s="10"/>
    </row>
    <row r="14102" spans="28:35" ht="15" hidden="1" customHeight="1">
      <c r="AB14102" s="9"/>
      <c r="AC14102" s="9"/>
      <c r="AD14102" s="9"/>
      <c r="AF14102" s="10"/>
      <c r="AG14102" s="10"/>
      <c r="AH14102" s="10"/>
      <c r="AI14102" s="10"/>
    </row>
    <row r="14103" spans="28:35" ht="15" hidden="1" customHeight="1">
      <c r="AB14103" s="9"/>
      <c r="AC14103" s="9"/>
      <c r="AD14103" s="9"/>
      <c r="AF14103" s="10"/>
      <c r="AG14103" s="10"/>
      <c r="AH14103" s="10"/>
      <c r="AI14103" s="10"/>
    </row>
    <row r="14104" spans="28:35" ht="15" hidden="1" customHeight="1">
      <c r="AB14104" s="9"/>
      <c r="AC14104" s="9"/>
      <c r="AD14104" s="9"/>
      <c r="AF14104" s="10"/>
      <c r="AG14104" s="10"/>
      <c r="AH14104" s="10"/>
      <c r="AI14104" s="10"/>
    </row>
    <row r="14105" spans="28:35" ht="15" hidden="1" customHeight="1">
      <c r="AB14105" s="9"/>
      <c r="AC14105" s="9"/>
      <c r="AD14105" s="9"/>
      <c r="AF14105" s="10"/>
      <c r="AG14105" s="10"/>
      <c r="AH14105" s="10"/>
      <c r="AI14105" s="10"/>
    </row>
    <row r="14106" spans="28:35" ht="15" hidden="1" customHeight="1">
      <c r="AB14106" s="9"/>
      <c r="AC14106" s="9"/>
      <c r="AD14106" s="9"/>
      <c r="AF14106" s="10"/>
      <c r="AG14106" s="10"/>
      <c r="AH14106" s="10"/>
      <c r="AI14106" s="10"/>
    </row>
    <row r="14107" spans="28:35" ht="15" hidden="1" customHeight="1">
      <c r="AB14107" s="9"/>
      <c r="AC14107" s="9"/>
      <c r="AD14107" s="9"/>
      <c r="AF14107" s="10"/>
      <c r="AG14107" s="10"/>
      <c r="AH14107" s="10"/>
      <c r="AI14107" s="10"/>
    </row>
    <row r="14108" spans="28:35" ht="15" hidden="1" customHeight="1">
      <c r="AB14108" s="9"/>
      <c r="AC14108" s="9"/>
      <c r="AD14108" s="9"/>
      <c r="AF14108" s="10"/>
      <c r="AG14108" s="10"/>
      <c r="AH14108" s="10"/>
      <c r="AI14108" s="10"/>
    </row>
    <row r="14109" spans="28:35" ht="15" hidden="1" customHeight="1">
      <c r="AB14109" s="9"/>
      <c r="AC14109" s="9"/>
      <c r="AD14109" s="9"/>
      <c r="AF14109" s="10"/>
      <c r="AG14109" s="10"/>
      <c r="AH14109" s="10"/>
      <c r="AI14109" s="10"/>
    </row>
    <row r="14110" spans="28:35" ht="15" hidden="1" customHeight="1">
      <c r="AB14110" s="9"/>
      <c r="AC14110" s="9"/>
      <c r="AD14110" s="9"/>
      <c r="AF14110" s="10"/>
      <c r="AG14110" s="10"/>
      <c r="AH14110" s="10"/>
      <c r="AI14110" s="10"/>
    </row>
    <row r="14111" spans="28:35" ht="15" hidden="1" customHeight="1">
      <c r="AB14111" s="9"/>
      <c r="AC14111" s="9"/>
      <c r="AD14111" s="9"/>
      <c r="AF14111" s="10"/>
      <c r="AG14111" s="10"/>
      <c r="AH14111" s="10"/>
      <c r="AI14111" s="10"/>
    </row>
    <row r="14112" spans="28:35" ht="15" hidden="1" customHeight="1">
      <c r="AB14112" s="9"/>
      <c r="AC14112" s="9"/>
      <c r="AD14112" s="9"/>
      <c r="AF14112" s="10"/>
      <c r="AG14112" s="10"/>
      <c r="AH14112" s="10"/>
      <c r="AI14112" s="10"/>
    </row>
    <row r="14113" spans="28:35" ht="15" hidden="1" customHeight="1">
      <c r="AB14113" s="9"/>
      <c r="AC14113" s="9"/>
      <c r="AD14113" s="9"/>
      <c r="AF14113" s="10"/>
      <c r="AG14113" s="10"/>
      <c r="AH14113" s="10"/>
      <c r="AI14113" s="10"/>
    </row>
    <row r="14114" spans="28:35" ht="15" hidden="1" customHeight="1">
      <c r="AB14114" s="9"/>
      <c r="AC14114" s="9"/>
      <c r="AD14114" s="9"/>
      <c r="AF14114" s="10"/>
      <c r="AG14114" s="10"/>
      <c r="AH14114" s="10"/>
      <c r="AI14114" s="10"/>
    </row>
    <row r="14115" spans="28:35" ht="15" hidden="1" customHeight="1">
      <c r="AB14115" s="9"/>
      <c r="AC14115" s="9"/>
      <c r="AD14115" s="9"/>
      <c r="AF14115" s="10"/>
      <c r="AG14115" s="10"/>
      <c r="AH14115" s="10"/>
      <c r="AI14115" s="10"/>
    </row>
    <row r="14116" spans="28:35" ht="15" hidden="1" customHeight="1">
      <c r="AB14116" s="9"/>
      <c r="AC14116" s="9"/>
      <c r="AD14116" s="9"/>
      <c r="AF14116" s="10"/>
      <c r="AG14116" s="10"/>
      <c r="AH14116" s="10"/>
      <c r="AI14116" s="10"/>
    </row>
    <row r="14117" spans="28:35" ht="15" hidden="1" customHeight="1">
      <c r="AB14117" s="9"/>
      <c r="AC14117" s="9"/>
      <c r="AD14117" s="9"/>
      <c r="AF14117" s="10"/>
      <c r="AG14117" s="10"/>
      <c r="AH14117" s="10"/>
      <c r="AI14117" s="10"/>
    </row>
    <row r="14118" spans="28:35" ht="15" hidden="1" customHeight="1">
      <c r="AB14118" s="9"/>
      <c r="AC14118" s="9"/>
      <c r="AD14118" s="9"/>
      <c r="AF14118" s="10"/>
      <c r="AG14118" s="10"/>
      <c r="AH14118" s="10"/>
      <c r="AI14118" s="10"/>
    </row>
    <row r="14119" spans="28:35" ht="15" hidden="1" customHeight="1">
      <c r="AB14119" s="9"/>
      <c r="AC14119" s="9"/>
      <c r="AD14119" s="9"/>
      <c r="AF14119" s="10"/>
      <c r="AG14119" s="10"/>
      <c r="AH14119" s="10"/>
      <c r="AI14119" s="10"/>
    </row>
    <row r="14120" spans="28:35" ht="15" hidden="1" customHeight="1">
      <c r="AB14120" s="9"/>
      <c r="AC14120" s="9"/>
      <c r="AD14120" s="9"/>
      <c r="AF14120" s="10"/>
      <c r="AG14120" s="10"/>
      <c r="AH14120" s="10"/>
      <c r="AI14120" s="10"/>
    </row>
    <row r="14121" spans="28:35" ht="15" hidden="1" customHeight="1">
      <c r="AB14121" s="9"/>
      <c r="AC14121" s="9"/>
      <c r="AD14121" s="9"/>
      <c r="AF14121" s="10"/>
      <c r="AG14121" s="10"/>
      <c r="AH14121" s="10"/>
      <c r="AI14121" s="10"/>
    </row>
    <row r="14122" spans="28:35" ht="15" hidden="1" customHeight="1">
      <c r="AB14122" s="9"/>
      <c r="AC14122" s="9"/>
      <c r="AD14122" s="9"/>
      <c r="AF14122" s="10"/>
      <c r="AG14122" s="10"/>
      <c r="AH14122" s="10"/>
      <c r="AI14122" s="10"/>
    </row>
    <row r="14123" spans="28:35" ht="15" hidden="1" customHeight="1">
      <c r="AB14123" s="9"/>
      <c r="AC14123" s="9"/>
      <c r="AD14123" s="9"/>
      <c r="AF14123" s="10"/>
      <c r="AG14123" s="10"/>
      <c r="AH14123" s="10"/>
      <c r="AI14123" s="10"/>
    </row>
    <row r="14124" spans="28:35" ht="15" hidden="1" customHeight="1">
      <c r="AB14124" s="9"/>
      <c r="AC14124" s="9"/>
      <c r="AD14124" s="9"/>
      <c r="AF14124" s="10"/>
      <c r="AG14124" s="10"/>
      <c r="AH14124" s="10"/>
      <c r="AI14124" s="10"/>
    </row>
    <row r="14125" spans="28:35" ht="15" hidden="1" customHeight="1">
      <c r="AB14125" s="9"/>
      <c r="AC14125" s="9"/>
      <c r="AD14125" s="9"/>
      <c r="AF14125" s="10"/>
      <c r="AG14125" s="10"/>
      <c r="AH14125" s="10"/>
      <c r="AI14125" s="10"/>
    </row>
    <row r="14126" spans="28:35" ht="15" hidden="1" customHeight="1">
      <c r="AB14126" s="9"/>
      <c r="AC14126" s="9"/>
      <c r="AD14126" s="9"/>
      <c r="AF14126" s="10"/>
      <c r="AG14126" s="10"/>
      <c r="AH14126" s="10"/>
      <c r="AI14126" s="10"/>
    </row>
    <row r="14127" spans="28:35" ht="15" hidden="1" customHeight="1">
      <c r="AB14127" s="9"/>
      <c r="AC14127" s="9"/>
      <c r="AD14127" s="9"/>
      <c r="AF14127" s="10"/>
      <c r="AG14127" s="10"/>
      <c r="AH14127" s="10"/>
      <c r="AI14127" s="10"/>
    </row>
    <row r="14128" spans="28:35" ht="15" hidden="1" customHeight="1">
      <c r="AB14128" s="9"/>
      <c r="AC14128" s="9"/>
      <c r="AD14128" s="9"/>
      <c r="AF14128" s="10"/>
      <c r="AG14128" s="10"/>
      <c r="AH14128" s="10"/>
      <c r="AI14128" s="10"/>
    </row>
    <row r="14129" spans="28:35" ht="15" hidden="1" customHeight="1">
      <c r="AB14129" s="9"/>
      <c r="AC14129" s="9"/>
      <c r="AD14129" s="9"/>
      <c r="AF14129" s="10"/>
      <c r="AG14129" s="10"/>
      <c r="AH14129" s="10"/>
      <c r="AI14129" s="10"/>
    </row>
    <row r="14130" spans="28:35" ht="15" hidden="1" customHeight="1">
      <c r="AB14130" s="9"/>
      <c r="AC14130" s="9"/>
      <c r="AD14130" s="9"/>
      <c r="AF14130" s="10"/>
      <c r="AG14130" s="10"/>
      <c r="AH14130" s="10"/>
      <c r="AI14130" s="10"/>
    </row>
    <row r="14131" spans="28:35" ht="15" hidden="1" customHeight="1">
      <c r="AB14131" s="9"/>
      <c r="AC14131" s="9"/>
      <c r="AD14131" s="9"/>
      <c r="AF14131" s="10"/>
      <c r="AG14131" s="10"/>
      <c r="AH14131" s="10"/>
      <c r="AI14131" s="10"/>
    </row>
    <row r="14132" spans="28:35" ht="15" hidden="1" customHeight="1">
      <c r="AB14132" s="9"/>
      <c r="AC14132" s="9"/>
      <c r="AD14132" s="9"/>
      <c r="AF14132" s="10"/>
      <c r="AG14132" s="10"/>
      <c r="AH14132" s="10"/>
      <c r="AI14132" s="10"/>
    </row>
    <row r="14133" spans="28:35" ht="15" hidden="1" customHeight="1">
      <c r="AB14133" s="9"/>
      <c r="AC14133" s="9"/>
      <c r="AD14133" s="9"/>
      <c r="AF14133" s="10"/>
      <c r="AG14133" s="10"/>
      <c r="AH14133" s="10"/>
      <c r="AI14133" s="10"/>
    </row>
    <row r="14134" spans="28:35" ht="15" hidden="1" customHeight="1">
      <c r="AB14134" s="9"/>
      <c r="AC14134" s="9"/>
      <c r="AD14134" s="9"/>
      <c r="AF14134" s="10"/>
      <c r="AG14134" s="10"/>
      <c r="AH14134" s="10"/>
      <c r="AI14134" s="10"/>
    </row>
    <row r="14135" spans="28:35" ht="15" hidden="1" customHeight="1">
      <c r="AB14135" s="9"/>
      <c r="AC14135" s="9"/>
      <c r="AD14135" s="9"/>
      <c r="AF14135" s="10"/>
      <c r="AG14135" s="10"/>
      <c r="AH14135" s="10"/>
      <c r="AI14135" s="10"/>
    </row>
    <row r="14136" spans="28:35" ht="15" hidden="1" customHeight="1">
      <c r="AB14136" s="9"/>
      <c r="AC14136" s="9"/>
      <c r="AD14136" s="9"/>
      <c r="AF14136" s="10"/>
      <c r="AG14136" s="10"/>
      <c r="AH14136" s="10"/>
      <c r="AI14136" s="10"/>
    </row>
    <row r="14137" spans="28:35" ht="15" hidden="1" customHeight="1">
      <c r="AB14137" s="9"/>
      <c r="AC14137" s="9"/>
      <c r="AD14137" s="9"/>
      <c r="AF14137" s="10"/>
      <c r="AG14137" s="10"/>
      <c r="AH14137" s="10"/>
      <c r="AI14137" s="10"/>
    </row>
    <row r="14138" spans="28:35" ht="15" hidden="1" customHeight="1">
      <c r="AB14138" s="9"/>
      <c r="AC14138" s="9"/>
      <c r="AD14138" s="9"/>
      <c r="AF14138" s="10"/>
      <c r="AG14138" s="10"/>
      <c r="AH14138" s="10"/>
      <c r="AI14138" s="10"/>
    </row>
    <row r="14139" spans="28:35" ht="15" hidden="1" customHeight="1">
      <c r="AB14139" s="9"/>
      <c r="AC14139" s="9"/>
      <c r="AD14139" s="9"/>
      <c r="AF14139" s="10"/>
      <c r="AG14139" s="10"/>
      <c r="AH14139" s="10"/>
      <c r="AI14139" s="10"/>
    </row>
    <row r="14140" spans="28:35" ht="15" hidden="1" customHeight="1">
      <c r="AB14140" s="9"/>
      <c r="AC14140" s="9"/>
      <c r="AD14140" s="9"/>
      <c r="AF14140" s="10"/>
      <c r="AG14140" s="10"/>
      <c r="AH14140" s="10"/>
      <c r="AI14140" s="10"/>
    </row>
    <row r="14141" spans="28:35" ht="15" hidden="1" customHeight="1">
      <c r="AB14141" s="9"/>
      <c r="AC14141" s="9"/>
      <c r="AD14141" s="9"/>
      <c r="AF14141" s="10"/>
      <c r="AG14141" s="10"/>
      <c r="AH14141" s="10"/>
      <c r="AI14141" s="10"/>
    </row>
    <row r="14142" spans="28:35" ht="15" hidden="1" customHeight="1">
      <c r="AB14142" s="9"/>
      <c r="AC14142" s="9"/>
      <c r="AD14142" s="9"/>
      <c r="AF14142" s="10"/>
      <c r="AG14142" s="10"/>
      <c r="AH14142" s="10"/>
      <c r="AI14142" s="10"/>
    </row>
    <row r="14143" spans="28:35" ht="15" hidden="1" customHeight="1">
      <c r="AB14143" s="9"/>
      <c r="AC14143" s="9"/>
      <c r="AD14143" s="9"/>
      <c r="AF14143" s="10"/>
      <c r="AG14143" s="10"/>
      <c r="AH14143" s="10"/>
      <c r="AI14143" s="10"/>
    </row>
    <row r="14144" spans="28:35" ht="15" hidden="1" customHeight="1">
      <c r="AB14144" s="9"/>
      <c r="AC14144" s="9"/>
      <c r="AD14144" s="9"/>
      <c r="AF14144" s="10"/>
      <c r="AG14144" s="10"/>
      <c r="AH14144" s="10"/>
      <c r="AI14144" s="10"/>
    </row>
    <row r="14145" spans="28:35" ht="15" hidden="1" customHeight="1">
      <c r="AB14145" s="9"/>
      <c r="AC14145" s="9"/>
      <c r="AD14145" s="9"/>
      <c r="AF14145" s="10"/>
      <c r="AG14145" s="10"/>
      <c r="AH14145" s="10"/>
      <c r="AI14145" s="10"/>
    </row>
    <row r="14146" spans="28:35" ht="15" hidden="1" customHeight="1">
      <c r="AB14146" s="9"/>
      <c r="AC14146" s="9"/>
      <c r="AD14146" s="9"/>
      <c r="AF14146" s="10"/>
      <c r="AG14146" s="10"/>
      <c r="AH14146" s="10"/>
      <c r="AI14146" s="10"/>
    </row>
    <row r="14147" spans="28:35" ht="15" hidden="1" customHeight="1">
      <c r="AB14147" s="9"/>
      <c r="AC14147" s="9"/>
      <c r="AD14147" s="9"/>
      <c r="AF14147" s="10"/>
      <c r="AG14147" s="10"/>
      <c r="AH14147" s="10"/>
      <c r="AI14147" s="10"/>
    </row>
    <row r="14148" spans="28:35" ht="15" hidden="1" customHeight="1">
      <c r="AB14148" s="9"/>
      <c r="AC14148" s="9"/>
      <c r="AD14148" s="9"/>
      <c r="AF14148" s="10"/>
      <c r="AG14148" s="10"/>
      <c r="AH14148" s="10"/>
      <c r="AI14148" s="10"/>
    </row>
    <row r="14149" spans="28:35" ht="15" hidden="1" customHeight="1">
      <c r="AB14149" s="9"/>
      <c r="AC14149" s="9"/>
      <c r="AD14149" s="9"/>
      <c r="AF14149" s="10"/>
      <c r="AG14149" s="10"/>
      <c r="AH14149" s="10"/>
      <c r="AI14149" s="10"/>
    </row>
    <row r="14150" spans="28:35" ht="15" hidden="1" customHeight="1">
      <c r="AB14150" s="9"/>
      <c r="AC14150" s="9"/>
      <c r="AD14150" s="9"/>
      <c r="AF14150" s="10"/>
      <c r="AG14150" s="10"/>
      <c r="AH14150" s="10"/>
      <c r="AI14150" s="10"/>
    </row>
    <row r="14151" spans="28:35" ht="15" hidden="1" customHeight="1">
      <c r="AB14151" s="9"/>
      <c r="AC14151" s="9"/>
      <c r="AD14151" s="9"/>
      <c r="AF14151" s="10"/>
      <c r="AG14151" s="10"/>
      <c r="AH14151" s="10"/>
      <c r="AI14151" s="10"/>
    </row>
    <row r="14152" spans="28:35" ht="15" hidden="1" customHeight="1">
      <c r="AB14152" s="9"/>
      <c r="AC14152" s="9"/>
      <c r="AD14152" s="9"/>
      <c r="AF14152" s="10"/>
      <c r="AG14152" s="10"/>
      <c r="AH14152" s="10"/>
      <c r="AI14152" s="10"/>
    </row>
    <row r="14153" spans="28:35" ht="15" hidden="1" customHeight="1">
      <c r="AB14153" s="9"/>
      <c r="AC14153" s="9"/>
      <c r="AD14153" s="9"/>
      <c r="AF14153" s="10"/>
      <c r="AG14153" s="10"/>
      <c r="AH14153" s="10"/>
      <c r="AI14153" s="10"/>
    </row>
    <row r="14154" spans="28:35" ht="15" hidden="1" customHeight="1">
      <c r="AB14154" s="9"/>
      <c r="AC14154" s="9"/>
      <c r="AD14154" s="9"/>
      <c r="AF14154" s="10"/>
      <c r="AG14154" s="10"/>
      <c r="AH14154" s="10"/>
      <c r="AI14154" s="10"/>
    </row>
    <row r="14155" spans="28:35" ht="15" hidden="1" customHeight="1">
      <c r="AB14155" s="9"/>
      <c r="AC14155" s="9"/>
      <c r="AD14155" s="9"/>
      <c r="AF14155" s="10"/>
      <c r="AG14155" s="10"/>
      <c r="AH14155" s="10"/>
      <c r="AI14155" s="10"/>
    </row>
    <row r="14156" spans="28:35" ht="15" hidden="1" customHeight="1">
      <c r="AB14156" s="9"/>
      <c r="AC14156" s="9"/>
      <c r="AD14156" s="9"/>
      <c r="AF14156" s="10"/>
      <c r="AG14156" s="10"/>
      <c r="AH14156" s="10"/>
      <c r="AI14156" s="10"/>
    </row>
    <row r="14157" spans="28:35" ht="15" hidden="1" customHeight="1">
      <c r="AB14157" s="9"/>
      <c r="AC14157" s="9"/>
      <c r="AD14157" s="9"/>
      <c r="AF14157" s="10"/>
      <c r="AG14157" s="10"/>
      <c r="AH14157" s="10"/>
      <c r="AI14157" s="10"/>
    </row>
    <row r="14158" spans="28:35" ht="15" hidden="1" customHeight="1">
      <c r="AB14158" s="9"/>
      <c r="AC14158" s="9"/>
      <c r="AD14158" s="9"/>
      <c r="AF14158" s="10"/>
      <c r="AG14158" s="10"/>
      <c r="AH14158" s="10"/>
      <c r="AI14158" s="10"/>
    </row>
    <row r="14159" spans="28:35" ht="15" hidden="1" customHeight="1">
      <c r="AB14159" s="9"/>
      <c r="AC14159" s="9"/>
      <c r="AD14159" s="9"/>
      <c r="AF14159" s="10"/>
      <c r="AG14159" s="10"/>
      <c r="AH14159" s="10"/>
      <c r="AI14159" s="10"/>
    </row>
    <row r="14160" spans="28:35" ht="15" hidden="1" customHeight="1">
      <c r="AB14160" s="9"/>
      <c r="AC14160" s="9"/>
      <c r="AD14160" s="9"/>
      <c r="AF14160" s="10"/>
      <c r="AG14160" s="10"/>
      <c r="AH14160" s="10"/>
      <c r="AI14160" s="10"/>
    </row>
    <row r="14161" spans="28:35" ht="15" hidden="1" customHeight="1">
      <c r="AB14161" s="9"/>
      <c r="AC14161" s="9"/>
      <c r="AD14161" s="9"/>
      <c r="AF14161" s="10"/>
      <c r="AG14161" s="10"/>
      <c r="AH14161" s="10"/>
      <c r="AI14161" s="10"/>
    </row>
    <row r="14162" spans="28:35" ht="15" hidden="1" customHeight="1">
      <c r="AB14162" s="9"/>
      <c r="AC14162" s="9"/>
      <c r="AD14162" s="9"/>
      <c r="AF14162" s="10"/>
      <c r="AG14162" s="10"/>
      <c r="AH14162" s="10"/>
      <c r="AI14162" s="10"/>
    </row>
    <row r="14163" spans="28:35" ht="15" hidden="1" customHeight="1">
      <c r="AB14163" s="9"/>
      <c r="AC14163" s="9"/>
      <c r="AD14163" s="9"/>
      <c r="AF14163" s="10"/>
      <c r="AG14163" s="10"/>
      <c r="AH14163" s="10"/>
      <c r="AI14163" s="10"/>
    </row>
    <row r="14164" spans="28:35" ht="15" hidden="1" customHeight="1">
      <c r="AB14164" s="9"/>
      <c r="AC14164" s="9"/>
      <c r="AD14164" s="9"/>
      <c r="AF14164" s="10"/>
      <c r="AG14164" s="10"/>
      <c r="AH14164" s="10"/>
      <c r="AI14164" s="10"/>
    </row>
    <row r="14165" spans="28:35" ht="15" hidden="1" customHeight="1">
      <c r="AB14165" s="9"/>
      <c r="AC14165" s="9"/>
      <c r="AD14165" s="9"/>
      <c r="AF14165" s="10"/>
      <c r="AG14165" s="10"/>
      <c r="AH14165" s="10"/>
      <c r="AI14165" s="10"/>
    </row>
    <row r="14166" spans="28:35" ht="15" hidden="1" customHeight="1">
      <c r="AB14166" s="9"/>
      <c r="AC14166" s="9"/>
      <c r="AD14166" s="9"/>
      <c r="AF14166" s="10"/>
      <c r="AG14166" s="10"/>
      <c r="AH14166" s="10"/>
      <c r="AI14166" s="10"/>
    </row>
    <row r="14167" spans="28:35" ht="15" hidden="1" customHeight="1">
      <c r="AB14167" s="9"/>
      <c r="AC14167" s="9"/>
      <c r="AD14167" s="9"/>
      <c r="AF14167" s="10"/>
      <c r="AG14167" s="10"/>
      <c r="AH14167" s="10"/>
      <c r="AI14167" s="10"/>
    </row>
    <row r="14168" spans="28:35" ht="15" hidden="1" customHeight="1">
      <c r="AB14168" s="9"/>
      <c r="AC14168" s="9"/>
      <c r="AD14168" s="9"/>
      <c r="AF14168" s="10"/>
      <c r="AG14168" s="10"/>
      <c r="AH14168" s="10"/>
      <c r="AI14168" s="10"/>
    </row>
    <row r="14169" spans="28:35" ht="15" hidden="1" customHeight="1">
      <c r="AB14169" s="9"/>
      <c r="AC14169" s="9"/>
      <c r="AD14169" s="9"/>
      <c r="AF14169" s="10"/>
      <c r="AG14169" s="10"/>
      <c r="AH14169" s="10"/>
      <c r="AI14169" s="10"/>
    </row>
    <row r="14170" spans="28:35" ht="15" hidden="1" customHeight="1">
      <c r="AB14170" s="9"/>
      <c r="AC14170" s="9"/>
      <c r="AD14170" s="9"/>
      <c r="AF14170" s="10"/>
      <c r="AG14170" s="10"/>
      <c r="AH14170" s="10"/>
      <c r="AI14170" s="10"/>
    </row>
    <row r="14171" spans="28:35" ht="15" hidden="1" customHeight="1">
      <c r="AB14171" s="9"/>
      <c r="AC14171" s="9"/>
      <c r="AD14171" s="9"/>
      <c r="AF14171" s="10"/>
      <c r="AG14171" s="10"/>
      <c r="AH14171" s="10"/>
      <c r="AI14171" s="10"/>
    </row>
    <row r="14172" spans="28:35" ht="15" hidden="1" customHeight="1">
      <c r="AB14172" s="9"/>
      <c r="AC14172" s="9"/>
      <c r="AD14172" s="9"/>
      <c r="AF14172" s="10"/>
      <c r="AG14172" s="10"/>
      <c r="AH14172" s="10"/>
      <c r="AI14172" s="10"/>
    </row>
    <row r="14173" spans="28:35" ht="15" hidden="1" customHeight="1">
      <c r="AB14173" s="9"/>
      <c r="AC14173" s="9"/>
      <c r="AD14173" s="9"/>
      <c r="AF14173" s="10"/>
      <c r="AG14173" s="10"/>
      <c r="AH14173" s="10"/>
      <c r="AI14173" s="10"/>
    </row>
    <row r="14174" spans="28:35" ht="15" hidden="1" customHeight="1">
      <c r="AB14174" s="9"/>
      <c r="AC14174" s="9"/>
      <c r="AD14174" s="9"/>
      <c r="AF14174" s="10"/>
      <c r="AG14174" s="10"/>
      <c r="AH14174" s="10"/>
      <c r="AI14174" s="10"/>
    </row>
    <row r="14175" spans="28:35" ht="15" hidden="1" customHeight="1">
      <c r="AB14175" s="9"/>
      <c r="AC14175" s="9"/>
      <c r="AD14175" s="9"/>
      <c r="AF14175" s="10"/>
      <c r="AG14175" s="10"/>
      <c r="AH14175" s="10"/>
      <c r="AI14175" s="10"/>
    </row>
    <row r="14176" spans="28:35" ht="15" hidden="1" customHeight="1">
      <c r="AB14176" s="9"/>
      <c r="AC14176" s="9"/>
      <c r="AD14176" s="9"/>
      <c r="AF14176" s="10"/>
      <c r="AG14176" s="10"/>
      <c r="AH14176" s="10"/>
      <c r="AI14176" s="10"/>
    </row>
    <row r="14177" spans="28:35" ht="15" hidden="1" customHeight="1">
      <c r="AB14177" s="9"/>
      <c r="AC14177" s="9"/>
      <c r="AD14177" s="9"/>
      <c r="AF14177" s="10"/>
      <c r="AG14177" s="10"/>
      <c r="AH14177" s="10"/>
      <c r="AI14177" s="10"/>
    </row>
    <row r="14178" spans="28:35" ht="15" hidden="1" customHeight="1">
      <c r="AB14178" s="9"/>
      <c r="AC14178" s="9"/>
      <c r="AD14178" s="9"/>
      <c r="AF14178" s="10"/>
      <c r="AG14178" s="10"/>
      <c r="AH14178" s="10"/>
      <c r="AI14178" s="10"/>
    </row>
    <row r="14179" spans="28:35" ht="15" hidden="1" customHeight="1">
      <c r="AB14179" s="9"/>
      <c r="AC14179" s="9"/>
      <c r="AD14179" s="9"/>
      <c r="AF14179" s="10"/>
      <c r="AG14179" s="10"/>
      <c r="AH14179" s="10"/>
      <c r="AI14179" s="10"/>
    </row>
    <row r="14180" spans="28:35" ht="15" hidden="1" customHeight="1">
      <c r="AB14180" s="9"/>
      <c r="AC14180" s="9"/>
      <c r="AD14180" s="9"/>
      <c r="AF14180" s="10"/>
      <c r="AG14180" s="10"/>
      <c r="AH14180" s="10"/>
      <c r="AI14180" s="10"/>
    </row>
    <row r="14181" spans="28:35" ht="15" hidden="1" customHeight="1">
      <c r="AB14181" s="9"/>
      <c r="AC14181" s="9"/>
      <c r="AD14181" s="9"/>
      <c r="AF14181" s="10"/>
      <c r="AG14181" s="10"/>
      <c r="AH14181" s="10"/>
      <c r="AI14181" s="10"/>
    </row>
    <row r="14182" spans="28:35" ht="15" hidden="1" customHeight="1">
      <c r="AB14182" s="9"/>
      <c r="AC14182" s="9"/>
      <c r="AD14182" s="9"/>
      <c r="AF14182" s="10"/>
      <c r="AG14182" s="10"/>
      <c r="AH14182" s="10"/>
      <c r="AI14182" s="10"/>
    </row>
    <row r="14183" spans="28:35" ht="15" hidden="1" customHeight="1">
      <c r="AB14183" s="9"/>
      <c r="AC14183" s="9"/>
      <c r="AD14183" s="9"/>
      <c r="AF14183" s="10"/>
      <c r="AG14183" s="10"/>
      <c r="AH14183" s="10"/>
      <c r="AI14183" s="10"/>
    </row>
    <row r="14184" spans="28:35" ht="15" hidden="1" customHeight="1">
      <c r="AB14184" s="9"/>
      <c r="AC14184" s="9"/>
      <c r="AD14184" s="9"/>
      <c r="AF14184" s="10"/>
      <c r="AG14184" s="10"/>
      <c r="AH14184" s="10"/>
      <c r="AI14184" s="10"/>
    </row>
    <row r="14185" spans="28:35" ht="15" hidden="1" customHeight="1">
      <c r="AB14185" s="9"/>
      <c r="AC14185" s="9"/>
      <c r="AD14185" s="9"/>
      <c r="AF14185" s="10"/>
      <c r="AG14185" s="10"/>
      <c r="AH14185" s="10"/>
      <c r="AI14185" s="10"/>
    </row>
    <row r="14186" spans="28:35" ht="15" hidden="1" customHeight="1">
      <c r="AB14186" s="9"/>
      <c r="AC14186" s="9"/>
      <c r="AD14186" s="9"/>
      <c r="AF14186" s="10"/>
      <c r="AG14186" s="10"/>
      <c r="AH14186" s="10"/>
      <c r="AI14186" s="10"/>
    </row>
    <row r="14187" spans="28:35" ht="15" hidden="1" customHeight="1">
      <c r="AB14187" s="9"/>
      <c r="AC14187" s="9"/>
      <c r="AD14187" s="9"/>
      <c r="AF14187" s="10"/>
      <c r="AG14187" s="10"/>
      <c r="AH14187" s="10"/>
      <c r="AI14187" s="10"/>
    </row>
    <row r="14188" spans="28:35" ht="15" hidden="1" customHeight="1">
      <c r="AB14188" s="9"/>
      <c r="AC14188" s="9"/>
      <c r="AD14188" s="9"/>
      <c r="AF14188" s="10"/>
      <c r="AG14188" s="10"/>
      <c r="AH14188" s="10"/>
      <c r="AI14188" s="10"/>
    </row>
    <row r="14189" spans="28:35" ht="15" hidden="1" customHeight="1">
      <c r="AB14189" s="9"/>
      <c r="AC14189" s="9"/>
      <c r="AD14189" s="9"/>
      <c r="AF14189" s="10"/>
      <c r="AG14189" s="10"/>
      <c r="AH14189" s="10"/>
      <c r="AI14189" s="10"/>
    </row>
    <row r="14190" spans="28:35" ht="15" hidden="1" customHeight="1">
      <c r="AB14190" s="9"/>
      <c r="AC14190" s="9"/>
      <c r="AD14190" s="9"/>
      <c r="AF14190" s="10"/>
      <c r="AG14190" s="10"/>
      <c r="AH14190" s="10"/>
      <c r="AI14190" s="10"/>
    </row>
    <row r="14191" spans="28:35" ht="15" hidden="1" customHeight="1">
      <c r="AB14191" s="9"/>
      <c r="AC14191" s="9"/>
      <c r="AD14191" s="9"/>
      <c r="AF14191" s="10"/>
      <c r="AG14191" s="10"/>
      <c r="AH14191" s="10"/>
      <c r="AI14191" s="10"/>
    </row>
    <row r="14192" spans="28:35" ht="15" hidden="1" customHeight="1">
      <c r="AB14192" s="9"/>
      <c r="AC14192" s="9"/>
      <c r="AD14192" s="9"/>
      <c r="AF14192" s="10"/>
      <c r="AG14192" s="10"/>
      <c r="AH14192" s="10"/>
      <c r="AI14192" s="10"/>
    </row>
    <row r="14193" spans="28:35" ht="15" hidden="1" customHeight="1">
      <c r="AB14193" s="9"/>
      <c r="AC14193" s="9"/>
      <c r="AD14193" s="9"/>
      <c r="AF14193" s="10"/>
      <c r="AG14193" s="10"/>
      <c r="AH14193" s="10"/>
      <c r="AI14193" s="10"/>
    </row>
    <row r="14194" spans="28:35" ht="15" hidden="1" customHeight="1">
      <c r="AB14194" s="9"/>
      <c r="AC14194" s="9"/>
      <c r="AD14194" s="9"/>
      <c r="AF14194" s="10"/>
      <c r="AG14194" s="10"/>
      <c r="AH14194" s="10"/>
      <c r="AI14194" s="10"/>
    </row>
    <row r="14195" spans="28:35" ht="15" hidden="1" customHeight="1">
      <c r="AB14195" s="9"/>
      <c r="AC14195" s="9"/>
      <c r="AD14195" s="9"/>
      <c r="AF14195" s="10"/>
      <c r="AG14195" s="10"/>
      <c r="AH14195" s="10"/>
      <c r="AI14195" s="10"/>
    </row>
    <row r="14196" spans="28:35" ht="15" hidden="1" customHeight="1">
      <c r="AB14196" s="9"/>
      <c r="AC14196" s="9"/>
      <c r="AD14196" s="9"/>
      <c r="AF14196" s="10"/>
      <c r="AG14196" s="10"/>
      <c r="AH14196" s="10"/>
      <c r="AI14196" s="10"/>
    </row>
    <row r="14197" spans="28:35" ht="15" hidden="1" customHeight="1">
      <c r="AB14197" s="9"/>
      <c r="AC14197" s="9"/>
      <c r="AD14197" s="9"/>
      <c r="AF14197" s="10"/>
      <c r="AG14197" s="10"/>
      <c r="AH14197" s="10"/>
      <c r="AI14197" s="10"/>
    </row>
    <row r="14198" spans="28:35" ht="15" hidden="1" customHeight="1">
      <c r="AB14198" s="9"/>
      <c r="AC14198" s="9"/>
      <c r="AD14198" s="9"/>
      <c r="AF14198" s="10"/>
      <c r="AG14198" s="10"/>
      <c r="AH14198" s="10"/>
      <c r="AI14198" s="10"/>
    </row>
    <row r="14199" spans="28:35" ht="15" hidden="1" customHeight="1">
      <c r="AB14199" s="9"/>
      <c r="AC14199" s="9"/>
      <c r="AD14199" s="9"/>
      <c r="AF14199" s="10"/>
      <c r="AG14199" s="10"/>
      <c r="AH14199" s="10"/>
      <c r="AI14199" s="10"/>
    </row>
    <row r="14200" spans="28:35" ht="15" hidden="1" customHeight="1">
      <c r="AB14200" s="9"/>
      <c r="AC14200" s="9"/>
      <c r="AD14200" s="9"/>
      <c r="AF14200" s="10"/>
      <c r="AG14200" s="10"/>
      <c r="AH14200" s="10"/>
      <c r="AI14200" s="10"/>
    </row>
    <row r="14201" spans="28:35" ht="15" hidden="1" customHeight="1">
      <c r="AB14201" s="9"/>
      <c r="AC14201" s="9"/>
      <c r="AD14201" s="9"/>
      <c r="AF14201" s="10"/>
      <c r="AG14201" s="10"/>
      <c r="AH14201" s="10"/>
      <c r="AI14201" s="10"/>
    </row>
    <row r="14202" spans="28:35" ht="15" hidden="1" customHeight="1">
      <c r="AB14202" s="9"/>
      <c r="AC14202" s="9"/>
      <c r="AD14202" s="9"/>
      <c r="AF14202" s="10"/>
      <c r="AG14202" s="10"/>
      <c r="AH14202" s="10"/>
      <c r="AI14202" s="10"/>
    </row>
    <row r="14203" spans="28:35" ht="15" hidden="1" customHeight="1">
      <c r="AB14203" s="9"/>
      <c r="AC14203" s="9"/>
      <c r="AD14203" s="9"/>
      <c r="AF14203" s="10"/>
      <c r="AG14203" s="10"/>
      <c r="AH14203" s="10"/>
      <c r="AI14203" s="10"/>
    </row>
    <row r="14204" spans="28:35" ht="15" hidden="1" customHeight="1">
      <c r="AB14204" s="9"/>
      <c r="AC14204" s="9"/>
      <c r="AD14204" s="9"/>
      <c r="AF14204" s="10"/>
      <c r="AG14204" s="10"/>
      <c r="AH14204" s="10"/>
      <c r="AI14204" s="10"/>
    </row>
    <row r="14205" spans="28:35" ht="15" hidden="1" customHeight="1">
      <c r="AB14205" s="9"/>
      <c r="AC14205" s="9"/>
      <c r="AD14205" s="9"/>
      <c r="AF14205" s="10"/>
      <c r="AG14205" s="10"/>
      <c r="AH14205" s="10"/>
      <c r="AI14205" s="10"/>
    </row>
    <row r="14206" spans="28:35" ht="15" hidden="1" customHeight="1">
      <c r="AB14206" s="9"/>
      <c r="AC14206" s="9"/>
      <c r="AD14206" s="9"/>
      <c r="AF14206" s="10"/>
      <c r="AG14206" s="10"/>
      <c r="AH14206" s="10"/>
      <c r="AI14206" s="10"/>
    </row>
    <row r="14207" spans="28:35" ht="15" hidden="1" customHeight="1">
      <c r="AB14207" s="9"/>
      <c r="AC14207" s="9"/>
      <c r="AD14207" s="9"/>
      <c r="AF14207" s="10"/>
      <c r="AG14207" s="10"/>
      <c r="AH14207" s="10"/>
      <c r="AI14207" s="10"/>
    </row>
    <row r="14208" spans="28:35" ht="15" hidden="1" customHeight="1">
      <c r="AB14208" s="9"/>
      <c r="AC14208" s="9"/>
      <c r="AD14208" s="9"/>
      <c r="AF14208" s="10"/>
      <c r="AG14208" s="10"/>
      <c r="AH14208" s="10"/>
      <c r="AI14208" s="10"/>
    </row>
    <row r="14209" spans="28:35" ht="15" hidden="1" customHeight="1">
      <c r="AB14209" s="9"/>
      <c r="AC14209" s="9"/>
      <c r="AD14209" s="9"/>
      <c r="AF14209" s="10"/>
      <c r="AG14209" s="10"/>
      <c r="AH14209" s="10"/>
      <c r="AI14209" s="10"/>
    </row>
    <row r="14210" spans="28:35" ht="15" hidden="1" customHeight="1">
      <c r="AB14210" s="9"/>
      <c r="AC14210" s="9"/>
      <c r="AD14210" s="9"/>
      <c r="AF14210" s="10"/>
      <c r="AG14210" s="10"/>
      <c r="AH14210" s="10"/>
      <c r="AI14210" s="10"/>
    </row>
    <row r="14211" spans="28:35" ht="15" hidden="1" customHeight="1">
      <c r="AB14211" s="9"/>
      <c r="AC14211" s="9"/>
      <c r="AD14211" s="9"/>
      <c r="AF14211" s="10"/>
      <c r="AG14211" s="10"/>
      <c r="AH14211" s="10"/>
      <c r="AI14211" s="10"/>
    </row>
    <row r="14212" spans="28:35" ht="15" hidden="1" customHeight="1">
      <c r="AB14212" s="9"/>
      <c r="AC14212" s="9"/>
      <c r="AD14212" s="9"/>
      <c r="AF14212" s="10"/>
      <c r="AG14212" s="10"/>
      <c r="AH14212" s="10"/>
      <c r="AI14212" s="10"/>
    </row>
    <row r="14213" spans="28:35" ht="15" hidden="1" customHeight="1">
      <c r="AB14213" s="9"/>
      <c r="AC14213" s="9"/>
      <c r="AD14213" s="9"/>
      <c r="AF14213" s="10"/>
      <c r="AG14213" s="10"/>
      <c r="AH14213" s="10"/>
      <c r="AI14213" s="10"/>
    </row>
    <row r="14214" spans="28:35" ht="15" hidden="1" customHeight="1">
      <c r="AB14214" s="9"/>
      <c r="AC14214" s="9"/>
      <c r="AD14214" s="9"/>
      <c r="AF14214" s="10"/>
      <c r="AG14214" s="10"/>
      <c r="AH14214" s="10"/>
      <c r="AI14214" s="10"/>
    </row>
    <row r="14215" spans="28:35" ht="15" hidden="1" customHeight="1">
      <c r="AB14215" s="9"/>
      <c r="AC14215" s="9"/>
      <c r="AD14215" s="9"/>
      <c r="AF14215" s="10"/>
      <c r="AG14215" s="10"/>
      <c r="AH14215" s="10"/>
      <c r="AI14215" s="10"/>
    </row>
    <row r="14216" spans="28:35" ht="15" hidden="1" customHeight="1">
      <c r="AB14216" s="9"/>
      <c r="AC14216" s="9"/>
      <c r="AD14216" s="9"/>
      <c r="AF14216" s="10"/>
      <c r="AG14216" s="10"/>
      <c r="AH14216" s="10"/>
      <c r="AI14216" s="10"/>
    </row>
    <row r="14217" spans="28:35" ht="15" hidden="1" customHeight="1">
      <c r="AB14217" s="9"/>
      <c r="AC14217" s="9"/>
      <c r="AD14217" s="9"/>
      <c r="AF14217" s="10"/>
      <c r="AG14217" s="10"/>
      <c r="AH14217" s="10"/>
      <c r="AI14217" s="10"/>
    </row>
    <row r="14218" spans="28:35" ht="15" hidden="1" customHeight="1">
      <c r="AB14218" s="9"/>
      <c r="AC14218" s="9"/>
      <c r="AD14218" s="9"/>
      <c r="AF14218" s="10"/>
      <c r="AG14218" s="10"/>
      <c r="AH14218" s="10"/>
      <c r="AI14218" s="10"/>
    </row>
    <row r="14219" spans="28:35" ht="15" hidden="1" customHeight="1">
      <c r="AB14219" s="9"/>
      <c r="AC14219" s="9"/>
      <c r="AD14219" s="9"/>
      <c r="AF14219" s="10"/>
      <c r="AG14219" s="10"/>
      <c r="AH14219" s="10"/>
      <c r="AI14219" s="10"/>
    </row>
    <row r="14220" spans="28:35" ht="15" hidden="1" customHeight="1">
      <c r="AB14220" s="9"/>
      <c r="AC14220" s="9"/>
      <c r="AD14220" s="9"/>
      <c r="AF14220" s="10"/>
      <c r="AG14220" s="10"/>
      <c r="AH14220" s="10"/>
      <c r="AI14220" s="10"/>
    </row>
    <row r="14221" spans="28:35" ht="15" hidden="1" customHeight="1">
      <c r="AB14221" s="9"/>
      <c r="AC14221" s="9"/>
      <c r="AD14221" s="9"/>
      <c r="AF14221" s="10"/>
      <c r="AG14221" s="10"/>
      <c r="AH14221" s="10"/>
      <c r="AI14221" s="10"/>
    </row>
    <row r="14222" spans="28:35" ht="15" hidden="1" customHeight="1">
      <c r="AB14222" s="9"/>
      <c r="AC14222" s="9"/>
      <c r="AD14222" s="9"/>
      <c r="AF14222" s="10"/>
      <c r="AG14222" s="10"/>
      <c r="AH14222" s="10"/>
      <c r="AI14222" s="10"/>
    </row>
    <row r="14223" spans="28:35" ht="15" hidden="1" customHeight="1">
      <c r="AB14223" s="9"/>
      <c r="AC14223" s="9"/>
      <c r="AD14223" s="9"/>
      <c r="AF14223" s="10"/>
      <c r="AG14223" s="10"/>
      <c r="AH14223" s="10"/>
      <c r="AI14223" s="10"/>
    </row>
    <row r="14224" spans="28:35" ht="15" hidden="1" customHeight="1">
      <c r="AB14224" s="9"/>
      <c r="AC14224" s="9"/>
      <c r="AD14224" s="9"/>
      <c r="AF14224" s="10"/>
      <c r="AG14224" s="10"/>
      <c r="AH14224" s="10"/>
      <c r="AI14224" s="10"/>
    </row>
    <row r="14225" spans="28:35" ht="15" hidden="1" customHeight="1">
      <c r="AB14225" s="9"/>
      <c r="AC14225" s="9"/>
      <c r="AD14225" s="9"/>
      <c r="AF14225" s="10"/>
      <c r="AG14225" s="10"/>
      <c r="AH14225" s="10"/>
      <c r="AI14225" s="10"/>
    </row>
    <row r="14226" spans="28:35" ht="15" hidden="1" customHeight="1">
      <c r="AB14226" s="9"/>
      <c r="AC14226" s="9"/>
      <c r="AD14226" s="9"/>
      <c r="AF14226" s="10"/>
      <c r="AG14226" s="10"/>
      <c r="AH14226" s="10"/>
      <c r="AI14226" s="10"/>
    </row>
    <row r="14227" spans="28:35" ht="15" hidden="1" customHeight="1">
      <c r="AB14227" s="9"/>
      <c r="AC14227" s="9"/>
      <c r="AD14227" s="9"/>
      <c r="AF14227" s="10"/>
      <c r="AG14227" s="10"/>
      <c r="AH14227" s="10"/>
      <c r="AI14227" s="10"/>
    </row>
    <row r="14228" spans="28:35" ht="15" hidden="1" customHeight="1">
      <c r="AB14228" s="9"/>
      <c r="AC14228" s="9"/>
      <c r="AD14228" s="9"/>
      <c r="AF14228" s="10"/>
      <c r="AG14228" s="10"/>
      <c r="AH14228" s="10"/>
      <c r="AI14228" s="10"/>
    </row>
    <row r="14229" spans="28:35" ht="15" hidden="1" customHeight="1">
      <c r="AB14229" s="9"/>
      <c r="AC14229" s="9"/>
      <c r="AD14229" s="9"/>
      <c r="AF14229" s="10"/>
      <c r="AG14229" s="10"/>
      <c r="AH14229" s="10"/>
      <c r="AI14229" s="10"/>
    </row>
    <row r="14230" spans="28:35" ht="15" hidden="1" customHeight="1">
      <c r="AB14230" s="9"/>
      <c r="AC14230" s="9"/>
      <c r="AD14230" s="9"/>
      <c r="AF14230" s="10"/>
      <c r="AG14230" s="10"/>
      <c r="AH14230" s="10"/>
      <c r="AI14230" s="10"/>
    </row>
    <row r="14231" spans="28:35" ht="15" hidden="1" customHeight="1">
      <c r="AB14231" s="9"/>
      <c r="AC14231" s="9"/>
      <c r="AD14231" s="9"/>
      <c r="AF14231" s="10"/>
      <c r="AG14231" s="10"/>
      <c r="AH14231" s="10"/>
      <c r="AI14231" s="10"/>
    </row>
    <row r="14232" spans="28:35" ht="15" hidden="1" customHeight="1">
      <c r="AB14232" s="9"/>
      <c r="AC14232" s="9"/>
      <c r="AD14232" s="9"/>
      <c r="AF14232" s="10"/>
      <c r="AG14232" s="10"/>
      <c r="AH14232" s="10"/>
      <c r="AI14232" s="10"/>
    </row>
    <row r="14233" spans="28:35" ht="15" hidden="1" customHeight="1">
      <c r="AB14233" s="9"/>
      <c r="AC14233" s="9"/>
      <c r="AD14233" s="9"/>
      <c r="AF14233" s="10"/>
      <c r="AG14233" s="10"/>
      <c r="AH14233" s="10"/>
      <c r="AI14233" s="10"/>
    </row>
    <row r="14234" spans="28:35" ht="15" hidden="1" customHeight="1">
      <c r="AB14234" s="9"/>
      <c r="AC14234" s="9"/>
      <c r="AD14234" s="9"/>
      <c r="AF14234" s="10"/>
      <c r="AG14234" s="10"/>
      <c r="AH14234" s="10"/>
      <c r="AI14234" s="10"/>
    </row>
    <row r="14235" spans="28:35" ht="15" hidden="1" customHeight="1">
      <c r="AB14235" s="9"/>
      <c r="AC14235" s="9"/>
      <c r="AD14235" s="9"/>
      <c r="AF14235" s="10"/>
      <c r="AG14235" s="10"/>
      <c r="AH14235" s="10"/>
      <c r="AI14235" s="10"/>
    </row>
    <row r="14236" spans="28:35" ht="15" hidden="1" customHeight="1">
      <c r="AB14236" s="9"/>
      <c r="AC14236" s="9"/>
      <c r="AD14236" s="9"/>
      <c r="AF14236" s="10"/>
      <c r="AG14236" s="10"/>
      <c r="AH14236" s="10"/>
      <c r="AI14236" s="10"/>
    </row>
    <row r="14237" spans="28:35" ht="15" hidden="1" customHeight="1">
      <c r="AB14237" s="9"/>
      <c r="AC14237" s="9"/>
      <c r="AD14237" s="9"/>
      <c r="AF14237" s="10"/>
      <c r="AG14237" s="10"/>
      <c r="AH14237" s="10"/>
      <c r="AI14237" s="10"/>
    </row>
    <row r="14238" spans="28:35" ht="15" hidden="1" customHeight="1">
      <c r="AB14238" s="9"/>
      <c r="AC14238" s="9"/>
      <c r="AD14238" s="9"/>
      <c r="AF14238" s="10"/>
      <c r="AG14238" s="10"/>
      <c r="AH14238" s="10"/>
      <c r="AI14238" s="10"/>
    </row>
    <row r="14239" spans="28:35" ht="15" hidden="1" customHeight="1">
      <c r="AB14239" s="9"/>
      <c r="AC14239" s="9"/>
      <c r="AD14239" s="9"/>
      <c r="AF14239" s="10"/>
      <c r="AG14239" s="10"/>
      <c r="AH14239" s="10"/>
      <c r="AI14239" s="10"/>
    </row>
    <row r="14240" spans="28:35" ht="15" hidden="1" customHeight="1">
      <c r="AB14240" s="9"/>
      <c r="AC14240" s="9"/>
      <c r="AD14240" s="9"/>
      <c r="AF14240" s="10"/>
      <c r="AG14240" s="10"/>
      <c r="AH14240" s="10"/>
      <c r="AI14240" s="10"/>
    </row>
    <row r="14241" spans="28:35" ht="15" hidden="1" customHeight="1">
      <c r="AB14241" s="9"/>
      <c r="AC14241" s="9"/>
      <c r="AD14241" s="9"/>
      <c r="AF14241" s="10"/>
      <c r="AG14241" s="10"/>
      <c r="AH14241" s="10"/>
      <c r="AI14241" s="10"/>
    </row>
    <row r="14242" spans="28:35" ht="15" hidden="1" customHeight="1">
      <c r="AB14242" s="9"/>
      <c r="AC14242" s="9"/>
      <c r="AD14242" s="9"/>
      <c r="AF14242" s="10"/>
      <c r="AG14242" s="10"/>
      <c r="AH14242" s="10"/>
      <c r="AI14242" s="10"/>
    </row>
    <row r="14243" spans="28:35" ht="15" hidden="1" customHeight="1">
      <c r="AB14243" s="9"/>
      <c r="AC14243" s="9"/>
      <c r="AD14243" s="9"/>
      <c r="AF14243" s="10"/>
      <c r="AG14243" s="10"/>
      <c r="AH14243" s="10"/>
      <c r="AI14243" s="10"/>
    </row>
    <row r="14244" spans="28:35" ht="15" hidden="1" customHeight="1">
      <c r="AB14244" s="9"/>
      <c r="AC14244" s="9"/>
      <c r="AD14244" s="9"/>
      <c r="AF14244" s="10"/>
      <c r="AG14244" s="10"/>
      <c r="AH14244" s="10"/>
      <c r="AI14244" s="10"/>
    </row>
    <row r="14245" spans="28:35" ht="15" hidden="1" customHeight="1">
      <c r="AB14245" s="9"/>
      <c r="AC14245" s="9"/>
      <c r="AD14245" s="9"/>
      <c r="AF14245" s="10"/>
      <c r="AG14245" s="10"/>
      <c r="AH14245" s="10"/>
      <c r="AI14245" s="10"/>
    </row>
    <row r="14246" spans="28:35" ht="15" hidden="1" customHeight="1">
      <c r="AB14246" s="9"/>
      <c r="AC14246" s="9"/>
      <c r="AD14246" s="9"/>
      <c r="AF14246" s="10"/>
      <c r="AG14246" s="10"/>
      <c r="AH14246" s="10"/>
      <c r="AI14246" s="10"/>
    </row>
    <row r="14247" spans="28:35" ht="15" hidden="1" customHeight="1">
      <c r="AB14247" s="9"/>
      <c r="AC14247" s="9"/>
      <c r="AD14247" s="9"/>
      <c r="AF14247" s="10"/>
      <c r="AG14247" s="10"/>
      <c r="AH14247" s="10"/>
      <c r="AI14247" s="10"/>
    </row>
    <row r="14248" spans="28:35" ht="15" hidden="1" customHeight="1">
      <c r="AB14248" s="9"/>
      <c r="AC14248" s="9"/>
      <c r="AD14248" s="9"/>
      <c r="AF14248" s="10"/>
      <c r="AG14248" s="10"/>
      <c r="AH14248" s="10"/>
      <c r="AI14248" s="10"/>
    </row>
    <row r="14249" spans="28:35" ht="15" hidden="1" customHeight="1">
      <c r="AB14249" s="9"/>
      <c r="AC14249" s="9"/>
      <c r="AD14249" s="9"/>
      <c r="AF14249" s="10"/>
      <c r="AG14249" s="10"/>
      <c r="AH14249" s="10"/>
      <c r="AI14249" s="10"/>
    </row>
    <row r="14250" spans="28:35" ht="15" hidden="1" customHeight="1">
      <c r="AB14250" s="9"/>
      <c r="AC14250" s="9"/>
      <c r="AD14250" s="9"/>
      <c r="AF14250" s="10"/>
      <c r="AG14250" s="10"/>
      <c r="AH14250" s="10"/>
      <c r="AI14250" s="10"/>
    </row>
    <row r="14251" spans="28:35" ht="15" hidden="1" customHeight="1">
      <c r="AB14251" s="9"/>
      <c r="AC14251" s="9"/>
      <c r="AD14251" s="9"/>
      <c r="AF14251" s="10"/>
      <c r="AG14251" s="10"/>
      <c r="AH14251" s="10"/>
      <c r="AI14251" s="10"/>
    </row>
    <row r="14252" spans="28:35" ht="15" hidden="1" customHeight="1">
      <c r="AB14252" s="9"/>
      <c r="AC14252" s="9"/>
      <c r="AD14252" s="9"/>
      <c r="AF14252" s="10"/>
      <c r="AG14252" s="10"/>
      <c r="AH14252" s="10"/>
      <c r="AI14252" s="10"/>
    </row>
    <row r="14253" spans="28:35" ht="15" hidden="1" customHeight="1">
      <c r="AB14253" s="9"/>
      <c r="AC14253" s="9"/>
      <c r="AD14253" s="9"/>
      <c r="AF14253" s="10"/>
      <c r="AG14253" s="10"/>
      <c r="AH14253" s="10"/>
      <c r="AI14253" s="10"/>
    </row>
    <row r="14254" spans="28:35" ht="15" hidden="1" customHeight="1">
      <c r="AB14254" s="9"/>
      <c r="AC14254" s="9"/>
      <c r="AD14254" s="9"/>
      <c r="AF14254" s="10"/>
      <c r="AG14254" s="10"/>
      <c r="AH14254" s="10"/>
      <c r="AI14254" s="10"/>
    </row>
    <row r="14255" spans="28:35" ht="15" hidden="1" customHeight="1">
      <c r="AB14255" s="9"/>
      <c r="AC14255" s="9"/>
      <c r="AD14255" s="9"/>
      <c r="AF14255" s="10"/>
      <c r="AG14255" s="10"/>
      <c r="AH14255" s="10"/>
      <c r="AI14255" s="10"/>
    </row>
    <row r="14256" spans="28:35" ht="15" hidden="1" customHeight="1">
      <c r="AB14256" s="9"/>
      <c r="AC14256" s="9"/>
      <c r="AD14256" s="9"/>
      <c r="AF14256" s="10"/>
      <c r="AG14256" s="10"/>
      <c r="AH14256" s="10"/>
      <c r="AI14256" s="10"/>
    </row>
    <row r="14257" spans="28:35" ht="15" hidden="1" customHeight="1">
      <c r="AB14257" s="9"/>
      <c r="AC14257" s="9"/>
      <c r="AD14257" s="9"/>
      <c r="AF14257" s="10"/>
      <c r="AG14257" s="10"/>
      <c r="AH14257" s="10"/>
      <c r="AI14257" s="10"/>
    </row>
    <row r="14258" spans="28:35" ht="15" hidden="1" customHeight="1">
      <c r="AB14258" s="9"/>
      <c r="AC14258" s="9"/>
      <c r="AD14258" s="9"/>
      <c r="AF14258" s="10"/>
      <c r="AG14258" s="10"/>
      <c r="AH14258" s="10"/>
      <c r="AI14258" s="10"/>
    </row>
    <row r="14259" spans="28:35" ht="15" hidden="1" customHeight="1">
      <c r="AB14259" s="9"/>
      <c r="AC14259" s="9"/>
      <c r="AD14259" s="9"/>
      <c r="AF14259" s="10"/>
      <c r="AG14259" s="10"/>
      <c r="AH14259" s="10"/>
      <c r="AI14259" s="10"/>
    </row>
    <row r="14260" spans="28:35" ht="15" hidden="1" customHeight="1">
      <c r="AB14260" s="9"/>
      <c r="AC14260" s="9"/>
      <c r="AD14260" s="9"/>
      <c r="AF14260" s="10"/>
      <c r="AG14260" s="10"/>
      <c r="AH14260" s="10"/>
      <c r="AI14260" s="10"/>
    </row>
    <row r="14261" spans="28:35" ht="15" hidden="1" customHeight="1">
      <c r="AB14261" s="9"/>
      <c r="AC14261" s="9"/>
      <c r="AD14261" s="9"/>
      <c r="AF14261" s="10"/>
      <c r="AG14261" s="10"/>
      <c r="AH14261" s="10"/>
      <c r="AI14261" s="10"/>
    </row>
    <row r="14262" spans="28:35" ht="15" hidden="1" customHeight="1">
      <c r="AB14262" s="9"/>
      <c r="AC14262" s="9"/>
      <c r="AD14262" s="9"/>
      <c r="AF14262" s="10"/>
      <c r="AG14262" s="10"/>
      <c r="AH14262" s="10"/>
      <c r="AI14262" s="10"/>
    </row>
    <row r="14263" spans="28:35" ht="15" hidden="1" customHeight="1">
      <c r="AB14263" s="9"/>
      <c r="AC14263" s="9"/>
      <c r="AD14263" s="9"/>
      <c r="AF14263" s="10"/>
      <c r="AG14263" s="10"/>
      <c r="AH14263" s="10"/>
      <c r="AI14263" s="10"/>
    </row>
    <row r="14264" spans="28:35" ht="15" hidden="1" customHeight="1">
      <c r="AB14264" s="9"/>
      <c r="AC14264" s="9"/>
      <c r="AD14264" s="9"/>
      <c r="AF14264" s="10"/>
      <c r="AG14264" s="10"/>
      <c r="AH14264" s="10"/>
      <c r="AI14264" s="10"/>
    </row>
    <row r="14265" spans="28:35" ht="15" hidden="1" customHeight="1">
      <c r="AB14265" s="9"/>
      <c r="AC14265" s="9"/>
      <c r="AD14265" s="9"/>
      <c r="AF14265" s="10"/>
      <c r="AG14265" s="10"/>
      <c r="AH14265" s="10"/>
      <c r="AI14265" s="10"/>
    </row>
    <row r="14266" spans="28:35" ht="15" hidden="1" customHeight="1">
      <c r="AB14266" s="9"/>
      <c r="AC14266" s="9"/>
      <c r="AD14266" s="9"/>
      <c r="AF14266" s="10"/>
      <c r="AG14266" s="10"/>
      <c r="AH14266" s="10"/>
      <c r="AI14266" s="10"/>
    </row>
    <row r="14267" spans="28:35" ht="15" hidden="1" customHeight="1">
      <c r="AB14267" s="9"/>
      <c r="AC14267" s="9"/>
      <c r="AD14267" s="9"/>
      <c r="AF14267" s="10"/>
      <c r="AG14267" s="10"/>
      <c r="AH14267" s="10"/>
      <c r="AI14267" s="10"/>
    </row>
    <row r="14268" spans="28:35" ht="15" hidden="1" customHeight="1">
      <c r="AB14268" s="9"/>
      <c r="AC14268" s="9"/>
      <c r="AD14268" s="9"/>
      <c r="AF14268" s="10"/>
      <c r="AG14268" s="10"/>
      <c r="AH14268" s="10"/>
      <c r="AI14268" s="10"/>
    </row>
    <row r="14269" spans="28:35" ht="15" hidden="1" customHeight="1">
      <c r="AB14269" s="9"/>
      <c r="AC14269" s="9"/>
      <c r="AD14269" s="9"/>
      <c r="AF14269" s="10"/>
      <c r="AG14269" s="10"/>
      <c r="AH14269" s="10"/>
      <c r="AI14269" s="10"/>
    </row>
    <row r="14270" spans="28:35" ht="15" hidden="1" customHeight="1">
      <c r="AB14270" s="9"/>
      <c r="AC14270" s="9"/>
      <c r="AD14270" s="9"/>
      <c r="AF14270" s="10"/>
      <c r="AG14270" s="10"/>
      <c r="AH14270" s="10"/>
      <c r="AI14270" s="10"/>
    </row>
    <row r="14271" spans="28:35" ht="15" hidden="1" customHeight="1">
      <c r="AB14271" s="9"/>
      <c r="AC14271" s="9"/>
      <c r="AD14271" s="9"/>
      <c r="AF14271" s="10"/>
      <c r="AG14271" s="10"/>
      <c r="AH14271" s="10"/>
      <c r="AI14271" s="10"/>
    </row>
    <row r="14272" spans="28:35" ht="15" hidden="1" customHeight="1">
      <c r="AB14272" s="9"/>
      <c r="AC14272" s="9"/>
      <c r="AD14272" s="9"/>
      <c r="AF14272" s="10"/>
      <c r="AG14272" s="10"/>
      <c r="AH14272" s="10"/>
      <c r="AI14272" s="10"/>
    </row>
    <row r="14273" spans="28:35" ht="15" hidden="1" customHeight="1">
      <c r="AB14273" s="9"/>
      <c r="AC14273" s="9"/>
      <c r="AD14273" s="9"/>
      <c r="AF14273" s="10"/>
      <c r="AG14273" s="10"/>
      <c r="AH14273" s="10"/>
      <c r="AI14273" s="10"/>
    </row>
    <row r="14274" spans="28:35" ht="15" hidden="1" customHeight="1">
      <c r="AB14274" s="9"/>
      <c r="AC14274" s="9"/>
      <c r="AD14274" s="9"/>
      <c r="AF14274" s="10"/>
      <c r="AG14274" s="10"/>
      <c r="AH14274" s="10"/>
      <c r="AI14274" s="10"/>
    </row>
    <row r="14275" spans="28:35" ht="15" hidden="1" customHeight="1">
      <c r="AB14275" s="9"/>
      <c r="AC14275" s="9"/>
      <c r="AD14275" s="9"/>
      <c r="AF14275" s="10"/>
      <c r="AG14275" s="10"/>
      <c r="AH14275" s="10"/>
      <c r="AI14275" s="10"/>
    </row>
    <row r="14276" spans="28:35" ht="15" hidden="1" customHeight="1">
      <c r="AB14276" s="9"/>
      <c r="AC14276" s="9"/>
      <c r="AD14276" s="9"/>
      <c r="AF14276" s="10"/>
      <c r="AG14276" s="10"/>
      <c r="AH14276" s="10"/>
      <c r="AI14276" s="10"/>
    </row>
    <row r="14277" spans="28:35" ht="15" hidden="1" customHeight="1">
      <c r="AB14277" s="9"/>
      <c r="AC14277" s="9"/>
      <c r="AD14277" s="9"/>
      <c r="AF14277" s="10"/>
      <c r="AG14277" s="10"/>
      <c r="AH14277" s="10"/>
      <c r="AI14277" s="10"/>
    </row>
    <row r="14278" spans="28:35" ht="15" hidden="1" customHeight="1">
      <c r="AB14278" s="9"/>
      <c r="AC14278" s="9"/>
      <c r="AD14278" s="9"/>
      <c r="AF14278" s="10"/>
      <c r="AG14278" s="10"/>
      <c r="AH14278" s="10"/>
      <c r="AI14278" s="10"/>
    </row>
    <row r="14279" spans="28:35" ht="15" hidden="1" customHeight="1">
      <c r="AB14279" s="9"/>
      <c r="AC14279" s="9"/>
      <c r="AD14279" s="9"/>
      <c r="AF14279" s="10"/>
      <c r="AG14279" s="10"/>
      <c r="AH14279" s="10"/>
      <c r="AI14279" s="10"/>
    </row>
    <row r="14280" spans="28:35" ht="15" hidden="1" customHeight="1">
      <c r="AB14280" s="9"/>
      <c r="AC14280" s="9"/>
      <c r="AD14280" s="9"/>
      <c r="AF14280" s="10"/>
      <c r="AG14280" s="10"/>
      <c r="AH14280" s="10"/>
      <c r="AI14280" s="10"/>
    </row>
    <row r="14281" spans="28:35" ht="15" hidden="1" customHeight="1">
      <c r="AB14281" s="9"/>
      <c r="AC14281" s="9"/>
      <c r="AD14281" s="9"/>
      <c r="AF14281" s="10"/>
      <c r="AG14281" s="10"/>
      <c r="AH14281" s="10"/>
      <c r="AI14281" s="10"/>
    </row>
    <row r="14282" spans="28:35" ht="15" hidden="1" customHeight="1">
      <c r="AB14282" s="9"/>
      <c r="AC14282" s="9"/>
      <c r="AD14282" s="9"/>
      <c r="AF14282" s="10"/>
      <c r="AG14282" s="10"/>
      <c r="AH14282" s="10"/>
      <c r="AI14282" s="10"/>
    </row>
    <row r="14283" spans="28:35" ht="15" hidden="1" customHeight="1">
      <c r="AB14283" s="9"/>
      <c r="AC14283" s="9"/>
      <c r="AD14283" s="9"/>
      <c r="AF14283" s="10"/>
      <c r="AG14283" s="10"/>
      <c r="AH14283" s="10"/>
      <c r="AI14283" s="10"/>
    </row>
    <row r="14284" spans="28:35" ht="15" hidden="1" customHeight="1">
      <c r="AB14284" s="9"/>
      <c r="AC14284" s="9"/>
      <c r="AD14284" s="9"/>
      <c r="AF14284" s="10"/>
      <c r="AG14284" s="10"/>
      <c r="AH14284" s="10"/>
      <c r="AI14284" s="10"/>
    </row>
    <row r="14285" spans="28:35" ht="15" hidden="1" customHeight="1">
      <c r="AB14285" s="9"/>
      <c r="AC14285" s="9"/>
      <c r="AD14285" s="9"/>
      <c r="AF14285" s="10"/>
      <c r="AG14285" s="10"/>
      <c r="AH14285" s="10"/>
      <c r="AI14285" s="10"/>
    </row>
    <row r="14286" spans="28:35" ht="15" hidden="1" customHeight="1">
      <c r="AB14286" s="9"/>
      <c r="AC14286" s="9"/>
      <c r="AD14286" s="9"/>
      <c r="AF14286" s="10"/>
      <c r="AG14286" s="10"/>
      <c r="AH14286" s="10"/>
      <c r="AI14286" s="10"/>
    </row>
    <row r="14287" spans="28:35" ht="15" hidden="1" customHeight="1">
      <c r="AB14287" s="9"/>
      <c r="AC14287" s="9"/>
      <c r="AD14287" s="9"/>
      <c r="AF14287" s="10"/>
      <c r="AG14287" s="10"/>
      <c r="AH14287" s="10"/>
      <c r="AI14287" s="10"/>
    </row>
    <row r="14288" spans="28:35" ht="15" hidden="1" customHeight="1">
      <c r="AB14288" s="9"/>
      <c r="AC14288" s="9"/>
      <c r="AD14288" s="9"/>
      <c r="AF14288" s="10"/>
      <c r="AG14288" s="10"/>
      <c r="AH14288" s="10"/>
      <c r="AI14288" s="10"/>
    </row>
    <row r="14289" spans="28:35" ht="15" hidden="1" customHeight="1">
      <c r="AB14289" s="9"/>
      <c r="AC14289" s="9"/>
      <c r="AD14289" s="9"/>
      <c r="AF14289" s="10"/>
      <c r="AG14289" s="10"/>
      <c r="AH14289" s="10"/>
      <c r="AI14289" s="10"/>
    </row>
    <row r="14290" spans="28:35" ht="15" hidden="1" customHeight="1">
      <c r="AB14290" s="9"/>
      <c r="AC14290" s="9"/>
      <c r="AD14290" s="9"/>
      <c r="AF14290" s="10"/>
      <c r="AG14290" s="10"/>
      <c r="AH14290" s="10"/>
      <c r="AI14290" s="10"/>
    </row>
    <row r="14291" spans="28:35" ht="15" hidden="1" customHeight="1">
      <c r="AB14291" s="9"/>
      <c r="AC14291" s="9"/>
      <c r="AD14291" s="9"/>
      <c r="AF14291" s="10"/>
      <c r="AG14291" s="10"/>
      <c r="AH14291" s="10"/>
      <c r="AI14291" s="10"/>
    </row>
    <row r="14292" spans="28:35" ht="15" hidden="1" customHeight="1">
      <c r="AB14292" s="9"/>
      <c r="AC14292" s="9"/>
      <c r="AD14292" s="9"/>
      <c r="AF14292" s="10"/>
      <c r="AG14292" s="10"/>
      <c r="AH14292" s="10"/>
      <c r="AI14292" s="10"/>
    </row>
    <row r="14293" spans="28:35" ht="15" hidden="1" customHeight="1">
      <c r="AB14293" s="9"/>
      <c r="AC14293" s="9"/>
      <c r="AD14293" s="9"/>
      <c r="AF14293" s="10"/>
      <c r="AG14293" s="10"/>
      <c r="AH14293" s="10"/>
      <c r="AI14293" s="10"/>
    </row>
    <row r="14294" spans="28:35" ht="15" hidden="1" customHeight="1">
      <c r="AB14294" s="9"/>
      <c r="AC14294" s="9"/>
      <c r="AD14294" s="9"/>
      <c r="AF14294" s="10"/>
      <c r="AG14294" s="10"/>
      <c r="AH14294" s="10"/>
      <c r="AI14294" s="10"/>
    </row>
    <row r="14295" spans="28:35" ht="15" hidden="1" customHeight="1">
      <c r="AB14295" s="9"/>
      <c r="AC14295" s="9"/>
      <c r="AD14295" s="9"/>
      <c r="AF14295" s="10"/>
      <c r="AG14295" s="10"/>
      <c r="AH14295" s="10"/>
      <c r="AI14295" s="10"/>
    </row>
    <row r="14296" spans="28:35" ht="15" hidden="1" customHeight="1">
      <c r="AB14296" s="9"/>
      <c r="AC14296" s="9"/>
      <c r="AD14296" s="9"/>
      <c r="AF14296" s="10"/>
      <c r="AG14296" s="10"/>
      <c r="AH14296" s="10"/>
      <c r="AI14296" s="10"/>
    </row>
    <row r="14297" spans="28:35" ht="15" hidden="1" customHeight="1">
      <c r="AB14297" s="9"/>
      <c r="AC14297" s="9"/>
      <c r="AD14297" s="9"/>
      <c r="AF14297" s="10"/>
      <c r="AG14297" s="10"/>
      <c r="AH14297" s="10"/>
      <c r="AI14297" s="10"/>
    </row>
    <row r="14298" spans="28:35" ht="15" hidden="1" customHeight="1">
      <c r="AB14298" s="9"/>
      <c r="AC14298" s="9"/>
      <c r="AD14298" s="9"/>
      <c r="AF14298" s="10"/>
      <c r="AG14298" s="10"/>
      <c r="AH14298" s="10"/>
      <c r="AI14298" s="10"/>
    </row>
    <row r="14299" spans="28:35" ht="15" hidden="1" customHeight="1">
      <c r="AB14299" s="9"/>
      <c r="AC14299" s="9"/>
      <c r="AD14299" s="9"/>
      <c r="AF14299" s="10"/>
      <c r="AG14299" s="10"/>
      <c r="AH14299" s="10"/>
      <c r="AI14299" s="10"/>
    </row>
    <row r="14300" spans="28:35" ht="15" hidden="1" customHeight="1">
      <c r="AB14300" s="9"/>
      <c r="AC14300" s="9"/>
      <c r="AD14300" s="9"/>
      <c r="AF14300" s="10"/>
      <c r="AG14300" s="10"/>
      <c r="AH14300" s="10"/>
      <c r="AI14300" s="10"/>
    </row>
    <row r="14301" spans="28:35" ht="15" hidden="1" customHeight="1">
      <c r="AB14301" s="9"/>
      <c r="AC14301" s="9"/>
      <c r="AD14301" s="9"/>
      <c r="AF14301" s="10"/>
      <c r="AG14301" s="10"/>
      <c r="AH14301" s="10"/>
      <c r="AI14301" s="10"/>
    </row>
    <row r="14302" spans="28:35" ht="15" hidden="1" customHeight="1">
      <c r="AB14302" s="9"/>
      <c r="AC14302" s="9"/>
      <c r="AD14302" s="9"/>
      <c r="AF14302" s="10"/>
      <c r="AG14302" s="10"/>
      <c r="AH14302" s="10"/>
      <c r="AI14302" s="10"/>
    </row>
    <row r="14303" spans="28:35" ht="15" hidden="1" customHeight="1">
      <c r="AB14303" s="9"/>
      <c r="AC14303" s="9"/>
      <c r="AD14303" s="9"/>
      <c r="AF14303" s="10"/>
      <c r="AG14303" s="10"/>
      <c r="AH14303" s="10"/>
      <c r="AI14303" s="10"/>
    </row>
    <row r="14304" spans="28:35" ht="15" hidden="1" customHeight="1">
      <c r="AB14304" s="9"/>
      <c r="AC14304" s="9"/>
      <c r="AD14304" s="9"/>
      <c r="AF14304" s="10"/>
      <c r="AG14304" s="10"/>
      <c r="AH14304" s="10"/>
      <c r="AI14304" s="10"/>
    </row>
    <row r="14305" spans="28:35" ht="15" hidden="1" customHeight="1">
      <c r="AB14305" s="9"/>
      <c r="AC14305" s="9"/>
      <c r="AD14305" s="9"/>
      <c r="AF14305" s="10"/>
      <c r="AG14305" s="10"/>
      <c r="AH14305" s="10"/>
      <c r="AI14305" s="10"/>
    </row>
    <row r="14306" spans="28:35" ht="15" hidden="1" customHeight="1">
      <c r="AB14306" s="9"/>
      <c r="AC14306" s="9"/>
      <c r="AD14306" s="9"/>
      <c r="AF14306" s="10"/>
      <c r="AG14306" s="10"/>
      <c r="AH14306" s="10"/>
      <c r="AI14306" s="10"/>
    </row>
    <row r="14307" spans="28:35" ht="15" hidden="1" customHeight="1">
      <c r="AB14307" s="9"/>
      <c r="AC14307" s="9"/>
      <c r="AD14307" s="9"/>
      <c r="AF14307" s="10"/>
      <c r="AG14307" s="10"/>
      <c r="AH14307" s="10"/>
      <c r="AI14307" s="10"/>
    </row>
    <row r="14308" spans="28:35" ht="15" hidden="1" customHeight="1">
      <c r="AB14308" s="9"/>
      <c r="AC14308" s="9"/>
      <c r="AD14308" s="9"/>
      <c r="AF14308" s="10"/>
      <c r="AG14308" s="10"/>
      <c r="AH14308" s="10"/>
      <c r="AI14308" s="10"/>
    </row>
    <row r="14309" spans="28:35" ht="15" hidden="1" customHeight="1">
      <c r="AB14309" s="9"/>
      <c r="AC14309" s="9"/>
      <c r="AD14309" s="9"/>
      <c r="AF14309" s="10"/>
      <c r="AG14309" s="10"/>
      <c r="AH14309" s="10"/>
      <c r="AI14309" s="10"/>
    </row>
    <row r="14310" spans="28:35" ht="15" hidden="1" customHeight="1">
      <c r="AB14310" s="9"/>
      <c r="AC14310" s="9"/>
      <c r="AD14310" s="9"/>
      <c r="AF14310" s="10"/>
      <c r="AG14310" s="10"/>
      <c r="AH14310" s="10"/>
      <c r="AI14310" s="10"/>
    </row>
    <row r="14311" spans="28:35" ht="15" hidden="1" customHeight="1">
      <c r="AB14311" s="9"/>
      <c r="AC14311" s="9"/>
      <c r="AD14311" s="9"/>
      <c r="AF14311" s="10"/>
      <c r="AG14311" s="10"/>
      <c r="AH14311" s="10"/>
      <c r="AI14311" s="10"/>
    </row>
    <row r="14312" spans="28:35" ht="15" hidden="1" customHeight="1">
      <c r="AB14312" s="9"/>
      <c r="AC14312" s="9"/>
      <c r="AD14312" s="9"/>
      <c r="AF14312" s="10"/>
      <c r="AG14312" s="10"/>
      <c r="AH14312" s="10"/>
      <c r="AI14312" s="10"/>
    </row>
    <row r="14313" spans="28:35" ht="15" hidden="1" customHeight="1">
      <c r="AB14313" s="9"/>
      <c r="AC14313" s="9"/>
      <c r="AD14313" s="9"/>
      <c r="AF14313" s="10"/>
      <c r="AG14313" s="10"/>
      <c r="AH14313" s="10"/>
      <c r="AI14313" s="10"/>
    </row>
    <row r="14314" spans="28:35" ht="15" hidden="1" customHeight="1">
      <c r="AB14314" s="9"/>
      <c r="AC14314" s="9"/>
      <c r="AD14314" s="9"/>
      <c r="AF14314" s="10"/>
      <c r="AG14314" s="10"/>
      <c r="AH14314" s="10"/>
      <c r="AI14314" s="10"/>
    </row>
    <row r="14315" spans="28:35" ht="15" hidden="1" customHeight="1">
      <c r="AB14315" s="9"/>
      <c r="AC14315" s="9"/>
      <c r="AD14315" s="9"/>
      <c r="AF14315" s="10"/>
      <c r="AG14315" s="10"/>
      <c r="AH14315" s="10"/>
      <c r="AI14315" s="10"/>
    </row>
    <row r="14316" spans="28:35" ht="15" hidden="1" customHeight="1">
      <c r="AB14316" s="9"/>
      <c r="AC14316" s="9"/>
      <c r="AD14316" s="9"/>
      <c r="AF14316" s="10"/>
      <c r="AG14316" s="10"/>
      <c r="AH14316" s="10"/>
      <c r="AI14316" s="10"/>
    </row>
    <row r="14317" spans="28:35" ht="15" hidden="1" customHeight="1">
      <c r="AB14317" s="9"/>
      <c r="AC14317" s="9"/>
      <c r="AD14317" s="9"/>
      <c r="AF14317" s="10"/>
      <c r="AG14317" s="10"/>
      <c r="AH14317" s="10"/>
      <c r="AI14317" s="10"/>
    </row>
    <row r="14318" spans="28:35" ht="15" hidden="1" customHeight="1">
      <c r="AB14318" s="9"/>
      <c r="AC14318" s="9"/>
      <c r="AD14318" s="9"/>
      <c r="AF14318" s="10"/>
      <c r="AG14318" s="10"/>
      <c r="AH14318" s="10"/>
      <c r="AI14318" s="10"/>
    </row>
    <row r="14319" spans="28:35" ht="15" hidden="1" customHeight="1">
      <c r="AB14319" s="9"/>
      <c r="AC14319" s="9"/>
      <c r="AD14319" s="9"/>
      <c r="AF14319" s="10"/>
      <c r="AG14319" s="10"/>
      <c r="AH14319" s="10"/>
      <c r="AI14319" s="10"/>
    </row>
    <row r="14320" spans="28:35" ht="15" hidden="1" customHeight="1">
      <c r="AB14320" s="9"/>
      <c r="AC14320" s="9"/>
      <c r="AD14320" s="9"/>
      <c r="AF14320" s="10"/>
      <c r="AG14320" s="10"/>
      <c r="AH14320" s="10"/>
      <c r="AI14320" s="10"/>
    </row>
    <row r="14321" spans="28:35" ht="15" hidden="1" customHeight="1">
      <c r="AB14321" s="9"/>
      <c r="AC14321" s="9"/>
      <c r="AD14321" s="9"/>
      <c r="AF14321" s="10"/>
      <c r="AG14321" s="10"/>
      <c r="AH14321" s="10"/>
      <c r="AI14321" s="10"/>
    </row>
    <row r="14322" spans="28:35" ht="15" hidden="1" customHeight="1">
      <c r="AB14322" s="9"/>
      <c r="AC14322" s="9"/>
      <c r="AD14322" s="9"/>
      <c r="AF14322" s="10"/>
      <c r="AG14322" s="10"/>
      <c r="AH14322" s="10"/>
      <c r="AI14322" s="10"/>
    </row>
    <row r="14323" spans="28:35" ht="15" hidden="1" customHeight="1">
      <c r="AB14323" s="9"/>
      <c r="AC14323" s="9"/>
      <c r="AD14323" s="9"/>
      <c r="AF14323" s="10"/>
      <c r="AG14323" s="10"/>
      <c r="AH14323" s="10"/>
      <c r="AI14323" s="10"/>
    </row>
    <row r="14324" spans="28:35" ht="15" hidden="1" customHeight="1">
      <c r="AB14324" s="9"/>
      <c r="AC14324" s="9"/>
      <c r="AD14324" s="9"/>
      <c r="AF14324" s="10"/>
      <c r="AG14324" s="10"/>
      <c r="AH14324" s="10"/>
      <c r="AI14324" s="10"/>
    </row>
    <row r="14325" spans="28:35" ht="15" hidden="1" customHeight="1">
      <c r="AB14325" s="9"/>
      <c r="AC14325" s="9"/>
      <c r="AD14325" s="9"/>
      <c r="AF14325" s="10"/>
      <c r="AG14325" s="10"/>
      <c r="AH14325" s="10"/>
      <c r="AI14325" s="10"/>
    </row>
    <row r="14326" spans="28:35" ht="15" hidden="1" customHeight="1">
      <c r="AB14326" s="9"/>
      <c r="AC14326" s="9"/>
      <c r="AD14326" s="9"/>
      <c r="AF14326" s="10"/>
      <c r="AG14326" s="10"/>
      <c r="AH14326" s="10"/>
      <c r="AI14326" s="10"/>
    </row>
    <row r="14327" spans="28:35" ht="15" hidden="1" customHeight="1">
      <c r="AB14327" s="9"/>
      <c r="AC14327" s="9"/>
      <c r="AD14327" s="9"/>
      <c r="AF14327" s="10"/>
      <c r="AG14327" s="10"/>
      <c r="AH14327" s="10"/>
      <c r="AI14327" s="10"/>
    </row>
    <row r="14328" spans="28:35" ht="15" hidden="1" customHeight="1">
      <c r="AB14328" s="9"/>
      <c r="AC14328" s="9"/>
      <c r="AD14328" s="9"/>
      <c r="AF14328" s="10"/>
      <c r="AG14328" s="10"/>
      <c r="AH14328" s="10"/>
      <c r="AI14328" s="10"/>
    </row>
    <row r="14329" spans="28:35" ht="15" hidden="1" customHeight="1">
      <c r="AB14329" s="9"/>
      <c r="AC14329" s="9"/>
      <c r="AD14329" s="9"/>
      <c r="AF14329" s="10"/>
      <c r="AG14329" s="10"/>
      <c r="AH14329" s="10"/>
      <c r="AI14329" s="10"/>
    </row>
    <row r="14330" spans="28:35" ht="15" hidden="1" customHeight="1">
      <c r="AB14330" s="9"/>
      <c r="AC14330" s="9"/>
      <c r="AD14330" s="9"/>
      <c r="AF14330" s="10"/>
      <c r="AG14330" s="10"/>
      <c r="AH14330" s="10"/>
      <c r="AI14330" s="10"/>
    </row>
    <row r="14331" spans="28:35" ht="15" hidden="1" customHeight="1">
      <c r="AB14331" s="9"/>
      <c r="AC14331" s="9"/>
      <c r="AD14331" s="9"/>
      <c r="AF14331" s="10"/>
      <c r="AG14331" s="10"/>
      <c r="AH14331" s="10"/>
      <c r="AI14331" s="10"/>
    </row>
    <row r="14332" spans="28:35" ht="15" hidden="1" customHeight="1">
      <c r="AB14332" s="9"/>
      <c r="AC14332" s="9"/>
      <c r="AD14332" s="9"/>
      <c r="AF14332" s="10"/>
      <c r="AG14332" s="10"/>
      <c r="AH14332" s="10"/>
      <c r="AI14332" s="10"/>
    </row>
    <row r="14333" spans="28:35" ht="15" hidden="1" customHeight="1">
      <c r="AB14333" s="9"/>
      <c r="AC14333" s="9"/>
      <c r="AD14333" s="9"/>
      <c r="AF14333" s="10"/>
      <c r="AG14333" s="10"/>
      <c r="AH14333" s="10"/>
      <c r="AI14333" s="10"/>
    </row>
    <row r="14334" spans="28:35" ht="15" hidden="1" customHeight="1">
      <c r="AB14334" s="9"/>
      <c r="AC14334" s="9"/>
      <c r="AD14334" s="9"/>
      <c r="AF14334" s="10"/>
      <c r="AG14334" s="10"/>
      <c r="AH14334" s="10"/>
      <c r="AI14334" s="10"/>
    </row>
    <row r="14335" spans="28:35" ht="15" hidden="1" customHeight="1">
      <c r="AB14335" s="9"/>
      <c r="AC14335" s="9"/>
      <c r="AD14335" s="9"/>
      <c r="AF14335" s="10"/>
      <c r="AG14335" s="10"/>
      <c r="AH14335" s="10"/>
      <c r="AI14335" s="10"/>
    </row>
    <row r="14336" spans="28:35" ht="15" hidden="1" customHeight="1">
      <c r="AB14336" s="9"/>
      <c r="AC14336" s="9"/>
      <c r="AD14336" s="9"/>
      <c r="AF14336" s="10"/>
      <c r="AG14336" s="10"/>
      <c r="AH14336" s="10"/>
      <c r="AI14336" s="10"/>
    </row>
    <row r="14337" spans="28:35" ht="15" hidden="1" customHeight="1">
      <c r="AB14337" s="9"/>
      <c r="AC14337" s="9"/>
      <c r="AD14337" s="9"/>
      <c r="AF14337" s="10"/>
      <c r="AG14337" s="10"/>
      <c r="AH14337" s="10"/>
      <c r="AI14337" s="10"/>
    </row>
    <row r="14338" spans="28:35" ht="15" hidden="1" customHeight="1">
      <c r="AB14338" s="9"/>
      <c r="AC14338" s="9"/>
      <c r="AD14338" s="9"/>
      <c r="AF14338" s="10"/>
      <c r="AG14338" s="10"/>
      <c r="AH14338" s="10"/>
      <c r="AI14338" s="10"/>
    </row>
    <row r="14339" spans="28:35" ht="15" hidden="1" customHeight="1">
      <c r="AB14339" s="9"/>
      <c r="AC14339" s="9"/>
      <c r="AD14339" s="9"/>
      <c r="AF14339" s="10"/>
      <c r="AG14339" s="10"/>
      <c r="AH14339" s="10"/>
      <c r="AI14339" s="10"/>
    </row>
    <row r="14340" spans="28:35" ht="15" hidden="1" customHeight="1">
      <c r="AB14340" s="9"/>
      <c r="AC14340" s="9"/>
      <c r="AD14340" s="9"/>
      <c r="AF14340" s="10"/>
      <c r="AG14340" s="10"/>
      <c r="AH14340" s="10"/>
      <c r="AI14340" s="10"/>
    </row>
    <row r="14341" spans="28:35" ht="15" hidden="1" customHeight="1">
      <c r="AB14341" s="9"/>
      <c r="AC14341" s="9"/>
      <c r="AD14341" s="9"/>
      <c r="AF14341" s="10"/>
      <c r="AG14341" s="10"/>
      <c r="AH14341" s="10"/>
      <c r="AI14341" s="10"/>
    </row>
    <row r="14342" spans="28:35" ht="15" hidden="1" customHeight="1">
      <c r="AB14342" s="9"/>
      <c r="AC14342" s="9"/>
      <c r="AD14342" s="9"/>
      <c r="AF14342" s="10"/>
      <c r="AG14342" s="10"/>
      <c r="AH14342" s="10"/>
      <c r="AI14342" s="10"/>
    </row>
    <row r="14343" spans="28:35" ht="15" hidden="1" customHeight="1">
      <c r="AB14343" s="9"/>
      <c r="AC14343" s="9"/>
      <c r="AD14343" s="9"/>
      <c r="AF14343" s="10"/>
      <c r="AG14343" s="10"/>
      <c r="AH14343" s="10"/>
      <c r="AI14343" s="10"/>
    </row>
    <row r="14344" spans="28:35" ht="15" hidden="1" customHeight="1">
      <c r="AB14344" s="9"/>
      <c r="AC14344" s="9"/>
      <c r="AD14344" s="9"/>
      <c r="AF14344" s="10"/>
      <c r="AG14344" s="10"/>
      <c r="AH14344" s="10"/>
      <c r="AI14344" s="10"/>
    </row>
    <row r="14345" spans="28:35" ht="15" hidden="1" customHeight="1">
      <c r="AB14345" s="9"/>
      <c r="AC14345" s="9"/>
      <c r="AD14345" s="9"/>
      <c r="AF14345" s="10"/>
      <c r="AG14345" s="10"/>
      <c r="AH14345" s="10"/>
      <c r="AI14345" s="10"/>
    </row>
    <row r="14346" spans="28:35" ht="15" hidden="1" customHeight="1">
      <c r="AB14346" s="9"/>
      <c r="AC14346" s="9"/>
      <c r="AD14346" s="9"/>
      <c r="AF14346" s="10"/>
      <c r="AG14346" s="10"/>
      <c r="AH14346" s="10"/>
      <c r="AI14346" s="10"/>
    </row>
    <row r="14347" spans="28:35" ht="15" hidden="1" customHeight="1">
      <c r="AB14347" s="9"/>
      <c r="AC14347" s="9"/>
      <c r="AD14347" s="9"/>
      <c r="AF14347" s="10"/>
      <c r="AG14347" s="10"/>
      <c r="AH14347" s="10"/>
      <c r="AI14347" s="10"/>
    </row>
    <row r="14348" spans="28:35" ht="15" hidden="1" customHeight="1">
      <c r="AB14348" s="9"/>
      <c r="AC14348" s="9"/>
      <c r="AD14348" s="9"/>
      <c r="AF14348" s="10"/>
      <c r="AG14348" s="10"/>
      <c r="AH14348" s="10"/>
      <c r="AI14348" s="10"/>
    </row>
    <row r="14349" spans="28:35" ht="15" hidden="1" customHeight="1">
      <c r="AB14349" s="9"/>
      <c r="AC14349" s="9"/>
      <c r="AD14349" s="9"/>
      <c r="AF14349" s="10"/>
      <c r="AG14349" s="10"/>
      <c r="AH14349" s="10"/>
      <c r="AI14349" s="10"/>
    </row>
    <row r="14350" spans="28:35" ht="15" hidden="1" customHeight="1">
      <c r="AB14350" s="9"/>
      <c r="AC14350" s="9"/>
      <c r="AD14350" s="9"/>
      <c r="AF14350" s="10"/>
      <c r="AG14350" s="10"/>
      <c r="AH14350" s="10"/>
      <c r="AI14350" s="10"/>
    </row>
    <row r="14351" spans="28:35" ht="15" hidden="1" customHeight="1">
      <c r="AB14351" s="9"/>
      <c r="AC14351" s="9"/>
      <c r="AD14351" s="9"/>
      <c r="AF14351" s="10"/>
      <c r="AG14351" s="10"/>
      <c r="AH14351" s="10"/>
      <c r="AI14351" s="10"/>
    </row>
    <row r="14352" spans="28:35" ht="15" hidden="1" customHeight="1">
      <c r="AB14352" s="9"/>
      <c r="AC14352" s="9"/>
      <c r="AD14352" s="9"/>
      <c r="AF14352" s="10"/>
      <c r="AG14352" s="10"/>
      <c r="AH14352" s="10"/>
      <c r="AI14352" s="10"/>
    </row>
    <row r="14353" spans="28:35" ht="15" hidden="1" customHeight="1">
      <c r="AB14353" s="9"/>
      <c r="AC14353" s="9"/>
      <c r="AD14353" s="9"/>
      <c r="AF14353" s="10"/>
      <c r="AG14353" s="10"/>
      <c r="AH14353" s="10"/>
      <c r="AI14353" s="10"/>
    </row>
    <row r="14354" spans="28:35" ht="15" hidden="1" customHeight="1">
      <c r="AB14354" s="9"/>
      <c r="AC14354" s="9"/>
      <c r="AD14354" s="9"/>
      <c r="AF14354" s="10"/>
      <c r="AG14354" s="10"/>
      <c r="AH14354" s="10"/>
      <c r="AI14354" s="10"/>
    </row>
    <row r="14355" spans="28:35" ht="15" hidden="1" customHeight="1">
      <c r="AB14355" s="9"/>
      <c r="AC14355" s="9"/>
      <c r="AD14355" s="9"/>
      <c r="AF14355" s="10"/>
      <c r="AG14355" s="10"/>
      <c r="AH14355" s="10"/>
      <c r="AI14355" s="10"/>
    </row>
    <row r="14356" spans="28:35" ht="15" hidden="1" customHeight="1">
      <c r="AB14356" s="9"/>
      <c r="AC14356" s="9"/>
      <c r="AD14356" s="9"/>
      <c r="AF14356" s="10"/>
      <c r="AG14356" s="10"/>
      <c r="AH14356" s="10"/>
      <c r="AI14356" s="10"/>
    </row>
    <row r="14357" spans="28:35" ht="15" hidden="1" customHeight="1">
      <c r="AB14357" s="9"/>
      <c r="AC14357" s="9"/>
      <c r="AD14357" s="9"/>
      <c r="AF14357" s="10"/>
      <c r="AG14357" s="10"/>
      <c r="AH14357" s="10"/>
      <c r="AI14357" s="10"/>
    </row>
    <row r="14358" spans="28:35" ht="15" hidden="1" customHeight="1">
      <c r="AB14358" s="9"/>
      <c r="AC14358" s="9"/>
      <c r="AD14358" s="9"/>
      <c r="AF14358" s="10"/>
      <c r="AG14358" s="10"/>
      <c r="AH14358" s="10"/>
      <c r="AI14358" s="10"/>
    </row>
    <row r="14359" spans="28:35" ht="15" hidden="1" customHeight="1">
      <c r="AB14359" s="9"/>
      <c r="AC14359" s="9"/>
      <c r="AD14359" s="9"/>
      <c r="AF14359" s="10"/>
      <c r="AG14359" s="10"/>
      <c r="AH14359" s="10"/>
      <c r="AI14359" s="10"/>
    </row>
    <row r="14360" spans="28:35" ht="15" hidden="1" customHeight="1">
      <c r="AB14360" s="9"/>
      <c r="AC14360" s="9"/>
      <c r="AD14360" s="9"/>
      <c r="AF14360" s="10"/>
      <c r="AG14360" s="10"/>
      <c r="AH14360" s="10"/>
      <c r="AI14360" s="10"/>
    </row>
    <row r="14361" spans="28:35" ht="15" hidden="1" customHeight="1">
      <c r="AB14361" s="9"/>
      <c r="AC14361" s="9"/>
      <c r="AD14361" s="9"/>
      <c r="AF14361" s="10"/>
      <c r="AG14361" s="10"/>
      <c r="AH14361" s="10"/>
      <c r="AI14361" s="10"/>
    </row>
    <row r="14362" spans="28:35" ht="15" hidden="1" customHeight="1">
      <c r="AB14362" s="9"/>
      <c r="AC14362" s="9"/>
      <c r="AD14362" s="9"/>
      <c r="AF14362" s="10"/>
      <c r="AG14362" s="10"/>
      <c r="AH14362" s="10"/>
      <c r="AI14362" s="10"/>
    </row>
    <row r="14363" spans="28:35" ht="15" hidden="1" customHeight="1">
      <c r="AB14363" s="9"/>
      <c r="AC14363" s="9"/>
      <c r="AD14363" s="9"/>
      <c r="AF14363" s="10"/>
      <c r="AG14363" s="10"/>
      <c r="AH14363" s="10"/>
      <c r="AI14363" s="10"/>
    </row>
    <row r="14364" spans="28:35" ht="15" hidden="1" customHeight="1">
      <c r="AB14364" s="9"/>
      <c r="AC14364" s="9"/>
      <c r="AD14364" s="9"/>
      <c r="AF14364" s="10"/>
      <c r="AG14364" s="10"/>
      <c r="AH14364" s="10"/>
      <c r="AI14364" s="10"/>
    </row>
    <row r="14365" spans="28:35" ht="15" hidden="1" customHeight="1">
      <c r="AB14365" s="9"/>
      <c r="AC14365" s="9"/>
      <c r="AD14365" s="9"/>
      <c r="AF14365" s="10"/>
      <c r="AG14365" s="10"/>
      <c r="AH14365" s="10"/>
      <c r="AI14365" s="10"/>
    </row>
    <row r="14366" spans="28:35" ht="15" hidden="1" customHeight="1">
      <c r="AB14366" s="9"/>
      <c r="AC14366" s="9"/>
      <c r="AD14366" s="9"/>
      <c r="AF14366" s="10"/>
      <c r="AG14366" s="10"/>
      <c r="AH14366" s="10"/>
      <c r="AI14366" s="10"/>
    </row>
    <row r="14367" spans="28:35" ht="15" hidden="1" customHeight="1">
      <c r="AB14367" s="9"/>
      <c r="AC14367" s="9"/>
      <c r="AD14367" s="9"/>
      <c r="AF14367" s="10"/>
      <c r="AG14367" s="10"/>
      <c r="AH14367" s="10"/>
      <c r="AI14367" s="10"/>
    </row>
    <row r="14368" spans="28:35" ht="15" hidden="1" customHeight="1">
      <c r="AB14368" s="9"/>
      <c r="AC14368" s="9"/>
      <c r="AD14368" s="9"/>
      <c r="AF14368" s="10"/>
      <c r="AG14368" s="10"/>
      <c r="AH14368" s="10"/>
      <c r="AI14368" s="10"/>
    </row>
    <row r="14369" spans="28:35" ht="15" hidden="1" customHeight="1">
      <c r="AB14369" s="9"/>
      <c r="AC14369" s="9"/>
      <c r="AD14369" s="9"/>
      <c r="AF14369" s="10"/>
      <c r="AG14369" s="10"/>
      <c r="AH14369" s="10"/>
      <c r="AI14369" s="10"/>
    </row>
    <row r="14370" spans="28:35" ht="15" hidden="1" customHeight="1">
      <c r="AB14370" s="9"/>
      <c r="AC14370" s="9"/>
      <c r="AD14370" s="9"/>
      <c r="AF14370" s="10"/>
      <c r="AG14370" s="10"/>
      <c r="AH14370" s="10"/>
      <c r="AI14370" s="10"/>
    </row>
    <row r="14371" spans="28:35" ht="15" hidden="1" customHeight="1">
      <c r="AB14371" s="9"/>
      <c r="AC14371" s="9"/>
      <c r="AD14371" s="9"/>
      <c r="AF14371" s="10"/>
      <c r="AG14371" s="10"/>
      <c r="AH14371" s="10"/>
      <c r="AI14371" s="10"/>
    </row>
    <row r="14372" spans="28:35" ht="15" hidden="1" customHeight="1">
      <c r="AB14372" s="9"/>
      <c r="AC14372" s="9"/>
      <c r="AD14372" s="9"/>
      <c r="AF14372" s="10"/>
      <c r="AG14372" s="10"/>
      <c r="AH14372" s="10"/>
      <c r="AI14372" s="10"/>
    </row>
    <row r="14373" spans="28:35" ht="15" hidden="1" customHeight="1">
      <c r="AB14373" s="9"/>
      <c r="AC14373" s="9"/>
      <c r="AD14373" s="9"/>
      <c r="AF14373" s="10"/>
      <c r="AG14373" s="10"/>
      <c r="AH14373" s="10"/>
      <c r="AI14373" s="10"/>
    </row>
    <row r="14374" spans="28:35" ht="15" hidden="1" customHeight="1">
      <c r="AB14374" s="9"/>
      <c r="AC14374" s="9"/>
      <c r="AD14374" s="9"/>
      <c r="AF14374" s="10"/>
      <c r="AG14374" s="10"/>
      <c r="AH14374" s="10"/>
      <c r="AI14374" s="10"/>
    </row>
    <row r="14375" spans="28:35" ht="15" hidden="1" customHeight="1">
      <c r="AB14375" s="9"/>
      <c r="AC14375" s="9"/>
      <c r="AD14375" s="9"/>
      <c r="AF14375" s="10"/>
      <c r="AG14375" s="10"/>
      <c r="AH14375" s="10"/>
      <c r="AI14375" s="10"/>
    </row>
    <row r="14376" spans="28:35" ht="15" hidden="1" customHeight="1">
      <c r="AB14376" s="9"/>
      <c r="AC14376" s="9"/>
      <c r="AD14376" s="9"/>
      <c r="AF14376" s="10"/>
      <c r="AG14376" s="10"/>
      <c r="AH14376" s="10"/>
      <c r="AI14376" s="10"/>
    </row>
    <row r="14377" spans="28:35" ht="15" hidden="1" customHeight="1">
      <c r="AB14377" s="9"/>
      <c r="AC14377" s="9"/>
      <c r="AD14377" s="9"/>
      <c r="AF14377" s="10"/>
      <c r="AG14377" s="10"/>
      <c r="AH14377" s="10"/>
      <c r="AI14377" s="10"/>
    </row>
    <row r="14378" spans="28:35" ht="15" hidden="1" customHeight="1">
      <c r="AB14378" s="9"/>
      <c r="AC14378" s="9"/>
      <c r="AD14378" s="9"/>
      <c r="AF14378" s="10"/>
      <c r="AG14378" s="10"/>
      <c r="AH14378" s="10"/>
      <c r="AI14378" s="10"/>
    </row>
    <row r="14379" spans="28:35" ht="15" hidden="1" customHeight="1">
      <c r="AB14379" s="9"/>
      <c r="AC14379" s="9"/>
      <c r="AD14379" s="9"/>
      <c r="AF14379" s="10"/>
      <c r="AG14379" s="10"/>
      <c r="AH14379" s="10"/>
      <c r="AI14379" s="10"/>
    </row>
    <row r="14380" spans="28:35" ht="15" hidden="1" customHeight="1">
      <c r="AB14380" s="9"/>
      <c r="AC14380" s="9"/>
      <c r="AD14380" s="9"/>
      <c r="AF14380" s="10"/>
      <c r="AG14380" s="10"/>
      <c r="AH14380" s="10"/>
      <c r="AI14380" s="10"/>
    </row>
    <row r="14381" spans="28:35" ht="15" hidden="1" customHeight="1">
      <c r="AB14381" s="9"/>
      <c r="AC14381" s="9"/>
      <c r="AD14381" s="9"/>
      <c r="AF14381" s="10"/>
      <c r="AG14381" s="10"/>
      <c r="AH14381" s="10"/>
      <c r="AI14381" s="10"/>
    </row>
    <row r="14382" spans="28:35" ht="15" hidden="1" customHeight="1">
      <c r="AB14382" s="9"/>
      <c r="AC14382" s="9"/>
      <c r="AD14382" s="9"/>
      <c r="AF14382" s="10"/>
      <c r="AG14382" s="10"/>
      <c r="AH14382" s="10"/>
      <c r="AI14382" s="10"/>
    </row>
    <row r="14383" spans="28:35" ht="15" hidden="1" customHeight="1">
      <c r="AB14383" s="9"/>
      <c r="AC14383" s="9"/>
      <c r="AD14383" s="9"/>
      <c r="AF14383" s="10"/>
      <c r="AG14383" s="10"/>
      <c r="AH14383" s="10"/>
      <c r="AI14383" s="10"/>
    </row>
    <row r="14384" spans="28:35" ht="15" hidden="1" customHeight="1">
      <c r="AB14384" s="9"/>
      <c r="AC14384" s="9"/>
      <c r="AD14384" s="9"/>
      <c r="AF14384" s="10"/>
      <c r="AG14384" s="10"/>
      <c r="AH14384" s="10"/>
      <c r="AI14384" s="10"/>
    </row>
    <row r="14385" spans="28:35" ht="15" hidden="1" customHeight="1">
      <c r="AB14385" s="9"/>
      <c r="AC14385" s="9"/>
      <c r="AD14385" s="9"/>
      <c r="AF14385" s="10"/>
      <c r="AG14385" s="10"/>
      <c r="AH14385" s="10"/>
      <c r="AI14385" s="10"/>
    </row>
    <row r="14386" spans="28:35" ht="15" hidden="1" customHeight="1">
      <c r="AB14386" s="9"/>
      <c r="AC14386" s="9"/>
      <c r="AD14386" s="9"/>
      <c r="AF14386" s="10"/>
      <c r="AG14386" s="10"/>
      <c r="AH14386" s="10"/>
      <c r="AI14386" s="10"/>
    </row>
    <row r="14387" spans="28:35" ht="15" hidden="1" customHeight="1">
      <c r="AB14387" s="9"/>
      <c r="AC14387" s="9"/>
      <c r="AD14387" s="9"/>
      <c r="AF14387" s="10"/>
      <c r="AG14387" s="10"/>
      <c r="AH14387" s="10"/>
      <c r="AI14387" s="10"/>
    </row>
    <row r="14388" spans="28:35" ht="15" hidden="1" customHeight="1">
      <c r="AB14388" s="9"/>
      <c r="AC14388" s="9"/>
      <c r="AD14388" s="9"/>
      <c r="AF14388" s="10"/>
      <c r="AG14388" s="10"/>
      <c r="AH14388" s="10"/>
      <c r="AI14388" s="10"/>
    </row>
    <row r="14389" spans="28:35" ht="15" hidden="1" customHeight="1">
      <c r="AB14389" s="9"/>
      <c r="AC14389" s="9"/>
      <c r="AD14389" s="9"/>
      <c r="AF14389" s="10"/>
      <c r="AG14389" s="10"/>
      <c r="AH14389" s="10"/>
      <c r="AI14389" s="10"/>
    </row>
    <row r="14390" spans="28:35" ht="15" hidden="1" customHeight="1">
      <c r="AB14390" s="9"/>
      <c r="AC14390" s="9"/>
      <c r="AD14390" s="9"/>
      <c r="AF14390" s="10"/>
      <c r="AG14390" s="10"/>
      <c r="AH14390" s="10"/>
      <c r="AI14390" s="10"/>
    </row>
    <row r="14391" spans="28:35" ht="15" hidden="1" customHeight="1">
      <c r="AB14391" s="9"/>
      <c r="AC14391" s="9"/>
      <c r="AD14391" s="9"/>
      <c r="AF14391" s="10"/>
      <c r="AG14391" s="10"/>
      <c r="AH14391" s="10"/>
      <c r="AI14391" s="10"/>
    </row>
    <row r="14392" spans="28:35" ht="15" hidden="1" customHeight="1">
      <c r="AB14392" s="9"/>
      <c r="AC14392" s="9"/>
      <c r="AD14392" s="9"/>
      <c r="AF14392" s="10"/>
      <c r="AG14392" s="10"/>
      <c r="AH14392" s="10"/>
      <c r="AI14392" s="10"/>
    </row>
    <row r="14393" spans="28:35" ht="15" hidden="1" customHeight="1">
      <c r="AB14393" s="9"/>
      <c r="AC14393" s="9"/>
      <c r="AD14393" s="9"/>
      <c r="AF14393" s="10"/>
      <c r="AG14393" s="10"/>
      <c r="AH14393" s="10"/>
      <c r="AI14393" s="10"/>
    </row>
    <row r="14394" spans="28:35" ht="15" hidden="1" customHeight="1">
      <c r="AB14394" s="9"/>
      <c r="AC14394" s="9"/>
      <c r="AD14394" s="9"/>
      <c r="AF14394" s="10"/>
      <c r="AG14394" s="10"/>
      <c r="AH14394" s="10"/>
      <c r="AI14394" s="10"/>
    </row>
    <row r="14395" spans="28:35" ht="15" hidden="1" customHeight="1">
      <c r="AB14395" s="9"/>
      <c r="AC14395" s="9"/>
      <c r="AD14395" s="9"/>
      <c r="AF14395" s="10"/>
      <c r="AG14395" s="10"/>
      <c r="AH14395" s="10"/>
      <c r="AI14395" s="10"/>
    </row>
    <row r="14396" spans="28:35" ht="15" hidden="1" customHeight="1">
      <c r="AB14396" s="9"/>
      <c r="AC14396" s="9"/>
      <c r="AD14396" s="9"/>
      <c r="AF14396" s="10"/>
      <c r="AG14396" s="10"/>
      <c r="AH14396" s="10"/>
      <c r="AI14396" s="10"/>
    </row>
    <row r="14397" spans="28:35" ht="15" hidden="1" customHeight="1">
      <c r="AB14397" s="9"/>
      <c r="AC14397" s="9"/>
      <c r="AD14397" s="9"/>
      <c r="AF14397" s="10"/>
      <c r="AG14397" s="10"/>
      <c r="AH14397" s="10"/>
      <c r="AI14397" s="10"/>
    </row>
    <row r="14398" spans="28:35" ht="15" hidden="1" customHeight="1">
      <c r="AB14398" s="9"/>
      <c r="AC14398" s="9"/>
      <c r="AD14398" s="9"/>
      <c r="AF14398" s="10"/>
      <c r="AG14398" s="10"/>
      <c r="AH14398" s="10"/>
      <c r="AI14398" s="10"/>
    </row>
    <row r="14399" spans="28:35" ht="15" hidden="1" customHeight="1">
      <c r="AB14399" s="9"/>
      <c r="AC14399" s="9"/>
      <c r="AD14399" s="9"/>
      <c r="AF14399" s="10"/>
      <c r="AG14399" s="10"/>
      <c r="AH14399" s="10"/>
      <c r="AI14399" s="10"/>
    </row>
    <row r="14400" spans="28:35" ht="15" hidden="1" customHeight="1">
      <c r="AB14400" s="9"/>
      <c r="AC14400" s="9"/>
      <c r="AD14400" s="9"/>
      <c r="AF14400" s="10"/>
      <c r="AG14400" s="10"/>
      <c r="AH14400" s="10"/>
      <c r="AI14400" s="10"/>
    </row>
    <row r="14401" spans="28:35" ht="15" hidden="1" customHeight="1">
      <c r="AB14401" s="9"/>
      <c r="AC14401" s="9"/>
      <c r="AD14401" s="9"/>
      <c r="AF14401" s="10"/>
      <c r="AG14401" s="10"/>
      <c r="AH14401" s="10"/>
      <c r="AI14401" s="10"/>
    </row>
    <row r="14402" spans="28:35" ht="15" hidden="1" customHeight="1">
      <c r="AB14402" s="9"/>
      <c r="AC14402" s="9"/>
      <c r="AD14402" s="9"/>
      <c r="AF14402" s="10"/>
      <c r="AG14402" s="10"/>
      <c r="AH14402" s="10"/>
      <c r="AI14402" s="10"/>
    </row>
    <row r="14403" spans="28:35" ht="15" hidden="1" customHeight="1">
      <c r="AB14403" s="9"/>
      <c r="AC14403" s="9"/>
      <c r="AD14403" s="9"/>
      <c r="AF14403" s="10"/>
      <c r="AG14403" s="10"/>
      <c r="AH14403" s="10"/>
      <c r="AI14403" s="10"/>
    </row>
    <row r="14404" spans="28:35" ht="15" hidden="1" customHeight="1">
      <c r="AB14404" s="9"/>
      <c r="AC14404" s="9"/>
      <c r="AD14404" s="9"/>
      <c r="AF14404" s="10"/>
      <c r="AG14404" s="10"/>
      <c r="AH14404" s="10"/>
      <c r="AI14404" s="10"/>
    </row>
    <row r="14405" spans="28:35" ht="15" hidden="1" customHeight="1">
      <c r="AB14405" s="9"/>
      <c r="AC14405" s="9"/>
      <c r="AD14405" s="9"/>
      <c r="AF14405" s="10"/>
      <c r="AG14405" s="10"/>
      <c r="AH14405" s="10"/>
      <c r="AI14405" s="10"/>
    </row>
    <row r="14406" spans="28:35" ht="15" hidden="1" customHeight="1">
      <c r="AB14406" s="9"/>
      <c r="AC14406" s="9"/>
      <c r="AD14406" s="9"/>
      <c r="AF14406" s="10"/>
      <c r="AG14406" s="10"/>
      <c r="AH14406" s="10"/>
      <c r="AI14406" s="10"/>
    </row>
    <row r="14407" spans="28:35" ht="15" hidden="1" customHeight="1">
      <c r="AB14407" s="9"/>
      <c r="AC14407" s="9"/>
      <c r="AD14407" s="9"/>
      <c r="AF14407" s="10"/>
      <c r="AG14407" s="10"/>
      <c r="AH14407" s="10"/>
      <c r="AI14407" s="10"/>
    </row>
    <row r="14408" spans="28:35" ht="15" hidden="1" customHeight="1">
      <c r="AB14408" s="9"/>
      <c r="AC14408" s="9"/>
      <c r="AD14408" s="9"/>
      <c r="AF14408" s="10"/>
      <c r="AG14408" s="10"/>
      <c r="AH14408" s="10"/>
      <c r="AI14408" s="10"/>
    </row>
    <row r="14409" spans="28:35" ht="15" hidden="1" customHeight="1">
      <c r="AB14409" s="9"/>
      <c r="AC14409" s="9"/>
      <c r="AD14409" s="9"/>
      <c r="AF14409" s="10"/>
      <c r="AG14409" s="10"/>
      <c r="AH14409" s="10"/>
      <c r="AI14409" s="10"/>
    </row>
    <row r="14410" spans="28:35" ht="15" hidden="1" customHeight="1">
      <c r="AB14410" s="9"/>
      <c r="AC14410" s="9"/>
      <c r="AD14410" s="9"/>
      <c r="AF14410" s="10"/>
      <c r="AG14410" s="10"/>
      <c r="AH14410" s="10"/>
      <c r="AI14410" s="10"/>
    </row>
    <row r="14411" spans="28:35" ht="15" hidden="1" customHeight="1">
      <c r="AB14411" s="9"/>
      <c r="AC14411" s="9"/>
      <c r="AD14411" s="9"/>
      <c r="AF14411" s="10"/>
      <c r="AG14411" s="10"/>
      <c r="AH14411" s="10"/>
      <c r="AI14411" s="10"/>
    </row>
    <row r="14412" spans="28:35" ht="15" hidden="1" customHeight="1">
      <c r="AB14412" s="9"/>
      <c r="AC14412" s="9"/>
      <c r="AD14412" s="9"/>
      <c r="AF14412" s="10"/>
      <c r="AG14412" s="10"/>
      <c r="AH14412" s="10"/>
      <c r="AI14412" s="10"/>
    </row>
    <row r="14413" spans="28:35" ht="15" hidden="1" customHeight="1">
      <c r="AB14413" s="9"/>
      <c r="AC14413" s="9"/>
      <c r="AD14413" s="9"/>
      <c r="AF14413" s="10"/>
      <c r="AG14413" s="10"/>
      <c r="AH14413" s="10"/>
      <c r="AI14413" s="10"/>
    </row>
    <row r="14414" spans="28:35" ht="15" hidden="1" customHeight="1">
      <c r="AB14414" s="9"/>
      <c r="AC14414" s="9"/>
      <c r="AD14414" s="9"/>
      <c r="AF14414" s="10"/>
      <c r="AG14414" s="10"/>
      <c r="AH14414" s="10"/>
      <c r="AI14414" s="10"/>
    </row>
    <row r="14415" spans="28:35" ht="15" hidden="1" customHeight="1">
      <c r="AB14415" s="9"/>
      <c r="AC14415" s="9"/>
      <c r="AD14415" s="9"/>
      <c r="AF14415" s="10"/>
      <c r="AG14415" s="10"/>
      <c r="AH14415" s="10"/>
      <c r="AI14415" s="10"/>
    </row>
    <row r="14416" spans="28:35" ht="15" hidden="1" customHeight="1">
      <c r="AB14416" s="9"/>
      <c r="AC14416" s="9"/>
      <c r="AD14416" s="9"/>
      <c r="AF14416" s="10"/>
      <c r="AG14416" s="10"/>
      <c r="AH14416" s="10"/>
      <c r="AI14416" s="10"/>
    </row>
    <row r="14417" spans="28:35" ht="15" hidden="1" customHeight="1">
      <c r="AB14417" s="9"/>
      <c r="AC14417" s="9"/>
      <c r="AD14417" s="9"/>
      <c r="AF14417" s="10"/>
      <c r="AG14417" s="10"/>
      <c r="AH14417" s="10"/>
      <c r="AI14417" s="10"/>
    </row>
    <row r="14418" spans="28:35" ht="15" hidden="1" customHeight="1">
      <c r="AB14418" s="9"/>
      <c r="AC14418" s="9"/>
      <c r="AD14418" s="9"/>
      <c r="AF14418" s="10"/>
      <c r="AG14418" s="10"/>
      <c r="AH14418" s="10"/>
      <c r="AI14418" s="10"/>
    </row>
    <row r="14419" spans="28:35" ht="15" hidden="1" customHeight="1">
      <c r="AB14419" s="9"/>
      <c r="AC14419" s="9"/>
      <c r="AD14419" s="9"/>
      <c r="AF14419" s="10"/>
      <c r="AG14419" s="10"/>
      <c r="AH14419" s="10"/>
      <c r="AI14419" s="10"/>
    </row>
    <row r="14420" spans="28:35" ht="15" hidden="1" customHeight="1">
      <c r="AB14420" s="9"/>
      <c r="AC14420" s="9"/>
      <c r="AD14420" s="9"/>
      <c r="AF14420" s="10"/>
      <c r="AG14420" s="10"/>
      <c r="AH14420" s="10"/>
      <c r="AI14420" s="10"/>
    </row>
    <row r="14421" spans="28:35" ht="15" hidden="1" customHeight="1">
      <c r="AB14421" s="9"/>
      <c r="AC14421" s="9"/>
      <c r="AD14421" s="9"/>
      <c r="AF14421" s="10"/>
      <c r="AG14421" s="10"/>
      <c r="AH14421" s="10"/>
      <c r="AI14421" s="10"/>
    </row>
    <row r="14422" spans="28:35" ht="15" hidden="1" customHeight="1">
      <c r="AB14422" s="9"/>
      <c r="AC14422" s="9"/>
      <c r="AD14422" s="9"/>
      <c r="AF14422" s="10"/>
      <c r="AG14422" s="10"/>
      <c r="AH14422" s="10"/>
      <c r="AI14422" s="10"/>
    </row>
    <row r="14423" spans="28:35" ht="15" hidden="1" customHeight="1">
      <c r="AB14423" s="9"/>
      <c r="AC14423" s="9"/>
      <c r="AD14423" s="9"/>
      <c r="AF14423" s="10"/>
      <c r="AG14423" s="10"/>
      <c r="AH14423" s="10"/>
      <c r="AI14423" s="10"/>
    </row>
    <row r="14424" spans="28:35" ht="15" hidden="1" customHeight="1">
      <c r="AB14424" s="9"/>
      <c r="AC14424" s="9"/>
      <c r="AD14424" s="9"/>
      <c r="AF14424" s="10"/>
      <c r="AG14424" s="10"/>
      <c r="AH14424" s="10"/>
      <c r="AI14424" s="10"/>
    </row>
    <row r="14425" spans="28:35" ht="15" hidden="1" customHeight="1">
      <c r="AB14425" s="9"/>
      <c r="AC14425" s="9"/>
      <c r="AD14425" s="9"/>
      <c r="AF14425" s="10"/>
      <c r="AG14425" s="10"/>
      <c r="AH14425" s="10"/>
      <c r="AI14425" s="10"/>
    </row>
    <row r="14426" spans="28:35" ht="15" hidden="1" customHeight="1">
      <c r="AB14426" s="9"/>
      <c r="AC14426" s="9"/>
      <c r="AD14426" s="9"/>
      <c r="AF14426" s="10"/>
      <c r="AG14426" s="10"/>
      <c r="AH14426" s="10"/>
      <c r="AI14426" s="10"/>
    </row>
    <row r="14427" spans="28:35" ht="15" hidden="1" customHeight="1">
      <c r="AB14427" s="9"/>
      <c r="AC14427" s="9"/>
      <c r="AD14427" s="9"/>
      <c r="AF14427" s="10"/>
      <c r="AG14427" s="10"/>
      <c r="AH14427" s="10"/>
      <c r="AI14427" s="10"/>
    </row>
    <row r="14428" spans="28:35" ht="15" hidden="1" customHeight="1">
      <c r="AB14428" s="9"/>
      <c r="AC14428" s="9"/>
      <c r="AD14428" s="9"/>
      <c r="AF14428" s="10"/>
      <c r="AG14428" s="10"/>
      <c r="AH14428" s="10"/>
      <c r="AI14428" s="10"/>
    </row>
    <row r="14429" spans="28:35" ht="15" hidden="1" customHeight="1">
      <c r="AB14429" s="9"/>
      <c r="AC14429" s="9"/>
      <c r="AD14429" s="9"/>
      <c r="AF14429" s="10"/>
      <c r="AG14429" s="10"/>
      <c r="AH14429" s="10"/>
      <c r="AI14429" s="10"/>
    </row>
    <row r="14430" spans="28:35" ht="15" hidden="1" customHeight="1">
      <c r="AB14430" s="9"/>
      <c r="AC14430" s="9"/>
      <c r="AD14430" s="9"/>
      <c r="AF14430" s="10"/>
      <c r="AG14430" s="10"/>
      <c r="AH14430" s="10"/>
      <c r="AI14430" s="10"/>
    </row>
    <row r="14431" spans="28:35" ht="15" hidden="1" customHeight="1">
      <c r="AB14431" s="9"/>
      <c r="AC14431" s="9"/>
      <c r="AD14431" s="9"/>
      <c r="AF14431" s="10"/>
      <c r="AG14431" s="10"/>
      <c r="AH14431" s="10"/>
      <c r="AI14431" s="10"/>
    </row>
    <row r="14432" spans="28:35" ht="15" hidden="1" customHeight="1">
      <c r="AB14432" s="9"/>
      <c r="AC14432" s="9"/>
      <c r="AD14432" s="9"/>
      <c r="AF14432" s="10"/>
      <c r="AG14432" s="10"/>
      <c r="AH14432" s="10"/>
      <c r="AI14432" s="10"/>
    </row>
    <row r="14433" spans="28:35" ht="15" hidden="1" customHeight="1">
      <c r="AB14433" s="9"/>
      <c r="AC14433" s="9"/>
      <c r="AD14433" s="9"/>
      <c r="AF14433" s="10"/>
      <c r="AG14433" s="10"/>
      <c r="AH14433" s="10"/>
      <c r="AI14433" s="10"/>
    </row>
    <row r="14434" spans="28:35" ht="15" hidden="1" customHeight="1">
      <c r="AB14434" s="9"/>
      <c r="AC14434" s="9"/>
      <c r="AD14434" s="9"/>
      <c r="AF14434" s="10"/>
      <c r="AG14434" s="10"/>
      <c r="AH14434" s="10"/>
      <c r="AI14434" s="10"/>
    </row>
    <row r="14435" spans="28:35" ht="15" hidden="1" customHeight="1">
      <c r="AB14435" s="9"/>
      <c r="AC14435" s="9"/>
      <c r="AD14435" s="9"/>
      <c r="AF14435" s="10"/>
      <c r="AG14435" s="10"/>
      <c r="AH14435" s="10"/>
      <c r="AI14435" s="10"/>
    </row>
    <row r="14436" spans="28:35" ht="15" hidden="1" customHeight="1">
      <c r="AB14436" s="9"/>
      <c r="AC14436" s="9"/>
      <c r="AD14436" s="9"/>
      <c r="AF14436" s="10"/>
      <c r="AG14436" s="10"/>
      <c r="AH14436" s="10"/>
      <c r="AI14436" s="10"/>
    </row>
    <row r="14437" spans="28:35" ht="15" hidden="1" customHeight="1">
      <c r="AB14437" s="9"/>
      <c r="AC14437" s="9"/>
      <c r="AD14437" s="9"/>
      <c r="AF14437" s="10"/>
      <c r="AG14437" s="10"/>
      <c r="AH14437" s="10"/>
      <c r="AI14437" s="10"/>
    </row>
    <row r="14438" spans="28:35" ht="15" hidden="1" customHeight="1">
      <c r="AB14438" s="9"/>
      <c r="AC14438" s="9"/>
      <c r="AD14438" s="9"/>
      <c r="AF14438" s="10"/>
      <c r="AG14438" s="10"/>
      <c r="AH14438" s="10"/>
      <c r="AI14438" s="10"/>
    </row>
    <row r="14439" spans="28:35" ht="15" hidden="1" customHeight="1">
      <c r="AB14439" s="9"/>
      <c r="AC14439" s="9"/>
      <c r="AD14439" s="9"/>
      <c r="AF14439" s="10"/>
      <c r="AG14439" s="10"/>
      <c r="AH14439" s="10"/>
      <c r="AI14439" s="10"/>
    </row>
    <row r="14440" spans="28:35" ht="15" hidden="1" customHeight="1">
      <c r="AB14440" s="9"/>
      <c r="AC14440" s="9"/>
      <c r="AD14440" s="9"/>
      <c r="AF14440" s="10"/>
      <c r="AG14440" s="10"/>
      <c r="AH14440" s="10"/>
      <c r="AI14440" s="10"/>
    </row>
    <row r="14441" spans="28:35" ht="15" hidden="1" customHeight="1">
      <c r="AB14441" s="9"/>
      <c r="AC14441" s="9"/>
      <c r="AD14441" s="9"/>
      <c r="AF14441" s="10"/>
      <c r="AG14441" s="10"/>
      <c r="AH14441" s="10"/>
      <c r="AI14441" s="10"/>
    </row>
    <row r="14442" spans="28:35" ht="15" hidden="1" customHeight="1">
      <c r="AB14442" s="9"/>
      <c r="AC14442" s="9"/>
      <c r="AD14442" s="9"/>
      <c r="AF14442" s="10"/>
      <c r="AG14442" s="10"/>
      <c r="AH14442" s="10"/>
      <c r="AI14442" s="10"/>
    </row>
    <row r="14443" spans="28:35" ht="15" hidden="1" customHeight="1">
      <c r="AB14443" s="9"/>
      <c r="AC14443" s="9"/>
      <c r="AD14443" s="9"/>
      <c r="AF14443" s="10"/>
      <c r="AG14443" s="10"/>
      <c r="AH14443" s="10"/>
      <c r="AI14443" s="10"/>
    </row>
    <row r="14444" spans="28:35" ht="15" hidden="1" customHeight="1">
      <c r="AB14444" s="9"/>
      <c r="AC14444" s="9"/>
      <c r="AD14444" s="9"/>
      <c r="AF14444" s="10"/>
      <c r="AG14444" s="10"/>
      <c r="AH14444" s="10"/>
      <c r="AI14444" s="10"/>
    </row>
    <row r="14445" spans="28:35" ht="15" hidden="1" customHeight="1">
      <c r="AB14445" s="9"/>
      <c r="AC14445" s="9"/>
      <c r="AD14445" s="9"/>
      <c r="AF14445" s="10"/>
      <c r="AG14445" s="10"/>
      <c r="AH14445" s="10"/>
      <c r="AI14445" s="10"/>
    </row>
    <row r="14446" spans="28:35" ht="15" hidden="1" customHeight="1">
      <c r="AB14446" s="9"/>
      <c r="AC14446" s="9"/>
      <c r="AD14446" s="9"/>
      <c r="AF14446" s="10"/>
      <c r="AG14446" s="10"/>
      <c r="AH14446" s="10"/>
      <c r="AI14446" s="10"/>
    </row>
    <row r="14447" spans="28:35" ht="15" hidden="1" customHeight="1">
      <c r="AB14447" s="9"/>
      <c r="AC14447" s="9"/>
      <c r="AD14447" s="9"/>
      <c r="AF14447" s="10"/>
      <c r="AG14447" s="10"/>
      <c r="AH14447" s="10"/>
      <c r="AI14447" s="10"/>
    </row>
    <row r="14448" spans="28:35" ht="15" hidden="1" customHeight="1">
      <c r="AB14448" s="9"/>
      <c r="AC14448" s="9"/>
      <c r="AD14448" s="9"/>
      <c r="AF14448" s="10"/>
      <c r="AG14448" s="10"/>
      <c r="AH14448" s="10"/>
      <c r="AI14448" s="10"/>
    </row>
    <row r="14449" spans="28:35" ht="15" hidden="1" customHeight="1">
      <c r="AB14449" s="9"/>
      <c r="AC14449" s="9"/>
      <c r="AD14449" s="9"/>
      <c r="AF14449" s="10"/>
      <c r="AG14449" s="10"/>
      <c r="AH14449" s="10"/>
      <c r="AI14449" s="10"/>
    </row>
    <row r="14450" spans="28:35" ht="15" hidden="1" customHeight="1">
      <c r="AB14450" s="9"/>
      <c r="AC14450" s="9"/>
      <c r="AD14450" s="9"/>
      <c r="AF14450" s="10"/>
      <c r="AG14450" s="10"/>
      <c r="AH14450" s="10"/>
      <c r="AI14450" s="10"/>
    </row>
    <row r="14451" spans="28:35" ht="15" hidden="1" customHeight="1">
      <c r="AB14451" s="9"/>
      <c r="AC14451" s="9"/>
      <c r="AD14451" s="9"/>
      <c r="AF14451" s="10"/>
      <c r="AG14451" s="10"/>
      <c r="AH14451" s="10"/>
      <c r="AI14451" s="10"/>
    </row>
    <row r="14452" spans="28:35" ht="15" hidden="1" customHeight="1">
      <c r="AB14452" s="9"/>
      <c r="AC14452" s="9"/>
      <c r="AD14452" s="9"/>
      <c r="AF14452" s="10"/>
      <c r="AG14452" s="10"/>
      <c r="AH14452" s="10"/>
      <c r="AI14452" s="10"/>
    </row>
    <row r="14453" spans="28:35" ht="15" hidden="1" customHeight="1">
      <c r="AB14453" s="9"/>
      <c r="AC14453" s="9"/>
      <c r="AD14453" s="9"/>
      <c r="AF14453" s="10"/>
      <c r="AG14453" s="10"/>
      <c r="AH14453" s="10"/>
      <c r="AI14453" s="10"/>
    </row>
    <row r="14454" spans="28:35" ht="15" hidden="1" customHeight="1">
      <c r="AB14454" s="9"/>
      <c r="AC14454" s="9"/>
      <c r="AD14454" s="9"/>
      <c r="AF14454" s="10"/>
      <c r="AG14454" s="10"/>
      <c r="AH14454" s="10"/>
      <c r="AI14454" s="10"/>
    </row>
    <row r="14455" spans="28:35" ht="15" hidden="1" customHeight="1">
      <c r="AB14455" s="9"/>
      <c r="AC14455" s="9"/>
      <c r="AD14455" s="9"/>
      <c r="AF14455" s="10"/>
      <c r="AG14455" s="10"/>
      <c r="AH14455" s="10"/>
      <c r="AI14455" s="10"/>
    </row>
    <row r="14456" spans="28:35" ht="15" hidden="1" customHeight="1">
      <c r="AB14456" s="9"/>
      <c r="AC14456" s="9"/>
      <c r="AD14456" s="9"/>
      <c r="AF14456" s="10"/>
      <c r="AG14456" s="10"/>
      <c r="AH14456" s="10"/>
      <c r="AI14456" s="10"/>
    </row>
    <row r="14457" spans="28:35" ht="15" hidden="1" customHeight="1">
      <c r="AB14457" s="9"/>
      <c r="AC14457" s="9"/>
      <c r="AD14457" s="9"/>
      <c r="AF14457" s="10"/>
      <c r="AG14457" s="10"/>
      <c r="AH14457" s="10"/>
      <c r="AI14457" s="10"/>
    </row>
    <row r="14458" spans="28:35" ht="15" hidden="1" customHeight="1">
      <c r="AB14458" s="9"/>
      <c r="AC14458" s="9"/>
      <c r="AD14458" s="9"/>
      <c r="AF14458" s="10"/>
      <c r="AG14458" s="10"/>
      <c r="AH14458" s="10"/>
      <c r="AI14458" s="10"/>
    </row>
    <row r="14459" spans="28:35" ht="15" hidden="1" customHeight="1">
      <c r="AB14459" s="9"/>
      <c r="AC14459" s="9"/>
      <c r="AD14459" s="9"/>
      <c r="AF14459" s="10"/>
      <c r="AG14459" s="10"/>
      <c r="AH14459" s="10"/>
      <c r="AI14459" s="10"/>
    </row>
    <row r="14460" spans="28:35" ht="15" hidden="1" customHeight="1">
      <c r="AB14460" s="9"/>
      <c r="AC14460" s="9"/>
      <c r="AD14460" s="9"/>
      <c r="AF14460" s="10"/>
      <c r="AG14460" s="10"/>
      <c r="AH14460" s="10"/>
      <c r="AI14460" s="10"/>
    </row>
    <row r="14461" spans="28:35" ht="15" hidden="1" customHeight="1">
      <c r="AB14461" s="9"/>
      <c r="AC14461" s="9"/>
      <c r="AD14461" s="9"/>
      <c r="AF14461" s="10"/>
      <c r="AG14461" s="10"/>
      <c r="AH14461" s="10"/>
      <c r="AI14461" s="10"/>
    </row>
    <row r="14462" spans="28:35" ht="15" hidden="1" customHeight="1">
      <c r="AB14462" s="9"/>
      <c r="AC14462" s="9"/>
      <c r="AD14462" s="9"/>
      <c r="AF14462" s="10"/>
      <c r="AG14462" s="10"/>
      <c r="AH14462" s="10"/>
      <c r="AI14462" s="10"/>
    </row>
    <row r="14463" spans="28:35" ht="15" hidden="1" customHeight="1">
      <c r="AB14463" s="9"/>
      <c r="AC14463" s="9"/>
      <c r="AD14463" s="9"/>
      <c r="AF14463" s="10"/>
      <c r="AG14463" s="10"/>
      <c r="AH14463" s="10"/>
      <c r="AI14463" s="10"/>
    </row>
    <row r="14464" spans="28:35" ht="15" hidden="1" customHeight="1">
      <c r="AB14464" s="9"/>
      <c r="AC14464" s="9"/>
      <c r="AD14464" s="9"/>
      <c r="AF14464" s="10"/>
      <c r="AG14464" s="10"/>
      <c r="AH14464" s="10"/>
      <c r="AI14464" s="10"/>
    </row>
    <row r="14465" spans="28:35" ht="15" hidden="1" customHeight="1">
      <c r="AB14465" s="9"/>
      <c r="AC14465" s="9"/>
      <c r="AD14465" s="9"/>
      <c r="AF14465" s="10"/>
      <c r="AG14465" s="10"/>
      <c r="AH14465" s="10"/>
      <c r="AI14465" s="10"/>
    </row>
    <row r="14466" spans="28:35" ht="15" hidden="1" customHeight="1">
      <c r="AB14466" s="9"/>
      <c r="AC14466" s="9"/>
      <c r="AD14466" s="9"/>
      <c r="AF14466" s="10"/>
      <c r="AG14466" s="10"/>
      <c r="AH14466" s="10"/>
      <c r="AI14466" s="10"/>
    </row>
    <row r="14467" spans="28:35" ht="15" hidden="1" customHeight="1">
      <c r="AB14467" s="9"/>
      <c r="AC14467" s="9"/>
      <c r="AD14467" s="9"/>
      <c r="AF14467" s="10"/>
      <c r="AG14467" s="10"/>
      <c r="AH14467" s="10"/>
      <c r="AI14467" s="10"/>
    </row>
    <row r="14468" spans="28:35" ht="15" hidden="1" customHeight="1">
      <c r="AB14468" s="9"/>
      <c r="AC14468" s="9"/>
      <c r="AD14468" s="9"/>
      <c r="AF14468" s="10"/>
      <c r="AG14468" s="10"/>
      <c r="AH14468" s="10"/>
      <c r="AI14468" s="10"/>
    </row>
    <row r="14469" spans="28:35" ht="15" hidden="1" customHeight="1">
      <c r="AB14469" s="9"/>
      <c r="AC14469" s="9"/>
      <c r="AD14469" s="9"/>
      <c r="AF14469" s="10"/>
      <c r="AG14469" s="10"/>
      <c r="AH14469" s="10"/>
      <c r="AI14469" s="10"/>
    </row>
    <row r="14470" spans="28:35" ht="15" hidden="1" customHeight="1">
      <c r="AB14470" s="9"/>
      <c r="AC14470" s="9"/>
      <c r="AD14470" s="9"/>
      <c r="AF14470" s="10"/>
      <c r="AG14470" s="10"/>
      <c r="AH14470" s="10"/>
      <c r="AI14470" s="10"/>
    </row>
    <row r="14471" spans="28:35" ht="15" hidden="1" customHeight="1">
      <c r="AB14471" s="9"/>
      <c r="AC14471" s="9"/>
      <c r="AD14471" s="9"/>
      <c r="AF14471" s="10"/>
      <c r="AG14471" s="10"/>
      <c r="AH14471" s="10"/>
      <c r="AI14471" s="10"/>
    </row>
    <row r="14472" spans="28:35" ht="15" hidden="1" customHeight="1">
      <c r="AB14472" s="9"/>
      <c r="AC14472" s="9"/>
      <c r="AD14472" s="9"/>
      <c r="AF14472" s="10"/>
      <c r="AG14472" s="10"/>
      <c r="AH14472" s="10"/>
      <c r="AI14472" s="10"/>
    </row>
    <row r="14473" spans="28:35" ht="15" hidden="1" customHeight="1">
      <c r="AB14473" s="9"/>
      <c r="AC14473" s="9"/>
      <c r="AD14473" s="9"/>
      <c r="AF14473" s="10"/>
      <c r="AG14473" s="10"/>
      <c r="AH14473" s="10"/>
      <c r="AI14473" s="10"/>
    </row>
    <row r="14474" spans="28:35" ht="15" hidden="1" customHeight="1">
      <c r="AB14474" s="9"/>
      <c r="AC14474" s="9"/>
      <c r="AD14474" s="9"/>
      <c r="AF14474" s="10"/>
      <c r="AG14474" s="10"/>
      <c r="AH14474" s="10"/>
      <c r="AI14474" s="10"/>
    </row>
    <row r="14475" spans="28:35" ht="15" hidden="1" customHeight="1">
      <c r="AB14475" s="9"/>
      <c r="AC14475" s="9"/>
      <c r="AD14475" s="9"/>
      <c r="AF14475" s="10"/>
      <c r="AG14475" s="10"/>
      <c r="AH14475" s="10"/>
      <c r="AI14475" s="10"/>
    </row>
    <row r="14476" spans="28:35" ht="15" hidden="1" customHeight="1">
      <c r="AB14476" s="9"/>
      <c r="AC14476" s="9"/>
      <c r="AD14476" s="9"/>
      <c r="AF14476" s="10"/>
      <c r="AG14476" s="10"/>
      <c r="AH14476" s="10"/>
      <c r="AI14476" s="10"/>
    </row>
    <row r="14477" spans="28:35" ht="15" hidden="1" customHeight="1">
      <c r="AB14477" s="9"/>
      <c r="AC14477" s="9"/>
      <c r="AD14477" s="9"/>
      <c r="AF14477" s="10"/>
      <c r="AG14477" s="10"/>
      <c r="AH14477" s="10"/>
      <c r="AI14477" s="10"/>
    </row>
    <row r="14478" spans="28:35" ht="15" hidden="1" customHeight="1">
      <c r="AB14478" s="9"/>
      <c r="AC14478" s="9"/>
      <c r="AD14478" s="9"/>
      <c r="AF14478" s="10"/>
      <c r="AG14478" s="10"/>
      <c r="AH14478" s="10"/>
      <c r="AI14478" s="10"/>
    </row>
    <row r="14479" spans="28:35" ht="15" hidden="1" customHeight="1">
      <c r="AB14479" s="9"/>
      <c r="AC14479" s="9"/>
      <c r="AD14479" s="9"/>
      <c r="AF14479" s="10"/>
      <c r="AG14479" s="10"/>
      <c r="AH14479" s="10"/>
      <c r="AI14479" s="10"/>
    </row>
    <row r="14480" spans="28:35" ht="15" hidden="1" customHeight="1">
      <c r="AB14480" s="9"/>
      <c r="AC14480" s="9"/>
      <c r="AD14480" s="9"/>
      <c r="AF14480" s="10"/>
      <c r="AG14480" s="10"/>
      <c r="AH14480" s="10"/>
      <c r="AI14480" s="10"/>
    </row>
    <row r="14481" spans="28:35" ht="15" hidden="1" customHeight="1">
      <c r="AB14481" s="9"/>
      <c r="AC14481" s="9"/>
      <c r="AD14481" s="9"/>
      <c r="AF14481" s="10"/>
      <c r="AG14481" s="10"/>
      <c r="AH14481" s="10"/>
      <c r="AI14481" s="10"/>
    </row>
    <row r="14482" spans="28:35" ht="15" hidden="1" customHeight="1">
      <c r="AB14482" s="9"/>
      <c r="AC14482" s="9"/>
      <c r="AD14482" s="9"/>
      <c r="AF14482" s="10"/>
      <c r="AG14482" s="10"/>
      <c r="AH14482" s="10"/>
      <c r="AI14482" s="10"/>
    </row>
    <row r="14483" spans="28:35" ht="15" hidden="1" customHeight="1">
      <c r="AB14483" s="9"/>
      <c r="AC14483" s="9"/>
      <c r="AD14483" s="9"/>
      <c r="AF14483" s="10"/>
      <c r="AG14483" s="10"/>
      <c r="AH14483" s="10"/>
      <c r="AI14483" s="10"/>
    </row>
    <row r="14484" spans="28:35" ht="15" hidden="1" customHeight="1">
      <c r="AB14484" s="9"/>
      <c r="AC14484" s="9"/>
      <c r="AD14484" s="9"/>
      <c r="AF14484" s="10"/>
      <c r="AG14484" s="10"/>
      <c r="AH14484" s="10"/>
      <c r="AI14484" s="10"/>
    </row>
    <row r="14485" spans="28:35" ht="15" hidden="1" customHeight="1">
      <c r="AB14485" s="9"/>
      <c r="AC14485" s="9"/>
      <c r="AD14485" s="9"/>
      <c r="AF14485" s="10"/>
      <c r="AG14485" s="10"/>
      <c r="AH14485" s="10"/>
      <c r="AI14485" s="10"/>
    </row>
    <row r="14486" spans="28:35" ht="15" hidden="1" customHeight="1">
      <c r="AB14486" s="9"/>
      <c r="AC14486" s="9"/>
      <c r="AD14486" s="9"/>
      <c r="AF14486" s="10"/>
      <c r="AG14486" s="10"/>
      <c r="AH14486" s="10"/>
      <c r="AI14486" s="10"/>
    </row>
    <row r="14487" spans="28:35" ht="15" hidden="1" customHeight="1">
      <c r="AB14487" s="9"/>
      <c r="AC14487" s="9"/>
      <c r="AD14487" s="9"/>
      <c r="AF14487" s="10"/>
      <c r="AG14487" s="10"/>
      <c r="AH14487" s="10"/>
      <c r="AI14487" s="10"/>
    </row>
    <row r="14488" spans="28:35" ht="15" hidden="1" customHeight="1">
      <c r="AB14488" s="9"/>
      <c r="AC14488" s="9"/>
      <c r="AD14488" s="9"/>
      <c r="AF14488" s="10"/>
      <c r="AG14488" s="10"/>
      <c r="AH14488" s="10"/>
      <c r="AI14488" s="10"/>
    </row>
    <row r="14489" spans="28:35" ht="15" hidden="1" customHeight="1">
      <c r="AB14489" s="9"/>
      <c r="AC14489" s="9"/>
      <c r="AD14489" s="9"/>
      <c r="AF14489" s="10"/>
      <c r="AG14489" s="10"/>
      <c r="AH14489" s="10"/>
      <c r="AI14489" s="10"/>
    </row>
    <row r="14490" spans="28:35" ht="15" hidden="1" customHeight="1">
      <c r="AB14490" s="9"/>
      <c r="AC14490" s="9"/>
      <c r="AD14490" s="9"/>
      <c r="AF14490" s="10"/>
      <c r="AG14490" s="10"/>
      <c r="AH14490" s="10"/>
      <c r="AI14490" s="10"/>
    </row>
    <row r="14491" spans="28:35" ht="15" hidden="1" customHeight="1">
      <c r="AB14491" s="9"/>
      <c r="AC14491" s="9"/>
      <c r="AD14491" s="9"/>
      <c r="AF14491" s="10"/>
      <c r="AG14491" s="10"/>
      <c r="AH14491" s="10"/>
      <c r="AI14491" s="10"/>
    </row>
    <row r="14492" spans="28:35" ht="15" hidden="1" customHeight="1">
      <c r="AB14492" s="9"/>
      <c r="AC14492" s="9"/>
      <c r="AD14492" s="9"/>
      <c r="AF14492" s="10"/>
      <c r="AG14492" s="10"/>
      <c r="AH14492" s="10"/>
      <c r="AI14492" s="10"/>
    </row>
    <row r="14493" spans="28:35" ht="15" hidden="1" customHeight="1">
      <c r="AB14493" s="9"/>
      <c r="AC14493" s="9"/>
      <c r="AD14493" s="9"/>
      <c r="AF14493" s="10"/>
      <c r="AG14493" s="10"/>
      <c r="AH14493" s="10"/>
      <c r="AI14493" s="10"/>
    </row>
    <row r="14494" spans="28:35" ht="15" hidden="1" customHeight="1">
      <c r="AB14494" s="9"/>
      <c r="AC14494" s="9"/>
      <c r="AD14494" s="9"/>
      <c r="AF14494" s="10"/>
      <c r="AG14494" s="10"/>
      <c r="AH14494" s="10"/>
      <c r="AI14494" s="10"/>
    </row>
    <row r="14495" spans="28:35" ht="15" hidden="1" customHeight="1">
      <c r="AB14495" s="9"/>
      <c r="AC14495" s="9"/>
      <c r="AD14495" s="9"/>
      <c r="AF14495" s="10"/>
      <c r="AG14495" s="10"/>
      <c r="AH14495" s="10"/>
      <c r="AI14495" s="10"/>
    </row>
    <row r="14496" spans="28:35" ht="15" hidden="1" customHeight="1">
      <c r="AB14496" s="9"/>
      <c r="AC14496" s="9"/>
      <c r="AD14496" s="9"/>
      <c r="AF14496" s="10"/>
      <c r="AG14496" s="10"/>
      <c r="AH14496" s="10"/>
      <c r="AI14496" s="10"/>
    </row>
    <row r="14497" spans="28:35" ht="15" hidden="1" customHeight="1">
      <c r="AB14497" s="9"/>
      <c r="AC14497" s="9"/>
      <c r="AD14497" s="9"/>
      <c r="AF14497" s="10"/>
      <c r="AG14497" s="10"/>
      <c r="AH14497" s="10"/>
      <c r="AI14497" s="10"/>
    </row>
    <row r="14498" spans="28:35" ht="15" hidden="1" customHeight="1">
      <c r="AB14498" s="9"/>
      <c r="AC14498" s="9"/>
      <c r="AD14498" s="9"/>
      <c r="AF14498" s="10"/>
      <c r="AG14498" s="10"/>
      <c r="AH14498" s="10"/>
      <c r="AI14498" s="10"/>
    </row>
    <row r="14499" spans="28:35" ht="15" hidden="1" customHeight="1">
      <c r="AB14499" s="9"/>
      <c r="AC14499" s="9"/>
      <c r="AD14499" s="9"/>
      <c r="AF14499" s="10"/>
      <c r="AG14499" s="10"/>
      <c r="AH14499" s="10"/>
      <c r="AI14499" s="10"/>
    </row>
    <row r="14500" spans="28:35" ht="15" hidden="1" customHeight="1">
      <c r="AB14500" s="9"/>
      <c r="AC14500" s="9"/>
      <c r="AD14500" s="9"/>
      <c r="AF14500" s="10"/>
      <c r="AG14500" s="10"/>
      <c r="AH14500" s="10"/>
      <c r="AI14500" s="10"/>
    </row>
    <row r="14501" spans="28:35" ht="15" hidden="1" customHeight="1">
      <c r="AB14501" s="9"/>
      <c r="AC14501" s="9"/>
      <c r="AD14501" s="9"/>
      <c r="AF14501" s="10"/>
      <c r="AG14501" s="10"/>
      <c r="AH14501" s="10"/>
      <c r="AI14501" s="10"/>
    </row>
    <row r="14502" spans="28:35" ht="15" hidden="1" customHeight="1">
      <c r="AB14502" s="9"/>
      <c r="AC14502" s="9"/>
      <c r="AD14502" s="9"/>
      <c r="AF14502" s="10"/>
      <c r="AG14502" s="10"/>
      <c r="AH14502" s="10"/>
      <c r="AI14502" s="10"/>
    </row>
    <row r="14503" spans="28:35" ht="15" hidden="1" customHeight="1">
      <c r="AB14503" s="9"/>
      <c r="AC14503" s="9"/>
      <c r="AD14503" s="9"/>
      <c r="AF14503" s="10"/>
      <c r="AG14503" s="10"/>
      <c r="AH14503" s="10"/>
      <c r="AI14503" s="10"/>
    </row>
    <row r="14504" spans="28:35" ht="15" hidden="1" customHeight="1">
      <c r="AB14504" s="9"/>
      <c r="AC14504" s="9"/>
      <c r="AD14504" s="9"/>
      <c r="AF14504" s="10"/>
      <c r="AG14504" s="10"/>
      <c r="AH14504" s="10"/>
      <c r="AI14504" s="10"/>
    </row>
    <row r="14505" spans="28:35" ht="15" hidden="1" customHeight="1">
      <c r="AB14505" s="9"/>
      <c r="AC14505" s="9"/>
      <c r="AD14505" s="9"/>
      <c r="AF14505" s="10"/>
      <c r="AG14505" s="10"/>
      <c r="AH14505" s="10"/>
      <c r="AI14505" s="10"/>
    </row>
    <row r="14506" spans="28:35" ht="15" hidden="1" customHeight="1">
      <c r="AB14506" s="9"/>
      <c r="AC14506" s="9"/>
      <c r="AD14506" s="9"/>
      <c r="AF14506" s="10"/>
      <c r="AG14506" s="10"/>
      <c r="AH14506" s="10"/>
      <c r="AI14506" s="10"/>
    </row>
    <row r="14507" spans="28:35" ht="15" hidden="1" customHeight="1">
      <c r="AB14507" s="9"/>
      <c r="AC14507" s="9"/>
      <c r="AD14507" s="9"/>
      <c r="AF14507" s="10"/>
      <c r="AG14507" s="10"/>
      <c r="AH14507" s="10"/>
      <c r="AI14507" s="10"/>
    </row>
    <row r="14508" spans="28:35" ht="15" hidden="1" customHeight="1">
      <c r="AB14508" s="9"/>
      <c r="AC14508" s="9"/>
      <c r="AD14508" s="9"/>
      <c r="AF14508" s="10"/>
      <c r="AG14508" s="10"/>
      <c r="AH14508" s="10"/>
      <c r="AI14508" s="10"/>
    </row>
    <row r="14509" spans="28:35" ht="15" hidden="1" customHeight="1">
      <c r="AB14509" s="9"/>
      <c r="AC14509" s="9"/>
      <c r="AD14509" s="9"/>
      <c r="AF14509" s="10"/>
      <c r="AG14509" s="10"/>
      <c r="AH14509" s="10"/>
      <c r="AI14509" s="10"/>
    </row>
    <row r="14510" spans="28:35" ht="15" hidden="1" customHeight="1">
      <c r="AB14510" s="9"/>
      <c r="AC14510" s="9"/>
      <c r="AD14510" s="9"/>
      <c r="AF14510" s="10"/>
      <c r="AG14510" s="10"/>
      <c r="AH14510" s="10"/>
      <c r="AI14510" s="10"/>
    </row>
    <row r="14511" spans="28:35" ht="15" hidden="1" customHeight="1">
      <c r="AB14511" s="9"/>
      <c r="AC14511" s="9"/>
      <c r="AD14511" s="9"/>
      <c r="AF14511" s="10"/>
      <c r="AG14511" s="10"/>
      <c r="AH14511" s="10"/>
      <c r="AI14511" s="10"/>
    </row>
    <row r="14512" spans="28:35" ht="15" hidden="1" customHeight="1">
      <c r="AB14512" s="9"/>
      <c r="AC14512" s="9"/>
      <c r="AD14512" s="9"/>
      <c r="AF14512" s="10"/>
      <c r="AG14512" s="10"/>
      <c r="AH14512" s="10"/>
      <c r="AI14512" s="10"/>
    </row>
    <row r="14513" spans="28:35" ht="15" hidden="1" customHeight="1">
      <c r="AB14513" s="9"/>
      <c r="AC14513" s="9"/>
      <c r="AD14513" s="9"/>
      <c r="AF14513" s="10"/>
      <c r="AG14513" s="10"/>
      <c r="AH14513" s="10"/>
      <c r="AI14513" s="10"/>
    </row>
    <row r="14514" spans="28:35" ht="15" hidden="1" customHeight="1">
      <c r="AB14514" s="9"/>
      <c r="AC14514" s="9"/>
      <c r="AD14514" s="9"/>
      <c r="AF14514" s="10"/>
      <c r="AG14514" s="10"/>
      <c r="AH14514" s="10"/>
      <c r="AI14514" s="10"/>
    </row>
    <row r="14515" spans="28:35" ht="15" hidden="1" customHeight="1">
      <c r="AB14515" s="9"/>
      <c r="AC14515" s="9"/>
      <c r="AD14515" s="9"/>
      <c r="AF14515" s="10"/>
      <c r="AG14515" s="10"/>
      <c r="AH14515" s="10"/>
      <c r="AI14515" s="10"/>
    </row>
    <row r="14516" spans="28:35" ht="15" hidden="1" customHeight="1">
      <c r="AB14516" s="9"/>
      <c r="AC14516" s="9"/>
      <c r="AD14516" s="9"/>
      <c r="AF14516" s="10"/>
      <c r="AG14516" s="10"/>
      <c r="AH14516" s="10"/>
      <c r="AI14516" s="10"/>
    </row>
    <row r="14517" spans="28:35" ht="15" hidden="1" customHeight="1">
      <c r="AB14517" s="9"/>
      <c r="AC14517" s="9"/>
      <c r="AD14517" s="9"/>
      <c r="AF14517" s="10"/>
      <c r="AG14517" s="10"/>
      <c r="AH14517" s="10"/>
      <c r="AI14517" s="10"/>
    </row>
    <row r="14518" spans="28:35" ht="15" hidden="1" customHeight="1">
      <c r="AB14518" s="9"/>
      <c r="AC14518" s="9"/>
      <c r="AD14518" s="9"/>
      <c r="AF14518" s="10"/>
      <c r="AG14518" s="10"/>
      <c r="AH14518" s="10"/>
      <c r="AI14518" s="10"/>
    </row>
    <row r="14519" spans="28:35" ht="15" hidden="1" customHeight="1">
      <c r="AB14519" s="9"/>
      <c r="AC14519" s="9"/>
      <c r="AD14519" s="9"/>
      <c r="AF14519" s="10"/>
      <c r="AG14519" s="10"/>
      <c r="AH14519" s="10"/>
      <c r="AI14519" s="10"/>
    </row>
    <row r="14520" spans="28:35" ht="15" hidden="1" customHeight="1">
      <c r="AB14520" s="9"/>
      <c r="AC14520" s="9"/>
      <c r="AD14520" s="9"/>
      <c r="AF14520" s="10"/>
      <c r="AG14520" s="10"/>
      <c r="AH14520" s="10"/>
      <c r="AI14520" s="10"/>
    </row>
    <row r="14521" spans="28:35" ht="15" hidden="1" customHeight="1">
      <c r="AB14521" s="9"/>
      <c r="AC14521" s="9"/>
      <c r="AD14521" s="9"/>
      <c r="AF14521" s="10"/>
      <c r="AG14521" s="10"/>
      <c r="AH14521" s="10"/>
      <c r="AI14521" s="10"/>
    </row>
    <row r="14522" spans="28:35" ht="15" hidden="1" customHeight="1">
      <c r="AB14522" s="9"/>
      <c r="AC14522" s="9"/>
      <c r="AD14522" s="9"/>
      <c r="AF14522" s="10"/>
      <c r="AG14522" s="10"/>
      <c r="AH14522" s="10"/>
      <c r="AI14522" s="10"/>
    </row>
    <row r="14523" spans="28:35" ht="15" hidden="1" customHeight="1">
      <c r="AB14523" s="9"/>
      <c r="AC14523" s="9"/>
      <c r="AD14523" s="9"/>
      <c r="AF14523" s="10"/>
      <c r="AG14523" s="10"/>
      <c r="AH14523" s="10"/>
      <c r="AI14523" s="10"/>
    </row>
    <row r="14524" spans="28:35" ht="15" hidden="1" customHeight="1">
      <c r="AB14524" s="9"/>
      <c r="AC14524" s="9"/>
      <c r="AD14524" s="9"/>
      <c r="AF14524" s="10"/>
      <c r="AG14524" s="10"/>
      <c r="AH14524" s="10"/>
      <c r="AI14524" s="10"/>
    </row>
    <row r="14525" spans="28:35" ht="15" hidden="1" customHeight="1">
      <c r="AB14525" s="9"/>
      <c r="AC14525" s="9"/>
      <c r="AD14525" s="9"/>
      <c r="AF14525" s="10"/>
      <c r="AG14525" s="10"/>
      <c r="AH14525" s="10"/>
      <c r="AI14525" s="10"/>
    </row>
    <row r="14526" spans="28:35" ht="15" hidden="1" customHeight="1">
      <c r="AB14526" s="9"/>
      <c r="AC14526" s="9"/>
      <c r="AD14526" s="9"/>
      <c r="AF14526" s="10"/>
      <c r="AG14526" s="10"/>
      <c r="AH14526" s="10"/>
      <c r="AI14526" s="10"/>
    </row>
    <row r="14527" spans="28:35" ht="15" hidden="1" customHeight="1">
      <c r="AB14527" s="9"/>
      <c r="AC14527" s="9"/>
      <c r="AD14527" s="9"/>
      <c r="AF14527" s="10"/>
      <c r="AG14527" s="10"/>
      <c r="AH14527" s="10"/>
      <c r="AI14527" s="10"/>
    </row>
    <row r="14528" spans="28:35" ht="15" hidden="1" customHeight="1">
      <c r="AB14528" s="9"/>
      <c r="AC14528" s="9"/>
      <c r="AD14528" s="9"/>
      <c r="AF14528" s="10"/>
      <c r="AG14528" s="10"/>
      <c r="AH14528" s="10"/>
      <c r="AI14528" s="10"/>
    </row>
    <row r="14529" spans="28:35" ht="15" hidden="1" customHeight="1">
      <c r="AB14529" s="9"/>
      <c r="AC14529" s="9"/>
      <c r="AD14529" s="9"/>
      <c r="AF14529" s="10"/>
      <c r="AG14529" s="10"/>
      <c r="AH14529" s="10"/>
      <c r="AI14529" s="10"/>
    </row>
    <row r="14530" spans="28:35" ht="15" hidden="1" customHeight="1">
      <c r="AB14530" s="9"/>
      <c r="AC14530" s="9"/>
      <c r="AD14530" s="9"/>
      <c r="AF14530" s="10"/>
      <c r="AG14530" s="10"/>
      <c r="AH14530" s="10"/>
      <c r="AI14530" s="10"/>
    </row>
    <row r="14531" spans="28:35" ht="15" hidden="1" customHeight="1">
      <c r="AB14531" s="9"/>
      <c r="AC14531" s="9"/>
      <c r="AD14531" s="9"/>
      <c r="AF14531" s="10"/>
      <c r="AG14531" s="10"/>
      <c r="AH14531" s="10"/>
      <c r="AI14531" s="10"/>
    </row>
    <row r="14532" spans="28:35" ht="15" hidden="1" customHeight="1">
      <c r="AB14532" s="9"/>
      <c r="AC14532" s="9"/>
      <c r="AD14532" s="9"/>
      <c r="AF14532" s="10"/>
      <c r="AG14532" s="10"/>
      <c r="AH14532" s="10"/>
      <c r="AI14532" s="10"/>
    </row>
    <row r="14533" spans="28:35" ht="15" hidden="1" customHeight="1">
      <c r="AB14533" s="9"/>
      <c r="AC14533" s="9"/>
      <c r="AD14533" s="9"/>
      <c r="AF14533" s="10"/>
      <c r="AG14533" s="10"/>
      <c r="AH14533" s="10"/>
      <c r="AI14533" s="10"/>
    </row>
    <row r="14534" spans="28:35" ht="15" hidden="1" customHeight="1">
      <c r="AB14534" s="9"/>
      <c r="AC14534" s="9"/>
      <c r="AD14534" s="9"/>
      <c r="AF14534" s="10"/>
      <c r="AG14534" s="10"/>
      <c r="AH14534" s="10"/>
      <c r="AI14534" s="10"/>
    </row>
    <row r="14535" spans="28:35" ht="15" hidden="1" customHeight="1">
      <c r="AB14535" s="9"/>
      <c r="AC14535" s="9"/>
      <c r="AD14535" s="9"/>
      <c r="AF14535" s="10"/>
      <c r="AG14535" s="10"/>
      <c r="AH14535" s="10"/>
      <c r="AI14535" s="10"/>
    </row>
    <row r="14536" spans="28:35" ht="15" hidden="1" customHeight="1">
      <c r="AB14536" s="9"/>
      <c r="AC14536" s="9"/>
      <c r="AD14536" s="9"/>
      <c r="AF14536" s="10"/>
      <c r="AG14536" s="10"/>
      <c r="AH14536" s="10"/>
      <c r="AI14536" s="10"/>
    </row>
    <row r="14537" spans="28:35" ht="15" hidden="1" customHeight="1">
      <c r="AB14537" s="9"/>
      <c r="AC14537" s="9"/>
      <c r="AD14537" s="9"/>
      <c r="AF14537" s="10"/>
      <c r="AG14537" s="10"/>
      <c r="AH14537" s="10"/>
      <c r="AI14537" s="10"/>
    </row>
    <row r="14538" spans="28:35" ht="15" hidden="1" customHeight="1">
      <c r="AB14538" s="9"/>
      <c r="AC14538" s="9"/>
      <c r="AD14538" s="9"/>
      <c r="AF14538" s="10"/>
      <c r="AG14538" s="10"/>
      <c r="AH14538" s="10"/>
      <c r="AI14538" s="10"/>
    </row>
    <row r="14539" spans="28:35" ht="15" hidden="1" customHeight="1">
      <c r="AB14539" s="9"/>
      <c r="AC14539" s="9"/>
      <c r="AD14539" s="9"/>
      <c r="AF14539" s="10"/>
      <c r="AG14539" s="10"/>
      <c r="AH14539" s="10"/>
      <c r="AI14539" s="10"/>
    </row>
    <row r="14540" spans="28:35" ht="15" hidden="1" customHeight="1">
      <c r="AB14540" s="9"/>
      <c r="AC14540" s="9"/>
      <c r="AD14540" s="9"/>
      <c r="AF14540" s="10"/>
      <c r="AG14540" s="10"/>
      <c r="AH14540" s="10"/>
      <c r="AI14540" s="10"/>
    </row>
    <row r="14541" spans="28:35" ht="15" hidden="1" customHeight="1">
      <c r="AB14541" s="9"/>
      <c r="AC14541" s="9"/>
      <c r="AD14541" s="9"/>
      <c r="AF14541" s="10"/>
      <c r="AG14541" s="10"/>
      <c r="AH14541" s="10"/>
      <c r="AI14541" s="10"/>
    </row>
    <row r="14542" spans="28:35" ht="15" hidden="1" customHeight="1">
      <c r="AB14542" s="9"/>
      <c r="AC14542" s="9"/>
      <c r="AD14542" s="9"/>
      <c r="AF14542" s="10"/>
      <c r="AG14542" s="10"/>
      <c r="AH14542" s="10"/>
      <c r="AI14542" s="10"/>
    </row>
    <row r="14543" spans="28:35" ht="15" hidden="1" customHeight="1">
      <c r="AB14543" s="9"/>
      <c r="AC14543" s="9"/>
      <c r="AD14543" s="9"/>
      <c r="AF14543" s="10"/>
      <c r="AG14543" s="10"/>
      <c r="AH14543" s="10"/>
      <c r="AI14543" s="10"/>
    </row>
    <row r="14544" spans="28:35" ht="15" hidden="1" customHeight="1">
      <c r="AB14544" s="9"/>
      <c r="AC14544" s="9"/>
      <c r="AD14544" s="9"/>
      <c r="AF14544" s="10"/>
      <c r="AG14544" s="10"/>
      <c r="AH14544" s="10"/>
      <c r="AI14544" s="10"/>
    </row>
    <row r="14545" spans="28:35" ht="15" hidden="1" customHeight="1">
      <c r="AB14545" s="9"/>
      <c r="AC14545" s="9"/>
      <c r="AD14545" s="9"/>
      <c r="AF14545" s="10"/>
      <c r="AG14545" s="10"/>
      <c r="AH14545" s="10"/>
      <c r="AI14545" s="10"/>
    </row>
    <row r="14546" spans="28:35" ht="15" hidden="1" customHeight="1">
      <c r="AB14546" s="9"/>
      <c r="AC14546" s="9"/>
      <c r="AD14546" s="9"/>
      <c r="AF14546" s="10"/>
      <c r="AG14546" s="10"/>
      <c r="AH14546" s="10"/>
      <c r="AI14546" s="10"/>
    </row>
    <row r="14547" spans="28:35" ht="15" hidden="1" customHeight="1">
      <c r="AB14547" s="9"/>
      <c r="AC14547" s="9"/>
      <c r="AD14547" s="9"/>
      <c r="AF14547" s="10"/>
      <c r="AG14547" s="10"/>
      <c r="AH14547" s="10"/>
      <c r="AI14547" s="10"/>
    </row>
    <row r="14548" spans="28:35" ht="15" hidden="1" customHeight="1">
      <c r="AB14548" s="9"/>
      <c r="AC14548" s="9"/>
      <c r="AD14548" s="9"/>
      <c r="AF14548" s="10"/>
      <c r="AG14548" s="10"/>
      <c r="AH14548" s="10"/>
      <c r="AI14548" s="10"/>
    </row>
    <row r="14549" spans="28:35" ht="15" hidden="1" customHeight="1">
      <c r="AB14549" s="9"/>
      <c r="AC14549" s="9"/>
      <c r="AD14549" s="9"/>
      <c r="AF14549" s="10"/>
      <c r="AG14549" s="10"/>
      <c r="AH14549" s="10"/>
      <c r="AI14549" s="10"/>
    </row>
    <row r="14550" spans="28:35" ht="15" hidden="1" customHeight="1">
      <c r="AB14550" s="9"/>
      <c r="AC14550" s="9"/>
      <c r="AD14550" s="9"/>
      <c r="AF14550" s="10"/>
      <c r="AG14550" s="10"/>
      <c r="AH14550" s="10"/>
      <c r="AI14550" s="10"/>
    </row>
    <row r="14551" spans="28:35" ht="15" hidden="1" customHeight="1">
      <c r="AB14551" s="9"/>
      <c r="AC14551" s="9"/>
      <c r="AD14551" s="9"/>
      <c r="AF14551" s="10"/>
      <c r="AG14551" s="10"/>
      <c r="AH14551" s="10"/>
      <c r="AI14551" s="10"/>
    </row>
    <row r="14552" spans="28:35" ht="15" hidden="1" customHeight="1">
      <c r="AB14552" s="9"/>
      <c r="AC14552" s="9"/>
      <c r="AD14552" s="9"/>
      <c r="AF14552" s="10"/>
      <c r="AG14552" s="10"/>
      <c r="AH14552" s="10"/>
      <c r="AI14552" s="10"/>
    </row>
    <row r="14553" spans="28:35" ht="15" hidden="1" customHeight="1">
      <c r="AB14553" s="9"/>
      <c r="AC14553" s="9"/>
      <c r="AD14553" s="9"/>
      <c r="AF14553" s="10"/>
      <c r="AG14553" s="10"/>
      <c r="AH14553" s="10"/>
      <c r="AI14553" s="10"/>
    </row>
    <row r="14554" spans="28:35" ht="15" hidden="1" customHeight="1">
      <c r="AB14554" s="9"/>
      <c r="AC14554" s="9"/>
      <c r="AD14554" s="9"/>
      <c r="AF14554" s="10"/>
      <c r="AG14554" s="10"/>
      <c r="AH14554" s="10"/>
      <c r="AI14554" s="10"/>
    </row>
    <row r="14555" spans="28:35" ht="15" hidden="1" customHeight="1">
      <c r="AB14555" s="9"/>
      <c r="AC14555" s="9"/>
      <c r="AD14555" s="9"/>
      <c r="AF14555" s="10"/>
      <c r="AG14555" s="10"/>
      <c r="AH14555" s="10"/>
      <c r="AI14555" s="10"/>
    </row>
    <row r="14556" spans="28:35" ht="15" hidden="1" customHeight="1">
      <c r="AB14556" s="9"/>
      <c r="AC14556" s="9"/>
      <c r="AD14556" s="9"/>
      <c r="AF14556" s="10"/>
      <c r="AG14556" s="10"/>
      <c r="AH14556" s="10"/>
      <c r="AI14556" s="10"/>
    </row>
    <row r="14557" spans="28:35" ht="15" hidden="1" customHeight="1">
      <c r="AB14557" s="9"/>
      <c r="AC14557" s="9"/>
      <c r="AD14557" s="9"/>
      <c r="AF14557" s="10"/>
      <c r="AG14557" s="10"/>
      <c r="AH14557" s="10"/>
      <c r="AI14557" s="10"/>
    </row>
    <row r="14558" spans="28:35" ht="15" hidden="1" customHeight="1">
      <c r="AB14558" s="9"/>
      <c r="AC14558" s="9"/>
      <c r="AD14558" s="9"/>
      <c r="AF14558" s="10"/>
      <c r="AG14558" s="10"/>
      <c r="AH14558" s="10"/>
      <c r="AI14558" s="10"/>
    </row>
    <row r="14559" spans="28:35" ht="15" hidden="1" customHeight="1">
      <c r="AB14559" s="9"/>
      <c r="AC14559" s="9"/>
      <c r="AD14559" s="9"/>
      <c r="AF14559" s="10"/>
      <c r="AG14559" s="10"/>
      <c r="AH14559" s="10"/>
      <c r="AI14559" s="10"/>
    </row>
    <row r="14560" spans="28:35" ht="15" hidden="1" customHeight="1">
      <c r="AB14560" s="9"/>
      <c r="AC14560" s="9"/>
      <c r="AD14560" s="9"/>
      <c r="AF14560" s="10"/>
      <c r="AG14560" s="10"/>
      <c r="AH14560" s="10"/>
      <c r="AI14560" s="10"/>
    </row>
    <row r="14561" spans="28:35" ht="15" hidden="1" customHeight="1">
      <c r="AB14561" s="9"/>
      <c r="AC14561" s="9"/>
      <c r="AD14561" s="9"/>
      <c r="AF14561" s="10"/>
      <c r="AG14561" s="10"/>
      <c r="AH14561" s="10"/>
      <c r="AI14561" s="10"/>
    </row>
    <row r="14562" spans="28:35" ht="15" hidden="1" customHeight="1">
      <c r="AB14562" s="9"/>
      <c r="AC14562" s="9"/>
      <c r="AD14562" s="9"/>
      <c r="AF14562" s="10"/>
      <c r="AG14562" s="10"/>
      <c r="AH14562" s="10"/>
      <c r="AI14562" s="10"/>
    </row>
    <row r="14563" spans="28:35" ht="15" hidden="1" customHeight="1">
      <c r="AB14563" s="9"/>
      <c r="AC14563" s="9"/>
      <c r="AD14563" s="9"/>
      <c r="AF14563" s="10"/>
      <c r="AG14563" s="10"/>
      <c r="AH14563" s="10"/>
      <c r="AI14563" s="10"/>
    </row>
    <row r="14564" spans="28:35" ht="15" hidden="1" customHeight="1">
      <c r="AB14564" s="9"/>
      <c r="AC14564" s="9"/>
      <c r="AD14564" s="9"/>
      <c r="AF14564" s="10"/>
      <c r="AG14564" s="10"/>
      <c r="AH14564" s="10"/>
      <c r="AI14564" s="10"/>
    </row>
    <row r="14565" spans="28:35" ht="15" hidden="1" customHeight="1">
      <c r="AB14565" s="9"/>
      <c r="AC14565" s="9"/>
      <c r="AD14565" s="9"/>
      <c r="AF14565" s="10"/>
      <c r="AG14565" s="10"/>
      <c r="AH14565" s="10"/>
      <c r="AI14565" s="10"/>
    </row>
    <row r="14566" spans="28:35" ht="15" hidden="1" customHeight="1">
      <c r="AB14566" s="9"/>
      <c r="AC14566" s="9"/>
      <c r="AD14566" s="9"/>
      <c r="AF14566" s="10"/>
      <c r="AG14566" s="10"/>
      <c r="AH14566" s="10"/>
      <c r="AI14566" s="10"/>
    </row>
    <row r="14567" spans="28:35" ht="15" hidden="1" customHeight="1">
      <c r="AB14567" s="9"/>
      <c r="AC14567" s="9"/>
      <c r="AD14567" s="9"/>
      <c r="AF14567" s="10"/>
      <c r="AG14567" s="10"/>
      <c r="AH14567" s="10"/>
      <c r="AI14567" s="10"/>
    </row>
    <row r="14568" spans="28:35" ht="15" hidden="1" customHeight="1">
      <c r="AB14568" s="9"/>
      <c r="AC14568" s="9"/>
      <c r="AD14568" s="9"/>
      <c r="AF14568" s="10"/>
      <c r="AG14568" s="10"/>
      <c r="AH14568" s="10"/>
      <c r="AI14568" s="10"/>
    </row>
    <row r="14569" spans="28:35" ht="15" hidden="1" customHeight="1">
      <c r="AB14569" s="9"/>
      <c r="AC14569" s="9"/>
      <c r="AD14569" s="9"/>
      <c r="AF14569" s="10"/>
      <c r="AG14569" s="10"/>
      <c r="AH14569" s="10"/>
      <c r="AI14569" s="10"/>
    </row>
    <row r="14570" spans="28:35" ht="15" hidden="1" customHeight="1">
      <c r="AB14570" s="9"/>
      <c r="AC14570" s="9"/>
      <c r="AD14570" s="9"/>
      <c r="AF14570" s="10"/>
      <c r="AG14570" s="10"/>
      <c r="AH14570" s="10"/>
      <c r="AI14570" s="10"/>
    </row>
    <row r="14571" spans="28:35" ht="15" hidden="1" customHeight="1">
      <c r="AB14571" s="9"/>
      <c r="AC14571" s="9"/>
      <c r="AD14571" s="9"/>
      <c r="AF14571" s="10"/>
      <c r="AG14571" s="10"/>
      <c r="AH14571" s="10"/>
      <c r="AI14571" s="10"/>
    </row>
    <row r="14572" spans="28:35" ht="15" hidden="1" customHeight="1">
      <c r="AB14572" s="9"/>
      <c r="AC14572" s="9"/>
      <c r="AD14572" s="9"/>
      <c r="AF14572" s="10"/>
      <c r="AG14572" s="10"/>
      <c r="AH14572" s="10"/>
      <c r="AI14572" s="10"/>
    </row>
    <row r="14573" spans="28:35" ht="15" hidden="1" customHeight="1">
      <c r="AB14573" s="9"/>
      <c r="AC14573" s="9"/>
      <c r="AD14573" s="9"/>
      <c r="AF14573" s="10"/>
      <c r="AG14573" s="10"/>
      <c r="AH14573" s="10"/>
      <c r="AI14573" s="10"/>
    </row>
    <row r="14574" spans="28:35" ht="15" hidden="1" customHeight="1">
      <c r="AB14574" s="9"/>
      <c r="AC14574" s="9"/>
      <c r="AD14574" s="9"/>
      <c r="AF14574" s="10"/>
      <c r="AG14574" s="10"/>
      <c r="AH14574" s="10"/>
      <c r="AI14574" s="10"/>
    </row>
    <row r="14575" spans="28:35" ht="15" hidden="1" customHeight="1">
      <c r="AB14575" s="9"/>
      <c r="AC14575" s="9"/>
      <c r="AD14575" s="9"/>
      <c r="AF14575" s="10"/>
      <c r="AG14575" s="10"/>
      <c r="AH14575" s="10"/>
      <c r="AI14575" s="10"/>
    </row>
    <row r="14576" spans="28:35" ht="15" hidden="1" customHeight="1">
      <c r="AB14576" s="9"/>
      <c r="AC14576" s="9"/>
      <c r="AD14576" s="9"/>
      <c r="AF14576" s="10"/>
      <c r="AG14576" s="10"/>
      <c r="AH14576" s="10"/>
      <c r="AI14576" s="10"/>
    </row>
    <row r="14577" spans="28:35" ht="15" hidden="1" customHeight="1">
      <c r="AB14577" s="9"/>
      <c r="AC14577" s="9"/>
      <c r="AD14577" s="9"/>
      <c r="AF14577" s="10"/>
      <c r="AG14577" s="10"/>
      <c r="AH14577" s="10"/>
      <c r="AI14577" s="10"/>
    </row>
    <row r="14578" spans="28:35" ht="15" hidden="1" customHeight="1">
      <c r="AB14578" s="9"/>
      <c r="AC14578" s="9"/>
      <c r="AD14578" s="9"/>
      <c r="AF14578" s="10"/>
      <c r="AG14578" s="10"/>
      <c r="AH14578" s="10"/>
      <c r="AI14578" s="10"/>
    </row>
    <row r="14579" spans="28:35" ht="15" hidden="1" customHeight="1">
      <c r="AB14579" s="9"/>
      <c r="AC14579" s="9"/>
      <c r="AD14579" s="9"/>
      <c r="AF14579" s="10"/>
      <c r="AG14579" s="10"/>
      <c r="AH14579" s="10"/>
      <c r="AI14579" s="10"/>
    </row>
    <row r="14580" spans="28:35" ht="15" hidden="1" customHeight="1">
      <c r="AB14580" s="9"/>
      <c r="AC14580" s="9"/>
      <c r="AD14580" s="9"/>
      <c r="AF14580" s="10"/>
      <c r="AG14580" s="10"/>
      <c r="AH14580" s="10"/>
      <c r="AI14580" s="10"/>
    </row>
    <row r="14581" spans="28:35" ht="15" hidden="1" customHeight="1">
      <c r="AB14581" s="9"/>
      <c r="AC14581" s="9"/>
      <c r="AD14581" s="9"/>
      <c r="AF14581" s="10"/>
      <c r="AG14581" s="10"/>
      <c r="AH14581" s="10"/>
      <c r="AI14581" s="10"/>
    </row>
    <row r="14582" spans="28:35" ht="15" hidden="1" customHeight="1">
      <c r="AB14582" s="9"/>
      <c r="AC14582" s="9"/>
      <c r="AD14582" s="9"/>
      <c r="AF14582" s="10"/>
      <c r="AG14582" s="10"/>
      <c r="AH14582" s="10"/>
      <c r="AI14582" s="10"/>
    </row>
    <row r="14583" spans="28:35" ht="15" hidden="1" customHeight="1">
      <c r="AB14583" s="9"/>
      <c r="AC14583" s="9"/>
      <c r="AD14583" s="9"/>
      <c r="AF14583" s="10"/>
      <c r="AG14583" s="10"/>
      <c r="AH14583" s="10"/>
      <c r="AI14583" s="10"/>
    </row>
    <row r="14584" spans="28:35" ht="15" hidden="1" customHeight="1">
      <c r="AB14584" s="9"/>
      <c r="AC14584" s="9"/>
      <c r="AD14584" s="9"/>
      <c r="AF14584" s="10"/>
      <c r="AG14584" s="10"/>
      <c r="AH14584" s="10"/>
      <c r="AI14584" s="10"/>
    </row>
    <row r="14585" spans="28:35" ht="15" hidden="1" customHeight="1">
      <c r="AB14585" s="9"/>
      <c r="AC14585" s="9"/>
      <c r="AD14585" s="9"/>
      <c r="AF14585" s="10"/>
      <c r="AG14585" s="10"/>
      <c r="AH14585" s="10"/>
      <c r="AI14585" s="10"/>
    </row>
    <row r="14586" spans="28:35" ht="15" hidden="1" customHeight="1">
      <c r="AB14586" s="9"/>
      <c r="AC14586" s="9"/>
      <c r="AD14586" s="9"/>
      <c r="AF14586" s="10"/>
      <c r="AG14586" s="10"/>
      <c r="AH14586" s="10"/>
      <c r="AI14586" s="10"/>
    </row>
    <row r="14587" spans="28:35" ht="15" hidden="1" customHeight="1">
      <c r="AB14587" s="9"/>
      <c r="AC14587" s="9"/>
      <c r="AD14587" s="9"/>
      <c r="AF14587" s="10"/>
      <c r="AG14587" s="10"/>
      <c r="AH14587" s="10"/>
      <c r="AI14587" s="10"/>
    </row>
    <row r="14588" spans="28:35" ht="15" hidden="1" customHeight="1">
      <c r="AB14588" s="9"/>
      <c r="AC14588" s="9"/>
      <c r="AD14588" s="9"/>
      <c r="AF14588" s="10"/>
      <c r="AG14588" s="10"/>
      <c r="AH14588" s="10"/>
      <c r="AI14588" s="10"/>
    </row>
    <row r="14589" spans="28:35" ht="15" hidden="1" customHeight="1">
      <c r="AB14589" s="9"/>
      <c r="AC14589" s="9"/>
      <c r="AD14589" s="9"/>
      <c r="AF14589" s="10"/>
      <c r="AG14589" s="10"/>
      <c r="AH14589" s="10"/>
      <c r="AI14589" s="10"/>
    </row>
    <row r="14590" spans="28:35" ht="15" hidden="1" customHeight="1">
      <c r="AB14590" s="9"/>
      <c r="AC14590" s="9"/>
      <c r="AD14590" s="9"/>
      <c r="AF14590" s="10"/>
      <c r="AG14590" s="10"/>
      <c r="AH14590" s="10"/>
      <c r="AI14590" s="10"/>
    </row>
    <row r="14591" spans="28:35" ht="15" hidden="1" customHeight="1">
      <c r="AB14591" s="9"/>
      <c r="AC14591" s="9"/>
      <c r="AD14591" s="9"/>
      <c r="AF14591" s="10"/>
      <c r="AG14591" s="10"/>
      <c r="AH14591" s="10"/>
      <c r="AI14591" s="10"/>
    </row>
    <row r="14592" spans="28:35" ht="15" hidden="1" customHeight="1">
      <c r="AB14592" s="9"/>
      <c r="AC14592" s="9"/>
      <c r="AD14592" s="9"/>
      <c r="AF14592" s="10"/>
      <c r="AG14592" s="10"/>
      <c r="AH14592" s="10"/>
      <c r="AI14592" s="10"/>
    </row>
    <row r="14593" spans="28:35" ht="15" hidden="1" customHeight="1">
      <c r="AB14593" s="9"/>
      <c r="AC14593" s="9"/>
      <c r="AD14593" s="9"/>
      <c r="AF14593" s="10"/>
      <c r="AG14593" s="10"/>
      <c r="AH14593" s="10"/>
      <c r="AI14593" s="10"/>
    </row>
    <row r="14594" spans="28:35" ht="15" hidden="1" customHeight="1">
      <c r="AB14594" s="9"/>
      <c r="AC14594" s="9"/>
      <c r="AD14594" s="9"/>
      <c r="AF14594" s="10"/>
      <c r="AG14594" s="10"/>
      <c r="AH14594" s="10"/>
      <c r="AI14594" s="10"/>
    </row>
    <row r="14595" spans="28:35" ht="15" hidden="1" customHeight="1">
      <c r="AB14595" s="9"/>
      <c r="AC14595" s="9"/>
      <c r="AD14595" s="9"/>
      <c r="AF14595" s="10"/>
      <c r="AG14595" s="10"/>
      <c r="AH14595" s="10"/>
      <c r="AI14595" s="10"/>
    </row>
    <row r="14596" spans="28:35" ht="15" hidden="1" customHeight="1">
      <c r="AB14596" s="9"/>
      <c r="AC14596" s="9"/>
      <c r="AD14596" s="9"/>
      <c r="AF14596" s="10"/>
      <c r="AG14596" s="10"/>
      <c r="AH14596" s="10"/>
      <c r="AI14596" s="10"/>
    </row>
    <row r="14597" spans="28:35" ht="15" hidden="1" customHeight="1">
      <c r="AB14597" s="9"/>
      <c r="AC14597" s="9"/>
      <c r="AD14597" s="9"/>
      <c r="AF14597" s="10"/>
      <c r="AG14597" s="10"/>
      <c r="AH14597" s="10"/>
      <c r="AI14597" s="10"/>
    </row>
    <row r="14598" spans="28:35" ht="15" hidden="1" customHeight="1">
      <c r="AB14598" s="9"/>
      <c r="AC14598" s="9"/>
      <c r="AD14598" s="9"/>
      <c r="AF14598" s="10"/>
      <c r="AG14598" s="10"/>
      <c r="AH14598" s="10"/>
      <c r="AI14598" s="10"/>
    </row>
    <row r="14599" spans="28:35" ht="15" hidden="1" customHeight="1">
      <c r="AB14599" s="9"/>
      <c r="AC14599" s="9"/>
      <c r="AD14599" s="9"/>
      <c r="AF14599" s="10"/>
      <c r="AG14599" s="10"/>
      <c r="AH14599" s="10"/>
      <c r="AI14599" s="10"/>
    </row>
    <row r="14600" spans="28:35" ht="15" hidden="1" customHeight="1">
      <c r="AB14600" s="9"/>
      <c r="AC14600" s="9"/>
      <c r="AD14600" s="9"/>
      <c r="AF14600" s="10"/>
      <c r="AG14600" s="10"/>
      <c r="AH14600" s="10"/>
      <c r="AI14600" s="10"/>
    </row>
    <row r="14601" spans="28:35" ht="15" hidden="1" customHeight="1">
      <c r="AB14601" s="9"/>
      <c r="AC14601" s="9"/>
      <c r="AD14601" s="9"/>
      <c r="AF14601" s="10"/>
      <c r="AG14601" s="10"/>
      <c r="AH14601" s="10"/>
      <c r="AI14601" s="10"/>
    </row>
    <row r="14602" spans="28:35" ht="15" hidden="1" customHeight="1">
      <c r="AB14602" s="9"/>
      <c r="AC14602" s="9"/>
      <c r="AD14602" s="9"/>
      <c r="AF14602" s="10"/>
      <c r="AG14602" s="10"/>
      <c r="AH14602" s="10"/>
      <c r="AI14602" s="10"/>
    </row>
    <row r="14603" spans="28:35" ht="15" hidden="1" customHeight="1">
      <c r="AB14603" s="9"/>
      <c r="AC14603" s="9"/>
      <c r="AD14603" s="9"/>
      <c r="AF14603" s="10"/>
      <c r="AG14603" s="10"/>
      <c r="AH14603" s="10"/>
      <c r="AI14603" s="10"/>
    </row>
    <row r="14604" spans="28:35" ht="15" hidden="1" customHeight="1">
      <c r="AB14604" s="9"/>
      <c r="AC14604" s="9"/>
      <c r="AD14604" s="9"/>
      <c r="AF14604" s="10"/>
      <c r="AG14604" s="10"/>
      <c r="AH14604" s="10"/>
      <c r="AI14604" s="10"/>
    </row>
    <row r="14605" spans="28:35" ht="15" hidden="1" customHeight="1">
      <c r="AB14605" s="9"/>
      <c r="AC14605" s="9"/>
      <c r="AD14605" s="9"/>
      <c r="AF14605" s="10"/>
      <c r="AG14605" s="10"/>
      <c r="AH14605" s="10"/>
      <c r="AI14605" s="10"/>
    </row>
    <row r="14606" spans="28:35" ht="15" hidden="1" customHeight="1">
      <c r="AB14606" s="9"/>
      <c r="AC14606" s="9"/>
      <c r="AD14606" s="9"/>
      <c r="AF14606" s="10"/>
      <c r="AG14606" s="10"/>
      <c r="AH14606" s="10"/>
      <c r="AI14606" s="10"/>
    </row>
    <row r="14607" spans="28:35" ht="15" hidden="1" customHeight="1">
      <c r="AB14607" s="9"/>
      <c r="AC14607" s="9"/>
      <c r="AD14607" s="9"/>
      <c r="AF14607" s="10"/>
      <c r="AG14607" s="10"/>
      <c r="AH14607" s="10"/>
      <c r="AI14607" s="10"/>
    </row>
    <row r="14608" spans="28:35" ht="15" hidden="1" customHeight="1">
      <c r="AB14608" s="9"/>
      <c r="AC14608" s="9"/>
      <c r="AD14608" s="9"/>
      <c r="AF14608" s="10"/>
      <c r="AG14608" s="10"/>
      <c r="AH14608" s="10"/>
      <c r="AI14608" s="10"/>
    </row>
    <row r="14609" spans="28:35" ht="15" hidden="1" customHeight="1">
      <c r="AB14609" s="9"/>
      <c r="AC14609" s="9"/>
      <c r="AD14609" s="9"/>
      <c r="AF14609" s="10"/>
      <c r="AG14609" s="10"/>
      <c r="AH14609" s="10"/>
      <c r="AI14609" s="10"/>
    </row>
    <row r="14610" spans="28:35" ht="15" hidden="1" customHeight="1">
      <c r="AB14610" s="9"/>
      <c r="AC14610" s="9"/>
      <c r="AD14610" s="9"/>
      <c r="AF14610" s="10"/>
      <c r="AG14610" s="10"/>
      <c r="AH14610" s="10"/>
      <c r="AI14610" s="10"/>
    </row>
    <row r="14611" spans="28:35" ht="15" hidden="1" customHeight="1">
      <c r="AB14611" s="9"/>
      <c r="AC14611" s="9"/>
      <c r="AD14611" s="9"/>
      <c r="AF14611" s="10"/>
      <c r="AG14611" s="10"/>
      <c r="AH14611" s="10"/>
      <c r="AI14611" s="10"/>
    </row>
    <row r="14612" spans="28:35" ht="15" hidden="1" customHeight="1">
      <c r="AB14612" s="9"/>
      <c r="AC14612" s="9"/>
      <c r="AD14612" s="9"/>
      <c r="AF14612" s="10"/>
      <c r="AG14612" s="10"/>
      <c r="AH14612" s="10"/>
      <c r="AI14612" s="10"/>
    </row>
    <row r="14613" spans="28:35" ht="15" hidden="1" customHeight="1">
      <c r="AB14613" s="9"/>
      <c r="AC14613" s="9"/>
      <c r="AD14613" s="9"/>
      <c r="AF14613" s="10"/>
      <c r="AG14613" s="10"/>
      <c r="AH14613" s="10"/>
      <c r="AI14613" s="10"/>
    </row>
    <row r="14614" spans="28:35" ht="15" hidden="1" customHeight="1">
      <c r="AB14614" s="9"/>
      <c r="AC14614" s="9"/>
      <c r="AD14614" s="9"/>
      <c r="AF14614" s="10"/>
      <c r="AG14614" s="10"/>
      <c r="AH14614" s="10"/>
      <c r="AI14614" s="10"/>
    </row>
    <row r="14615" spans="28:35" ht="15" hidden="1" customHeight="1">
      <c r="AB14615" s="9"/>
      <c r="AC14615" s="9"/>
      <c r="AD14615" s="9"/>
      <c r="AF14615" s="10"/>
      <c r="AG14615" s="10"/>
      <c r="AH14615" s="10"/>
      <c r="AI14615" s="10"/>
    </row>
    <row r="14616" spans="28:35" ht="15" hidden="1" customHeight="1">
      <c r="AB14616" s="9"/>
      <c r="AC14616" s="9"/>
      <c r="AD14616" s="9"/>
      <c r="AF14616" s="10"/>
      <c r="AG14616" s="10"/>
      <c r="AH14616" s="10"/>
      <c r="AI14616" s="10"/>
    </row>
    <row r="14617" spans="28:35" ht="15" hidden="1" customHeight="1">
      <c r="AB14617" s="9"/>
      <c r="AC14617" s="9"/>
      <c r="AD14617" s="9"/>
      <c r="AF14617" s="10"/>
      <c r="AG14617" s="10"/>
      <c r="AH14617" s="10"/>
      <c r="AI14617" s="10"/>
    </row>
    <row r="14618" spans="28:35" ht="15" hidden="1" customHeight="1">
      <c r="AB14618" s="9"/>
      <c r="AC14618" s="9"/>
      <c r="AD14618" s="9"/>
      <c r="AF14618" s="10"/>
      <c r="AG14618" s="10"/>
      <c r="AH14618" s="10"/>
      <c r="AI14618" s="10"/>
    </row>
    <row r="14619" spans="28:35" ht="15" hidden="1" customHeight="1">
      <c r="AB14619" s="9"/>
      <c r="AC14619" s="9"/>
      <c r="AD14619" s="9"/>
      <c r="AF14619" s="10"/>
      <c r="AG14619" s="10"/>
      <c r="AH14619" s="10"/>
      <c r="AI14619" s="10"/>
    </row>
    <row r="14620" spans="28:35" ht="15" hidden="1" customHeight="1">
      <c r="AB14620" s="9"/>
      <c r="AC14620" s="9"/>
      <c r="AD14620" s="9"/>
      <c r="AF14620" s="10"/>
      <c r="AG14620" s="10"/>
      <c r="AH14620" s="10"/>
      <c r="AI14620" s="10"/>
    </row>
    <row r="14621" spans="28:35" ht="15" hidden="1" customHeight="1">
      <c r="AB14621" s="9"/>
      <c r="AC14621" s="9"/>
      <c r="AD14621" s="9"/>
      <c r="AF14621" s="10"/>
      <c r="AG14621" s="10"/>
      <c r="AH14621" s="10"/>
      <c r="AI14621" s="10"/>
    </row>
    <row r="14622" spans="28:35" ht="15" hidden="1" customHeight="1">
      <c r="AB14622" s="9"/>
      <c r="AC14622" s="9"/>
      <c r="AD14622" s="9"/>
      <c r="AF14622" s="10"/>
      <c r="AG14622" s="10"/>
      <c r="AH14622" s="10"/>
      <c r="AI14622" s="10"/>
    </row>
    <row r="14623" spans="28:35" ht="15" hidden="1" customHeight="1">
      <c r="AB14623" s="9"/>
      <c r="AC14623" s="9"/>
      <c r="AD14623" s="9"/>
      <c r="AF14623" s="10"/>
      <c r="AG14623" s="10"/>
      <c r="AH14623" s="10"/>
      <c r="AI14623" s="10"/>
    </row>
    <row r="14624" spans="28:35" ht="15" hidden="1" customHeight="1">
      <c r="AB14624" s="9"/>
      <c r="AC14624" s="9"/>
      <c r="AD14624" s="9"/>
      <c r="AF14624" s="10"/>
      <c r="AG14624" s="10"/>
      <c r="AH14624" s="10"/>
      <c r="AI14624" s="10"/>
    </row>
    <row r="14625" spans="28:35" ht="15" hidden="1" customHeight="1">
      <c r="AB14625" s="9"/>
      <c r="AC14625" s="9"/>
      <c r="AD14625" s="9"/>
      <c r="AF14625" s="10"/>
      <c r="AG14625" s="10"/>
      <c r="AH14625" s="10"/>
      <c r="AI14625" s="10"/>
    </row>
    <row r="14626" spans="28:35" ht="15" hidden="1" customHeight="1">
      <c r="AB14626" s="9"/>
      <c r="AC14626" s="9"/>
      <c r="AD14626" s="9"/>
      <c r="AF14626" s="10"/>
      <c r="AG14626" s="10"/>
      <c r="AH14626" s="10"/>
      <c r="AI14626" s="10"/>
    </row>
    <row r="14627" spans="28:35" ht="15" hidden="1" customHeight="1">
      <c r="AB14627" s="9"/>
      <c r="AC14627" s="9"/>
      <c r="AD14627" s="9"/>
      <c r="AF14627" s="10"/>
      <c r="AG14627" s="10"/>
      <c r="AH14627" s="10"/>
      <c r="AI14627" s="10"/>
    </row>
    <row r="14628" spans="28:35" ht="15" hidden="1" customHeight="1">
      <c r="AB14628" s="9"/>
      <c r="AC14628" s="9"/>
      <c r="AD14628" s="9"/>
      <c r="AF14628" s="10"/>
      <c r="AG14628" s="10"/>
      <c r="AH14628" s="10"/>
      <c r="AI14628" s="10"/>
    </row>
    <row r="14629" spans="28:35" ht="15" hidden="1" customHeight="1">
      <c r="AB14629" s="9"/>
      <c r="AC14629" s="9"/>
      <c r="AD14629" s="9"/>
      <c r="AF14629" s="10"/>
      <c r="AG14629" s="10"/>
      <c r="AH14629" s="10"/>
      <c r="AI14629" s="10"/>
    </row>
    <row r="14630" spans="28:35" ht="15" hidden="1" customHeight="1">
      <c r="AB14630" s="9"/>
      <c r="AC14630" s="9"/>
      <c r="AD14630" s="9"/>
      <c r="AF14630" s="10"/>
      <c r="AG14630" s="10"/>
      <c r="AH14630" s="10"/>
      <c r="AI14630" s="10"/>
    </row>
    <row r="14631" spans="28:35" ht="15" hidden="1" customHeight="1">
      <c r="AB14631" s="9"/>
      <c r="AC14631" s="9"/>
      <c r="AD14631" s="9"/>
      <c r="AF14631" s="10"/>
      <c r="AG14631" s="10"/>
      <c r="AH14631" s="10"/>
      <c r="AI14631" s="10"/>
    </row>
    <row r="14632" spans="28:35" ht="15" hidden="1" customHeight="1">
      <c r="AB14632" s="9"/>
      <c r="AC14632" s="9"/>
      <c r="AD14632" s="9"/>
      <c r="AF14632" s="10"/>
      <c r="AG14632" s="10"/>
      <c r="AH14632" s="10"/>
      <c r="AI14632" s="10"/>
    </row>
    <row r="14633" spans="28:35" ht="15" hidden="1" customHeight="1">
      <c r="AB14633" s="9"/>
      <c r="AC14633" s="9"/>
      <c r="AD14633" s="9"/>
      <c r="AF14633" s="10"/>
      <c r="AG14633" s="10"/>
      <c r="AH14633" s="10"/>
      <c r="AI14633" s="10"/>
    </row>
    <row r="14634" spans="28:35" ht="15" hidden="1" customHeight="1">
      <c r="AB14634" s="9"/>
      <c r="AC14634" s="9"/>
      <c r="AD14634" s="9"/>
      <c r="AF14634" s="10"/>
      <c r="AG14634" s="10"/>
      <c r="AH14634" s="10"/>
      <c r="AI14634" s="10"/>
    </row>
    <row r="14635" spans="28:35" ht="15" hidden="1" customHeight="1">
      <c r="AB14635" s="9"/>
      <c r="AC14635" s="9"/>
      <c r="AD14635" s="9"/>
      <c r="AF14635" s="10"/>
      <c r="AG14635" s="10"/>
      <c r="AH14635" s="10"/>
      <c r="AI14635" s="10"/>
    </row>
    <row r="14636" spans="28:35" ht="15" hidden="1" customHeight="1">
      <c r="AB14636" s="9"/>
      <c r="AC14636" s="9"/>
      <c r="AD14636" s="9"/>
      <c r="AF14636" s="10"/>
      <c r="AG14636" s="10"/>
      <c r="AH14636" s="10"/>
      <c r="AI14636" s="10"/>
    </row>
    <row r="14637" spans="28:35" ht="15" hidden="1" customHeight="1">
      <c r="AB14637" s="9"/>
      <c r="AC14637" s="9"/>
      <c r="AD14637" s="9"/>
      <c r="AF14637" s="10"/>
      <c r="AG14637" s="10"/>
      <c r="AH14637" s="10"/>
      <c r="AI14637" s="10"/>
    </row>
    <row r="14638" spans="28:35" ht="15" hidden="1" customHeight="1">
      <c r="AB14638" s="9"/>
      <c r="AC14638" s="9"/>
      <c r="AD14638" s="9"/>
      <c r="AF14638" s="10"/>
      <c r="AG14638" s="10"/>
      <c r="AH14638" s="10"/>
      <c r="AI14638" s="10"/>
    </row>
    <row r="14639" spans="28:35" ht="15" hidden="1" customHeight="1">
      <c r="AB14639" s="9"/>
      <c r="AC14639" s="9"/>
      <c r="AD14639" s="9"/>
      <c r="AF14639" s="10"/>
      <c r="AG14639" s="10"/>
      <c r="AH14639" s="10"/>
      <c r="AI14639" s="10"/>
    </row>
    <row r="14640" spans="28:35" ht="15" hidden="1" customHeight="1">
      <c r="AB14640" s="9"/>
      <c r="AC14640" s="9"/>
      <c r="AD14640" s="9"/>
      <c r="AF14640" s="10"/>
      <c r="AG14640" s="10"/>
      <c r="AH14640" s="10"/>
      <c r="AI14640" s="10"/>
    </row>
    <row r="14641" spans="28:35" ht="15" hidden="1" customHeight="1">
      <c r="AB14641" s="9"/>
      <c r="AC14641" s="9"/>
      <c r="AD14641" s="9"/>
      <c r="AF14641" s="10"/>
      <c r="AG14641" s="10"/>
      <c r="AH14641" s="10"/>
      <c r="AI14641" s="10"/>
    </row>
    <row r="14642" spans="28:35" ht="15" hidden="1" customHeight="1">
      <c r="AB14642" s="9"/>
      <c r="AC14642" s="9"/>
      <c r="AD14642" s="9"/>
      <c r="AF14642" s="10"/>
      <c r="AG14642" s="10"/>
      <c r="AH14642" s="10"/>
      <c r="AI14642" s="10"/>
    </row>
    <row r="14643" spans="28:35" ht="15" hidden="1" customHeight="1">
      <c r="AB14643" s="9"/>
      <c r="AC14643" s="9"/>
      <c r="AD14643" s="9"/>
      <c r="AF14643" s="10"/>
      <c r="AG14643" s="10"/>
      <c r="AH14643" s="10"/>
      <c r="AI14643" s="10"/>
    </row>
    <row r="14644" spans="28:35" ht="15" hidden="1" customHeight="1">
      <c r="AB14644" s="9"/>
      <c r="AC14644" s="9"/>
      <c r="AD14644" s="9"/>
      <c r="AF14644" s="10"/>
      <c r="AG14644" s="10"/>
      <c r="AH14644" s="10"/>
      <c r="AI14644" s="10"/>
    </row>
    <row r="14645" spans="28:35" ht="15" hidden="1" customHeight="1">
      <c r="AB14645" s="9"/>
      <c r="AC14645" s="9"/>
      <c r="AD14645" s="9"/>
      <c r="AF14645" s="10"/>
      <c r="AG14645" s="10"/>
      <c r="AH14645" s="10"/>
      <c r="AI14645" s="10"/>
    </row>
    <row r="14646" spans="28:35" ht="15" hidden="1" customHeight="1">
      <c r="AB14646" s="9"/>
      <c r="AC14646" s="9"/>
      <c r="AD14646" s="9"/>
      <c r="AF14646" s="10"/>
      <c r="AG14646" s="10"/>
      <c r="AH14646" s="10"/>
      <c r="AI14646" s="10"/>
    </row>
    <row r="14647" spans="28:35" ht="15" hidden="1" customHeight="1">
      <c r="AB14647" s="9"/>
      <c r="AC14647" s="9"/>
      <c r="AD14647" s="9"/>
      <c r="AF14647" s="10"/>
      <c r="AG14647" s="10"/>
      <c r="AH14647" s="10"/>
      <c r="AI14647" s="10"/>
    </row>
    <row r="14648" spans="28:35" ht="15" hidden="1" customHeight="1">
      <c r="AB14648" s="9"/>
      <c r="AC14648" s="9"/>
      <c r="AD14648" s="9"/>
      <c r="AF14648" s="10"/>
      <c r="AG14648" s="10"/>
      <c r="AH14648" s="10"/>
      <c r="AI14648" s="10"/>
    </row>
    <row r="14649" spans="28:35" ht="15" hidden="1" customHeight="1">
      <c r="AB14649" s="9"/>
      <c r="AC14649" s="9"/>
      <c r="AD14649" s="9"/>
      <c r="AF14649" s="10"/>
      <c r="AG14649" s="10"/>
      <c r="AH14649" s="10"/>
      <c r="AI14649" s="10"/>
    </row>
    <row r="14650" spans="28:35" ht="15" hidden="1" customHeight="1">
      <c r="AB14650" s="9"/>
      <c r="AC14650" s="9"/>
      <c r="AD14650" s="9"/>
      <c r="AF14650" s="10"/>
      <c r="AG14650" s="10"/>
      <c r="AH14650" s="10"/>
      <c r="AI14650" s="10"/>
    </row>
    <row r="14651" spans="28:35" ht="15" hidden="1" customHeight="1">
      <c r="AB14651" s="9"/>
      <c r="AC14651" s="9"/>
      <c r="AD14651" s="9"/>
      <c r="AF14651" s="10"/>
      <c r="AG14651" s="10"/>
      <c r="AH14651" s="10"/>
      <c r="AI14651" s="10"/>
    </row>
    <row r="14652" spans="28:35" ht="15" hidden="1" customHeight="1">
      <c r="AB14652" s="9"/>
      <c r="AC14652" s="9"/>
      <c r="AD14652" s="9"/>
      <c r="AF14652" s="10"/>
      <c r="AG14652" s="10"/>
      <c r="AH14652" s="10"/>
      <c r="AI14652" s="10"/>
    </row>
    <row r="14653" spans="28:35" ht="15" hidden="1" customHeight="1">
      <c r="AB14653" s="9"/>
      <c r="AC14653" s="9"/>
      <c r="AD14653" s="9"/>
      <c r="AF14653" s="10"/>
      <c r="AG14653" s="10"/>
      <c r="AH14653" s="10"/>
      <c r="AI14653" s="10"/>
    </row>
    <row r="14654" spans="28:35" ht="15" hidden="1" customHeight="1">
      <c r="AB14654" s="9"/>
      <c r="AC14654" s="9"/>
      <c r="AD14654" s="9"/>
      <c r="AF14654" s="10"/>
      <c r="AG14654" s="10"/>
      <c r="AH14654" s="10"/>
      <c r="AI14654" s="10"/>
    </row>
    <row r="14655" spans="28:35" ht="15" hidden="1" customHeight="1">
      <c r="AB14655" s="9"/>
      <c r="AC14655" s="9"/>
      <c r="AD14655" s="9"/>
      <c r="AF14655" s="10"/>
      <c r="AG14655" s="10"/>
      <c r="AH14655" s="10"/>
      <c r="AI14655" s="10"/>
    </row>
    <row r="14656" spans="28:35" ht="15" hidden="1" customHeight="1">
      <c r="AB14656" s="9"/>
      <c r="AC14656" s="9"/>
      <c r="AD14656" s="9"/>
      <c r="AF14656" s="10"/>
      <c r="AG14656" s="10"/>
      <c r="AH14656" s="10"/>
      <c r="AI14656" s="10"/>
    </row>
    <row r="14657" spans="28:35" ht="15" hidden="1" customHeight="1">
      <c r="AB14657" s="9"/>
      <c r="AC14657" s="9"/>
      <c r="AD14657" s="9"/>
      <c r="AF14657" s="10"/>
      <c r="AG14657" s="10"/>
      <c r="AH14657" s="10"/>
      <c r="AI14657" s="10"/>
    </row>
    <row r="14658" spans="28:35" ht="15" hidden="1" customHeight="1">
      <c r="AB14658" s="9"/>
      <c r="AC14658" s="9"/>
      <c r="AD14658" s="9"/>
      <c r="AF14658" s="10"/>
      <c r="AG14658" s="10"/>
      <c r="AH14658" s="10"/>
      <c r="AI14658" s="10"/>
    </row>
    <row r="14659" spans="28:35" ht="15" hidden="1" customHeight="1">
      <c r="AB14659" s="9"/>
      <c r="AC14659" s="9"/>
      <c r="AD14659" s="9"/>
      <c r="AF14659" s="10"/>
      <c r="AG14659" s="10"/>
      <c r="AH14659" s="10"/>
      <c r="AI14659" s="10"/>
    </row>
    <row r="14660" spans="28:35" ht="15" hidden="1" customHeight="1">
      <c r="AB14660" s="9"/>
      <c r="AC14660" s="9"/>
      <c r="AD14660" s="9"/>
      <c r="AF14660" s="10"/>
      <c r="AG14660" s="10"/>
      <c r="AH14660" s="10"/>
      <c r="AI14660" s="10"/>
    </row>
    <row r="14661" spans="28:35" ht="15" hidden="1" customHeight="1">
      <c r="AB14661" s="9"/>
      <c r="AC14661" s="9"/>
      <c r="AD14661" s="9"/>
      <c r="AF14661" s="10"/>
      <c r="AG14661" s="10"/>
      <c r="AH14661" s="10"/>
      <c r="AI14661" s="10"/>
    </row>
    <row r="14662" spans="28:35" ht="15" hidden="1" customHeight="1">
      <c r="AB14662" s="9"/>
      <c r="AC14662" s="9"/>
      <c r="AD14662" s="9"/>
      <c r="AF14662" s="10"/>
      <c r="AG14662" s="10"/>
      <c r="AH14662" s="10"/>
      <c r="AI14662" s="10"/>
    </row>
    <row r="14663" spans="28:35" ht="15" hidden="1" customHeight="1">
      <c r="AB14663" s="9"/>
      <c r="AC14663" s="9"/>
      <c r="AD14663" s="9"/>
      <c r="AF14663" s="10"/>
      <c r="AG14663" s="10"/>
      <c r="AH14663" s="10"/>
      <c r="AI14663" s="10"/>
    </row>
    <row r="14664" spans="28:35" ht="15" hidden="1" customHeight="1">
      <c r="AB14664" s="9"/>
      <c r="AC14664" s="9"/>
      <c r="AD14664" s="9"/>
      <c r="AF14664" s="10"/>
      <c r="AG14664" s="10"/>
      <c r="AH14664" s="10"/>
      <c r="AI14664" s="10"/>
    </row>
    <row r="14665" spans="28:35" ht="15" hidden="1" customHeight="1">
      <c r="AB14665" s="9"/>
      <c r="AC14665" s="9"/>
      <c r="AD14665" s="9"/>
      <c r="AF14665" s="10"/>
      <c r="AG14665" s="10"/>
      <c r="AH14665" s="10"/>
      <c r="AI14665" s="10"/>
    </row>
    <row r="14666" spans="28:35" ht="15" hidden="1" customHeight="1">
      <c r="AB14666" s="9"/>
      <c r="AC14666" s="9"/>
      <c r="AD14666" s="9"/>
      <c r="AF14666" s="10"/>
      <c r="AG14666" s="10"/>
      <c r="AH14666" s="10"/>
      <c r="AI14666" s="10"/>
    </row>
    <row r="14667" spans="28:35" ht="15" hidden="1" customHeight="1">
      <c r="AB14667" s="9"/>
      <c r="AC14667" s="9"/>
      <c r="AD14667" s="9"/>
      <c r="AF14667" s="10"/>
      <c r="AG14667" s="10"/>
      <c r="AH14667" s="10"/>
      <c r="AI14667" s="10"/>
    </row>
    <row r="14668" spans="28:35" ht="15" hidden="1" customHeight="1">
      <c r="AB14668" s="9"/>
      <c r="AC14668" s="9"/>
      <c r="AD14668" s="9"/>
      <c r="AF14668" s="10"/>
      <c r="AG14668" s="10"/>
      <c r="AH14668" s="10"/>
      <c r="AI14668" s="10"/>
    </row>
    <row r="14669" spans="28:35" ht="15" hidden="1" customHeight="1">
      <c r="AB14669" s="9"/>
      <c r="AC14669" s="9"/>
      <c r="AD14669" s="9"/>
      <c r="AF14669" s="10"/>
      <c r="AG14669" s="10"/>
      <c r="AH14669" s="10"/>
      <c r="AI14669" s="10"/>
    </row>
    <row r="14670" spans="28:35" ht="15" hidden="1" customHeight="1">
      <c r="AB14670" s="9"/>
      <c r="AC14670" s="9"/>
      <c r="AD14670" s="9"/>
      <c r="AF14670" s="10"/>
      <c r="AG14670" s="10"/>
      <c r="AH14670" s="10"/>
      <c r="AI14670" s="10"/>
    </row>
    <row r="14671" spans="28:35" ht="15" hidden="1" customHeight="1">
      <c r="AB14671" s="9"/>
      <c r="AC14671" s="9"/>
      <c r="AD14671" s="9"/>
      <c r="AF14671" s="10"/>
      <c r="AG14671" s="10"/>
      <c r="AH14671" s="10"/>
      <c r="AI14671" s="10"/>
    </row>
    <row r="14672" spans="28:35" ht="15" hidden="1" customHeight="1">
      <c r="AB14672" s="9"/>
      <c r="AC14672" s="9"/>
      <c r="AD14672" s="9"/>
      <c r="AF14672" s="10"/>
      <c r="AG14672" s="10"/>
      <c r="AH14672" s="10"/>
      <c r="AI14672" s="10"/>
    </row>
    <row r="14673" spans="28:35" ht="15" hidden="1" customHeight="1">
      <c r="AB14673" s="9"/>
      <c r="AC14673" s="9"/>
      <c r="AD14673" s="9"/>
      <c r="AF14673" s="10"/>
      <c r="AG14673" s="10"/>
      <c r="AH14673" s="10"/>
      <c r="AI14673" s="10"/>
    </row>
    <row r="14674" spans="28:35" ht="15" hidden="1" customHeight="1">
      <c r="AB14674" s="9"/>
      <c r="AC14674" s="9"/>
      <c r="AD14674" s="9"/>
      <c r="AF14674" s="10"/>
      <c r="AG14674" s="10"/>
      <c r="AH14674" s="10"/>
      <c r="AI14674" s="10"/>
    </row>
    <row r="14675" spans="28:35" ht="15" hidden="1" customHeight="1">
      <c r="AB14675" s="9"/>
      <c r="AC14675" s="9"/>
      <c r="AD14675" s="9"/>
      <c r="AF14675" s="10"/>
      <c r="AG14675" s="10"/>
      <c r="AH14675" s="10"/>
      <c r="AI14675" s="10"/>
    </row>
    <row r="14676" spans="28:35" ht="15" hidden="1" customHeight="1">
      <c r="AB14676" s="9"/>
      <c r="AC14676" s="9"/>
      <c r="AD14676" s="9"/>
      <c r="AF14676" s="10"/>
      <c r="AG14676" s="10"/>
      <c r="AH14676" s="10"/>
      <c r="AI14676" s="10"/>
    </row>
    <row r="14677" spans="28:35" ht="15" hidden="1" customHeight="1">
      <c r="AB14677" s="9"/>
      <c r="AC14677" s="9"/>
      <c r="AD14677" s="9"/>
      <c r="AF14677" s="10"/>
      <c r="AG14677" s="10"/>
      <c r="AH14677" s="10"/>
      <c r="AI14677" s="10"/>
    </row>
    <row r="14678" spans="28:35" ht="15" hidden="1" customHeight="1">
      <c r="AB14678" s="9"/>
      <c r="AC14678" s="9"/>
      <c r="AD14678" s="9"/>
      <c r="AF14678" s="10"/>
      <c r="AG14678" s="10"/>
      <c r="AH14678" s="10"/>
      <c r="AI14678" s="10"/>
    </row>
    <row r="14679" spans="28:35" ht="15" hidden="1" customHeight="1">
      <c r="AB14679" s="9"/>
      <c r="AC14679" s="9"/>
      <c r="AD14679" s="9"/>
      <c r="AF14679" s="10"/>
      <c r="AG14679" s="10"/>
      <c r="AH14679" s="10"/>
      <c r="AI14679" s="10"/>
    </row>
    <row r="14680" spans="28:35" ht="15" hidden="1" customHeight="1">
      <c r="AB14680" s="9"/>
      <c r="AC14680" s="9"/>
      <c r="AD14680" s="9"/>
      <c r="AF14680" s="10"/>
      <c r="AG14680" s="10"/>
      <c r="AH14680" s="10"/>
      <c r="AI14680" s="10"/>
    </row>
    <row r="14681" spans="28:35" ht="15" hidden="1" customHeight="1">
      <c r="AB14681" s="9"/>
      <c r="AC14681" s="9"/>
      <c r="AD14681" s="9"/>
      <c r="AF14681" s="10"/>
      <c r="AG14681" s="10"/>
      <c r="AH14681" s="10"/>
      <c r="AI14681" s="10"/>
    </row>
    <row r="14682" spans="28:35" ht="15" hidden="1" customHeight="1">
      <c r="AB14682" s="9"/>
      <c r="AC14682" s="9"/>
      <c r="AD14682" s="9"/>
      <c r="AF14682" s="10"/>
      <c r="AG14682" s="10"/>
      <c r="AH14682" s="10"/>
      <c r="AI14682" s="10"/>
    </row>
    <row r="14683" spans="28:35" ht="15" hidden="1" customHeight="1">
      <c r="AB14683" s="9"/>
      <c r="AC14683" s="9"/>
      <c r="AD14683" s="9"/>
      <c r="AF14683" s="10"/>
      <c r="AG14683" s="10"/>
      <c r="AH14683" s="10"/>
      <c r="AI14683" s="10"/>
    </row>
    <row r="14684" spans="28:35" ht="15" hidden="1" customHeight="1">
      <c r="AB14684" s="9"/>
      <c r="AC14684" s="9"/>
      <c r="AD14684" s="9"/>
      <c r="AF14684" s="10"/>
      <c r="AG14684" s="10"/>
      <c r="AH14684" s="10"/>
      <c r="AI14684" s="10"/>
    </row>
    <row r="14685" spans="28:35" ht="15" hidden="1" customHeight="1">
      <c r="AB14685" s="9"/>
      <c r="AC14685" s="9"/>
      <c r="AD14685" s="9"/>
      <c r="AF14685" s="10"/>
      <c r="AG14685" s="10"/>
      <c r="AH14685" s="10"/>
      <c r="AI14685" s="10"/>
    </row>
    <row r="14686" spans="28:35" ht="15" hidden="1" customHeight="1">
      <c r="AB14686" s="9"/>
      <c r="AC14686" s="9"/>
      <c r="AD14686" s="9"/>
      <c r="AF14686" s="10"/>
      <c r="AG14686" s="10"/>
      <c r="AH14686" s="10"/>
      <c r="AI14686" s="10"/>
    </row>
    <row r="14687" spans="28:35" ht="15" hidden="1" customHeight="1">
      <c r="AB14687" s="9"/>
      <c r="AC14687" s="9"/>
      <c r="AD14687" s="9"/>
      <c r="AF14687" s="10"/>
      <c r="AG14687" s="10"/>
      <c r="AH14687" s="10"/>
      <c r="AI14687" s="10"/>
    </row>
    <row r="14688" spans="28:35" ht="15" hidden="1" customHeight="1">
      <c r="AB14688" s="9"/>
      <c r="AC14688" s="9"/>
      <c r="AD14688" s="9"/>
      <c r="AF14688" s="10"/>
      <c r="AG14688" s="10"/>
      <c r="AH14688" s="10"/>
      <c r="AI14688" s="10"/>
    </row>
    <row r="14689" spans="28:35" ht="15" hidden="1" customHeight="1">
      <c r="AB14689" s="9"/>
      <c r="AC14689" s="9"/>
      <c r="AD14689" s="9"/>
      <c r="AF14689" s="10"/>
      <c r="AG14689" s="10"/>
      <c r="AH14689" s="10"/>
      <c r="AI14689" s="10"/>
    </row>
    <row r="14690" spans="28:35" ht="15" hidden="1" customHeight="1">
      <c r="AB14690" s="9"/>
      <c r="AC14690" s="9"/>
      <c r="AD14690" s="9"/>
      <c r="AF14690" s="10"/>
      <c r="AG14690" s="10"/>
      <c r="AH14690" s="10"/>
      <c r="AI14690" s="10"/>
    </row>
    <row r="14691" spans="28:35" ht="15" hidden="1" customHeight="1">
      <c r="AB14691" s="9"/>
      <c r="AC14691" s="9"/>
      <c r="AD14691" s="9"/>
      <c r="AF14691" s="10"/>
      <c r="AG14691" s="10"/>
      <c r="AH14691" s="10"/>
      <c r="AI14691" s="10"/>
    </row>
    <row r="14692" spans="28:35" ht="15" hidden="1" customHeight="1">
      <c r="AB14692" s="9"/>
      <c r="AC14692" s="9"/>
      <c r="AD14692" s="9"/>
      <c r="AF14692" s="10"/>
      <c r="AG14692" s="10"/>
      <c r="AH14692" s="10"/>
      <c r="AI14692" s="10"/>
    </row>
    <row r="14693" spans="28:35" ht="15" hidden="1" customHeight="1">
      <c r="AB14693" s="9"/>
      <c r="AC14693" s="9"/>
      <c r="AD14693" s="9"/>
      <c r="AF14693" s="10"/>
      <c r="AG14693" s="10"/>
      <c r="AH14693" s="10"/>
      <c r="AI14693" s="10"/>
    </row>
    <row r="14694" spans="28:35" ht="15" hidden="1" customHeight="1">
      <c r="AB14694" s="9"/>
      <c r="AC14694" s="9"/>
      <c r="AD14694" s="9"/>
      <c r="AF14694" s="10"/>
      <c r="AG14694" s="10"/>
      <c r="AH14694" s="10"/>
      <c r="AI14694" s="10"/>
    </row>
    <row r="14695" spans="28:35" ht="15" hidden="1" customHeight="1">
      <c r="AB14695" s="9"/>
      <c r="AC14695" s="9"/>
      <c r="AD14695" s="9"/>
      <c r="AF14695" s="10"/>
      <c r="AG14695" s="10"/>
      <c r="AH14695" s="10"/>
      <c r="AI14695" s="10"/>
    </row>
    <row r="14696" spans="28:35" ht="15" hidden="1" customHeight="1">
      <c r="AB14696" s="9"/>
      <c r="AC14696" s="9"/>
      <c r="AD14696" s="9"/>
      <c r="AF14696" s="10"/>
      <c r="AG14696" s="10"/>
      <c r="AH14696" s="10"/>
      <c r="AI14696" s="10"/>
    </row>
    <row r="14697" spans="28:35" ht="15" hidden="1" customHeight="1">
      <c r="AB14697" s="9"/>
      <c r="AC14697" s="9"/>
      <c r="AD14697" s="9"/>
      <c r="AF14697" s="10"/>
      <c r="AG14697" s="10"/>
      <c r="AH14697" s="10"/>
      <c r="AI14697" s="10"/>
    </row>
    <row r="14698" spans="28:35" ht="15" hidden="1" customHeight="1">
      <c r="AB14698" s="9"/>
      <c r="AC14698" s="9"/>
      <c r="AD14698" s="9"/>
      <c r="AF14698" s="10"/>
      <c r="AG14698" s="10"/>
      <c r="AH14698" s="10"/>
      <c r="AI14698" s="10"/>
    </row>
    <row r="14699" spans="28:35" ht="15" hidden="1" customHeight="1">
      <c r="AB14699" s="9"/>
      <c r="AC14699" s="9"/>
      <c r="AD14699" s="9"/>
      <c r="AF14699" s="10"/>
      <c r="AG14699" s="10"/>
      <c r="AH14699" s="10"/>
      <c r="AI14699" s="10"/>
    </row>
    <row r="14700" spans="28:35" ht="15" hidden="1" customHeight="1">
      <c r="AB14700" s="9"/>
      <c r="AC14700" s="9"/>
      <c r="AD14700" s="9"/>
      <c r="AF14700" s="10"/>
      <c r="AG14700" s="10"/>
      <c r="AH14700" s="10"/>
      <c r="AI14700" s="10"/>
    </row>
    <row r="14701" spans="28:35" ht="15" hidden="1" customHeight="1">
      <c r="AB14701" s="9"/>
      <c r="AC14701" s="9"/>
      <c r="AD14701" s="9"/>
      <c r="AF14701" s="10"/>
      <c r="AG14701" s="10"/>
      <c r="AH14701" s="10"/>
      <c r="AI14701" s="10"/>
    </row>
    <row r="14702" spans="28:35" ht="15" hidden="1" customHeight="1">
      <c r="AB14702" s="9"/>
      <c r="AC14702" s="9"/>
      <c r="AD14702" s="9"/>
      <c r="AF14702" s="10"/>
      <c r="AG14702" s="10"/>
      <c r="AH14702" s="10"/>
      <c r="AI14702" s="10"/>
    </row>
    <row r="14703" spans="28:35" ht="15" hidden="1" customHeight="1">
      <c r="AB14703" s="9"/>
      <c r="AC14703" s="9"/>
      <c r="AD14703" s="9"/>
      <c r="AF14703" s="10"/>
      <c r="AG14703" s="10"/>
      <c r="AH14703" s="10"/>
      <c r="AI14703" s="10"/>
    </row>
    <row r="14704" spans="28:35" ht="15" hidden="1" customHeight="1">
      <c r="AB14704" s="9"/>
      <c r="AC14704" s="9"/>
      <c r="AD14704" s="9"/>
      <c r="AF14704" s="10"/>
      <c r="AG14704" s="10"/>
      <c r="AH14704" s="10"/>
      <c r="AI14704" s="10"/>
    </row>
    <row r="14705" spans="28:35" ht="15" hidden="1" customHeight="1">
      <c r="AB14705" s="9"/>
      <c r="AC14705" s="9"/>
      <c r="AD14705" s="9"/>
      <c r="AF14705" s="10"/>
      <c r="AG14705" s="10"/>
      <c r="AH14705" s="10"/>
      <c r="AI14705" s="10"/>
    </row>
    <row r="14706" spans="28:35" ht="15" hidden="1" customHeight="1">
      <c r="AB14706" s="9"/>
      <c r="AC14706" s="9"/>
      <c r="AD14706" s="9"/>
      <c r="AF14706" s="10"/>
      <c r="AG14706" s="10"/>
      <c r="AH14706" s="10"/>
      <c r="AI14706" s="10"/>
    </row>
    <row r="14707" spans="28:35" ht="15" hidden="1" customHeight="1">
      <c r="AB14707" s="9"/>
      <c r="AC14707" s="9"/>
      <c r="AD14707" s="9"/>
      <c r="AF14707" s="10"/>
      <c r="AG14707" s="10"/>
      <c r="AH14707" s="10"/>
      <c r="AI14707" s="10"/>
    </row>
    <row r="14708" spans="28:35" ht="15" hidden="1" customHeight="1">
      <c r="AB14708" s="9"/>
      <c r="AC14708" s="9"/>
      <c r="AD14708" s="9"/>
      <c r="AF14708" s="10"/>
      <c r="AG14708" s="10"/>
      <c r="AH14708" s="10"/>
      <c r="AI14708" s="10"/>
    </row>
    <row r="14709" spans="28:35" ht="15" hidden="1" customHeight="1">
      <c r="AB14709" s="9"/>
      <c r="AC14709" s="9"/>
      <c r="AD14709" s="9"/>
      <c r="AF14709" s="10"/>
      <c r="AG14709" s="10"/>
      <c r="AH14709" s="10"/>
      <c r="AI14709" s="10"/>
    </row>
    <row r="14710" spans="28:35" ht="15" hidden="1" customHeight="1">
      <c r="AB14710" s="9"/>
      <c r="AC14710" s="9"/>
      <c r="AD14710" s="9"/>
      <c r="AF14710" s="10"/>
      <c r="AG14710" s="10"/>
      <c r="AH14710" s="10"/>
      <c r="AI14710" s="10"/>
    </row>
    <row r="14711" spans="28:35" ht="15" hidden="1" customHeight="1">
      <c r="AB14711" s="9"/>
      <c r="AC14711" s="9"/>
      <c r="AD14711" s="9"/>
      <c r="AF14711" s="10"/>
      <c r="AG14711" s="10"/>
      <c r="AH14711" s="10"/>
      <c r="AI14711" s="10"/>
    </row>
    <row r="14712" spans="28:35" ht="15" hidden="1" customHeight="1">
      <c r="AB14712" s="9"/>
      <c r="AC14712" s="9"/>
      <c r="AD14712" s="9"/>
      <c r="AF14712" s="10"/>
      <c r="AG14712" s="10"/>
      <c r="AH14712" s="10"/>
      <c r="AI14712" s="10"/>
    </row>
    <row r="14713" spans="28:35" ht="15" hidden="1" customHeight="1">
      <c r="AB14713" s="9"/>
      <c r="AC14713" s="9"/>
      <c r="AD14713" s="9"/>
      <c r="AF14713" s="10"/>
      <c r="AG14713" s="10"/>
      <c r="AH14713" s="10"/>
      <c r="AI14713" s="10"/>
    </row>
    <row r="14714" spans="28:35" ht="15" hidden="1" customHeight="1">
      <c r="AB14714" s="9"/>
      <c r="AC14714" s="9"/>
      <c r="AD14714" s="9"/>
      <c r="AF14714" s="10"/>
      <c r="AG14714" s="10"/>
      <c r="AH14714" s="10"/>
      <c r="AI14714" s="10"/>
    </row>
    <row r="14715" spans="28:35" ht="15" hidden="1" customHeight="1">
      <c r="AB14715" s="9"/>
      <c r="AC14715" s="9"/>
      <c r="AD14715" s="9"/>
      <c r="AF14715" s="10"/>
      <c r="AG14715" s="10"/>
      <c r="AH14715" s="10"/>
      <c r="AI14715" s="10"/>
    </row>
    <row r="14716" spans="28:35" ht="15" hidden="1" customHeight="1">
      <c r="AB14716" s="9"/>
      <c r="AC14716" s="9"/>
      <c r="AD14716" s="9"/>
      <c r="AF14716" s="10"/>
      <c r="AG14716" s="10"/>
      <c r="AH14716" s="10"/>
      <c r="AI14716" s="10"/>
    </row>
    <row r="14717" spans="28:35" ht="15" hidden="1" customHeight="1">
      <c r="AB14717" s="9"/>
      <c r="AC14717" s="9"/>
      <c r="AD14717" s="9"/>
      <c r="AF14717" s="10"/>
      <c r="AG14717" s="10"/>
      <c r="AH14717" s="10"/>
      <c r="AI14717" s="10"/>
    </row>
    <row r="14718" spans="28:35" ht="15" hidden="1" customHeight="1">
      <c r="AB14718" s="9"/>
      <c r="AC14718" s="9"/>
      <c r="AD14718" s="9"/>
      <c r="AF14718" s="10"/>
      <c r="AG14718" s="10"/>
      <c r="AH14718" s="10"/>
      <c r="AI14718" s="10"/>
    </row>
    <row r="14719" spans="28:35" ht="15" hidden="1" customHeight="1">
      <c r="AB14719" s="9"/>
      <c r="AC14719" s="9"/>
      <c r="AD14719" s="9"/>
      <c r="AF14719" s="10"/>
      <c r="AG14719" s="10"/>
      <c r="AH14719" s="10"/>
      <c r="AI14719" s="10"/>
    </row>
    <row r="14720" spans="28:35" ht="15" hidden="1" customHeight="1">
      <c r="AB14720" s="9"/>
      <c r="AC14720" s="9"/>
      <c r="AD14720" s="9"/>
      <c r="AF14720" s="10"/>
      <c r="AG14720" s="10"/>
      <c r="AH14720" s="10"/>
      <c r="AI14720" s="10"/>
    </row>
    <row r="14721" spans="28:35" ht="15" hidden="1" customHeight="1">
      <c r="AB14721" s="9"/>
      <c r="AC14721" s="9"/>
      <c r="AD14721" s="9"/>
      <c r="AF14721" s="10"/>
      <c r="AG14721" s="10"/>
      <c r="AH14721" s="10"/>
      <c r="AI14721" s="10"/>
    </row>
    <row r="14722" spans="28:35" ht="15" hidden="1" customHeight="1">
      <c r="AB14722" s="9"/>
      <c r="AC14722" s="9"/>
      <c r="AD14722" s="9"/>
      <c r="AF14722" s="10"/>
      <c r="AG14722" s="10"/>
      <c r="AH14722" s="10"/>
      <c r="AI14722" s="10"/>
    </row>
    <row r="14723" spans="28:35" ht="15" hidden="1" customHeight="1">
      <c r="AB14723" s="9"/>
      <c r="AC14723" s="9"/>
      <c r="AD14723" s="9"/>
      <c r="AF14723" s="10"/>
      <c r="AG14723" s="10"/>
      <c r="AH14723" s="10"/>
      <c r="AI14723" s="10"/>
    </row>
    <row r="14724" spans="28:35" ht="15" hidden="1" customHeight="1">
      <c r="AB14724" s="9"/>
      <c r="AC14724" s="9"/>
      <c r="AD14724" s="9"/>
      <c r="AF14724" s="10"/>
      <c r="AG14724" s="10"/>
      <c r="AH14724" s="10"/>
      <c r="AI14724" s="10"/>
    </row>
    <row r="14725" spans="28:35" ht="15" hidden="1" customHeight="1">
      <c r="AB14725" s="9"/>
      <c r="AC14725" s="9"/>
      <c r="AD14725" s="9"/>
      <c r="AF14725" s="10"/>
      <c r="AG14725" s="10"/>
      <c r="AH14725" s="10"/>
      <c r="AI14725" s="10"/>
    </row>
    <row r="14726" spans="28:35" ht="15" hidden="1" customHeight="1">
      <c r="AB14726" s="9"/>
      <c r="AC14726" s="9"/>
      <c r="AD14726" s="9"/>
      <c r="AF14726" s="10"/>
      <c r="AG14726" s="10"/>
      <c r="AH14726" s="10"/>
      <c r="AI14726" s="10"/>
    </row>
    <row r="14727" spans="28:35" ht="15" hidden="1" customHeight="1">
      <c r="AB14727" s="9"/>
      <c r="AC14727" s="9"/>
      <c r="AD14727" s="9"/>
      <c r="AF14727" s="10"/>
      <c r="AG14727" s="10"/>
      <c r="AH14727" s="10"/>
      <c r="AI14727" s="10"/>
    </row>
    <row r="14728" spans="28:35" ht="15" hidden="1" customHeight="1">
      <c r="AB14728" s="9"/>
      <c r="AC14728" s="9"/>
      <c r="AD14728" s="9"/>
      <c r="AF14728" s="10"/>
      <c r="AG14728" s="10"/>
      <c r="AH14728" s="10"/>
      <c r="AI14728" s="10"/>
    </row>
    <row r="14729" spans="28:35" ht="15" hidden="1" customHeight="1">
      <c r="AB14729" s="9"/>
      <c r="AC14729" s="9"/>
      <c r="AD14729" s="9"/>
      <c r="AF14729" s="10"/>
      <c r="AG14729" s="10"/>
      <c r="AH14729" s="10"/>
      <c r="AI14729" s="10"/>
    </row>
    <row r="14730" spans="28:35" ht="15" hidden="1" customHeight="1">
      <c r="AB14730" s="9"/>
      <c r="AC14730" s="9"/>
      <c r="AD14730" s="9"/>
      <c r="AF14730" s="10"/>
      <c r="AG14730" s="10"/>
      <c r="AH14730" s="10"/>
      <c r="AI14730" s="10"/>
    </row>
    <row r="14731" spans="28:35" ht="15" hidden="1" customHeight="1">
      <c r="AB14731" s="9"/>
      <c r="AC14731" s="9"/>
      <c r="AD14731" s="9"/>
      <c r="AF14731" s="10"/>
      <c r="AG14731" s="10"/>
      <c r="AH14731" s="10"/>
      <c r="AI14731" s="10"/>
    </row>
    <row r="14732" spans="28:35" ht="15" hidden="1" customHeight="1">
      <c r="AB14732" s="9"/>
      <c r="AC14732" s="9"/>
      <c r="AD14732" s="9"/>
      <c r="AF14732" s="10"/>
      <c r="AG14732" s="10"/>
      <c r="AH14732" s="10"/>
      <c r="AI14732" s="10"/>
    </row>
    <row r="14733" spans="28:35" ht="15" hidden="1" customHeight="1">
      <c r="AB14733" s="9"/>
      <c r="AC14733" s="9"/>
      <c r="AD14733" s="9"/>
      <c r="AF14733" s="10"/>
      <c r="AG14733" s="10"/>
      <c r="AH14733" s="10"/>
      <c r="AI14733" s="10"/>
    </row>
    <row r="14734" spans="28:35" ht="15" hidden="1" customHeight="1">
      <c r="AB14734" s="9"/>
      <c r="AC14734" s="9"/>
      <c r="AD14734" s="9"/>
      <c r="AF14734" s="10"/>
      <c r="AG14734" s="10"/>
      <c r="AH14734" s="10"/>
      <c r="AI14734" s="10"/>
    </row>
    <row r="14735" spans="28:35" ht="15" hidden="1" customHeight="1">
      <c r="AB14735" s="9"/>
      <c r="AC14735" s="9"/>
      <c r="AD14735" s="9"/>
      <c r="AF14735" s="10"/>
      <c r="AG14735" s="10"/>
      <c r="AH14735" s="10"/>
      <c r="AI14735" s="10"/>
    </row>
    <row r="14736" spans="28:35" ht="15" hidden="1" customHeight="1">
      <c r="AB14736" s="9"/>
      <c r="AC14736" s="9"/>
      <c r="AD14736" s="9"/>
      <c r="AF14736" s="10"/>
      <c r="AG14736" s="10"/>
      <c r="AH14736" s="10"/>
      <c r="AI14736" s="10"/>
    </row>
    <row r="14737" spans="28:35" ht="15" hidden="1" customHeight="1">
      <c r="AB14737" s="9"/>
      <c r="AC14737" s="9"/>
      <c r="AD14737" s="9"/>
      <c r="AF14737" s="10"/>
      <c r="AG14737" s="10"/>
      <c r="AH14737" s="10"/>
      <c r="AI14737" s="10"/>
    </row>
    <row r="14738" spans="28:35" ht="15" hidden="1" customHeight="1">
      <c r="AB14738" s="9"/>
      <c r="AC14738" s="9"/>
      <c r="AD14738" s="9"/>
      <c r="AF14738" s="10"/>
      <c r="AG14738" s="10"/>
      <c r="AH14738" s="10"/>
      <c r="AI14738" s="10"/>
    </row>
    <row r="14739" spans="28:35" ht="15" hidden="1" customHeight="1">
      <c r="AB14739" s="9"/>
      <c r="AC14739" s="9"/>
      <c r="AD14739" s="9"/>
      <c r="AF14739" s="10"/>
      <c r="AG14739" s="10"/>
      <c r="AH14739" s="10"/>
      <c r="AI14739" s="10"/>
    </row>
    <row r="14740" spans="28:35" ht="15" hidden="1" customHeight="1">
      <c r="AB14740" s="9"/>
      <c r="AC14740" s="9"/>
      <c r="AD14740" s="9"/>
      <c r="AF14740" s="10"/>
      <c r="AG14740" s="10"/>
      <c r="AH14740" s="10"/>
      <c r="AI14740" s="10"/>
    </row>
    <row r="14741" spans="28:35" ht="15" hidden="1" customHeight="1">
      <c r="AB14741" s="9"/>
      <c r="AC14741" s="9"/>
      <c r="AD14741" s="9"/>
      <c r="AF14741" s="10"/>
      <c r="AG14741" s="10"/>
      <c r="AH14741" s="10"/>
      <c r="AI14741" s="10"/>
    </row>
    <row r="14742" spans="28:35" ht="15" hidden="1" customHeight="1">
      <c r="AB14742" s="9"/>
      <c r="AC14742" s="9"/>
      <c r="AD14742" s="9"/>
      <c r="AF14742" s="10"/>
      <c r="AG14742" s="10"/>
      <c r="AH14742" s="10"/>
      <c r="AI14742" s="10"/>
    </row>
    <row r="14743" spans="28:35" ht="15" hidden="1" customHeight="1">
      <c r="AB14743" s="9"/>
      <c r="AC14743" s="9"/>
      <c r="AD14743" s="9"/>
      <c r="AF14743" s="10"/>
      <c r="AG14743" s="10"/>
      <c r="AH14743" s="10"/>
      <c r="AI14743" s="10"/>
    </row>
    <row r="14744" spans="28:35" ht="15" hidden="1" customHeight="1">
      <c r="AB14744" s="9"/>
      <c r="AC14744" s="9"/>
      <c r="AD14744" s="9"/>
      <c r="AF14744" s="10"/>
      <c r="AG14744" s="10"/>
      <c r="AH14744" s="10"/>
      <c r="AI14744" s="10"/>
    </row>
    <row r="14745" spans="28:35" ht="15" hidden="1" customHeight="1">
      <c r="AB14745" s="9"/>
      <c r="AC14745" s="9"/>
      <c r="AD14745" s="9"/>
      <c r="AF14745" s="10"/>
      <c r="AG14745" s="10"/>
      <c r="AH14745" s="10"/>
      <c r="AI14745" s="10"/>
    </row>
    <row r="14746" spans="28:35" ht="15" hidden="1" customHeight="1">
      <c r="AB14746" s="9"/>
      <c r="AC14746" s="9"/>
      <c r="AD14746" s="9"/>
      <c r="AF14746" s="10"/>
      <c r="AG14746" s="10"/>
      <c r="AH14746" s="10"/>
      <c r="AI14746" s="10"/>
    </row>
    <row r="14747" spans="28:35" ht="15" hidden="1" customHeight="1">
      <c r="AB14747" s="9"/>
      <c r="AC14747" s="9"/>
      <c r="AD14747" s="9"/>
      <c r="AF14747" s="10"/>
      <c r="AG14747" s="10"/>
      <c r="AH14747" s="10"/>
      <c r="AI14747" s="10"/>
    </row>
    <row r="14748" spans="28:35" ht="15" hidden="1" customHeight="1">
      <c r="AB14748" s="9"/>
      <c r="AC14748" s="9"/>
      <c r="AD14748" s="9"/>
      <c r="AF14748" s="10"/>
      <c r="AG14748" s="10"/>
      <c r="AH14748" s="10"/>
      <c r="AI14748" s="10"/>
    </row>
    <row r="14749" spans="28:35" ht="15" hidden="1" customHeight="1">
      <c r="AB14749" s="9"/>
      <c r="AC14749" s="9"/>
      <c r="AD14749" s="9"/>
      <c r="AF14749" s="10"/>
      <c r="AG14749" s="10"/>
      <c r="AH14749" s="10"/>
      <c r="AI14749" s="10"/>
    </row>
    <row r="14750" spans="28:35" ht="15" hidden="1" customHeight="1">
      <c r="AB14750" s="9"/>
      <c r="AC14750" s="9"/>
      <c r="AD14750" s="9"/>
      <c r="AF14750" s="10"/>
      <c r="AG14750" s="10"/>
      <c r="AH14750" s="10"/>
      <c r="AI14750" s="10"/>
    </row>
    <row r="14751" spans="28:35" ht="15" hidden="1" customHeight="1">
      <c r="AB14751" s="9"/>
      <c r="AC14751" s="9"/>
      <c r="AD14751" s="9"/>
      <c r="AF14751" s="10"/>
      <c r="AG14751" s="10"/>
      <c r="AH14751" s="10"/>
      <c r="AI14751" s="10"/>
    </row>
    <row r="14752" spans="28:35" ht="15" hidden="1" customHeight="1">
      <c r="AB14752" s="9"/>
      <c r="AC14752" s="9"/>
      <c r="AD14752" s="9"/>
      <c r="AF14752" s="10"/>
      <c r="AG14752" s="10"/>
      <c r="AH14752" s="10"/>
      <c r="AI14752" s="10"/>
    </row>
    <row r="14753" spans="28:35" ht="15" hidden="1" customHeight="1">
      <c r="AB14753" s="9"/>
      <c r="AC14753" s="9"/>
      <c r="AD14753" s="9"/>
      <c r="AF14753" s="10"/>
      <c r="AG14753" s="10"/>
      <c r="AH14753" s="10"/>
      <c r="AI14753" s="10"/>
    </row>
    <row r="14754" spans="28:35" ht="15" hidden="1" customHeight="1">
      <c r="AB14754" s="9"/>
      <c r="AC14754" s="9"/>
      <c r="AD14754" s="9"/>
      <c r="AF14754" s="10"/>
      <c r="AG14754" s="10"/>
      <c r="AH14754" s="10"/>
      <c r="AI14754" s="10"/>
    </row>
    <row r="14755" spans="28:35" ht="15" hidden="1" customHeight="1">
      <c r="AB14755" s="9"/>
      <c r="AC14755" s="9"/>
      <c r="AD14755" s="9"/>
      <c r="AF14755" s="10"/>
      <c r="AG14755" s="10"/>
      <c r="AH14755" s="10"/>
      <c r="AI14755" s="10"/>
    </row>
    <row r="14756" spans="28:35" ht="15" hidden="1" customHeight="1">
      <c r="AB14756" s="9"/>
      <c r="AC14756" s="9"/>
      <c r="AD14756" s="9"/>
      <c r="AF14756" s="10"/>
      <c r="AG14756" s="10"/>
      <c r="AH14756" s="10"/>
      <c r="AI14756" s="10"/>
    </row>
    <row r="14757" spans="28:35" ht="15" hidden="1" customHeight="1">
      <c r="AB14757" s="9"/>
      <c r="AC14757" s="9"/>
      <c r="AD14757" s="9"/>
      <c r="AF14757" s="10"/>
      <c r="AG14757" s="10"/>
      <c r="AH14757" s="10"/>
      <c r="AI14757" s="10"/>
    </row>
    <row r="14758" spans="28:35" ht="15" hidden="1" customHeight="1">
      <c r="AB14758" s="9"/>
      <c r="AC14758" s="9"/>
      <c r="AD14758" s="9"/>
      <c r="AF14758" s="10"/>
      <c r="AG14758" s="10"/>
      <c r="AH14758" s="10"/>
      <c r="AI14758" s="10"/>
    </row>
    <row r="14759" spans="28:35" ht="15" hidden="1" customHeight="1">
      <c r="AB14759" s="9"/>
      <c r="AC14759" s="9"/>
      <c r="AD14759" s="9"/>
      <c r="AF14759" s="10"/>
      <c r="AG14759" s="10"/>
      <c r="AH14759" s="10"/>
      <c r="AI14759" s="10"/>
    </row>
    <row r="14760" spans="28:35" ht="15" hidden="1" customHeight="1">
      <c r="AB14760" s="9"/>
      <c r="AC14760" s="9"/>
      <c r="AD14760" s="9"/>
      <c r="AF14760" s="10"/>
      <c r="AG14760" s="10"/>
      <c r="AH14760" s="10"/>
      <c r="AI14760" s="10"/>
    </row>
    <row r="14761" spans="28:35" ht="15" hidden="1" customHeight="1">
      <c r="AB14761" s="9"/>
      <c r="AC14761" s="9"/>
      <c r="AD14761" s="9"/>
      <c r="AF14761" s="10"/>
      <c r="AG14761" s="10"/>
      <c r="AH14761" s="10"/>
      <c r="AI14761" s="10"/>
    </row>
    <row r="14762" spans="28:35" ht="15" hidden="1" customHeight="1">
      <c r="AB14762" s="9"/>
      <c r="AC14762" s="9"/>
      <c r="AD14762" s="9"/>
      <c r="AF14762" s="10"/>
      <c r="AG14762" s="10"/>
      <c r="AH14762" s="10"/>
      <c r="AI14762" s="10"/>
    </row>
    <row r="14763" spans="28:35" ht="15" hidden="1" customHeight="1">
      <c r="AB14763" s="9"/>
      <c r="AC14763" s="9"/>
      <c r="AD14763" s="9"/>
      <c r="AF14763" s="10"/>
      <c r="AG14763" s="10"/>
      <c r="AH14763" s="10"/>
      <c r="AI14763" s="10"/>
    </row>
    <row r="14764" spans="28:35" ht="15" hidden="1" customHeight="1">
      <c r="AB14764" s="9"/>
      <c r="AC14764" s="9"/>
      <c r="AD14764" s="9"/>
      <c r="AF14764" s="10"/>
      <c r="AG14764" s="10"/>
      <c r="AH14764" s="10"/>
      <c r="AI14764" s="10"/>
    </row>
    <row r="14765" spans="28:35" ht="15" hidden="1" customHeight="1">
      <c r="AB14765" s="9"/>
      <c r="AC14765" s="9"/>
      <c r="AD14765" s="9"/>
      <c r="AF14765" s="10"/>
      <c r="AG14765" s="10"/>
      <c r="AH14765" s="10"/>
      <c r="AI14765" s="10"/>
    </row>
    <row r="14766" spans="28:35" ht="15" hidden="1" customHeight="1">
      <c r="AB14766" s="9"/>
      <c r="AC14766" s="9"/>
      <c r="AD14766" s="9"/>
      <c r="AF14766" s="10"/>
      <c r="AG14766" s="10"/>
      <c r="AH14766" s="10"/>
      <c r="AI14766" s="10"/>
    </row>
    <row r="14767" spans="28:35" ht="15" hidden="1" customHeight="1">
      <c r="AB14767" s="9"/>
      <c r="AC14767" s="9"/>
      <c r="AD14767" s="9"/>
      <c r="AF14767" s="10"/>
      <c r="AG14767" s="10"/>
      <c r="AH14767" s="10"/>
      <c r="AI14767" s="10"/>
    </row>
    <row r="14768" spans="28:35" ht="15" hidden="1" customHeight="1">
      <c r="AB14768" s="9"/>
      <c r="AC14768" s="9"/>
      <c r="AD14768" s="9"/>
      <c r="AF14768" s="10"/>
      <c r="AG14768" s="10"/>
      <c r="AH14768" s="10"/>
      <c r="AI14768" s="10"/>
    </row>
    <row r="14769" spans="28:35" ht="15" hidden="1" customHeight="1">
      <c r="AB14769" s="9"/>
      <c r="AC14769" s="9"/>
      <c r="AD14769" s="9"/>
      <c r="AF14769" s="10"/>
      <c r="AG14769" s="10"/>
      <c r="AH14769" s="10"/>
      <c r="AI14769" s="10"/>
    </row>
    <row r="14770" spans="28:35" ht="15" hidden="1" customHeight="1">
      <c r="AB14770" s="9"/>
      <c r="AC14770" s="9"/>
      <c r="AD14770" s="9"/>
      <c r="AF14770" s="10"/>
      <c r="AG14770" s="10"/>
      <c r="AH14770" s="10"/>
      <c r="AI14770" s="10"/>
    </row>
    <row r="14771" spans="28:35" ht="15" hidden="1" customHeight="1">
      <c r="AB14771" s="9"/>
      <c r="AC14771" s="9"/>
      <c r="AD14771" s="9"/>
      <c r="AF14771" s="10"/>
      <c r="AG14771" s="10"/>
      <c r="AH14771" s="10"/>
      <c r="AI14771" s="10"/>
    </row>
    <row r="14772" spans="28:35" ht="15" hidden="1" customHeight="1">
      <c r="AB14772" s="9"/>
      <c r="AC14772" s="9"/>
      <c r="AD14772" s="9"/>
      <c r="AF14772" s="10"/>
      <c r="AG14772" s="10"/>
      <c r="AH14772" s="10"/>
      <c r="AI14772" s="10"/>
    </row>
    <row r="14773" spans="28:35" ht="15" hidden="1" customHeight="1">
      <c r="AB14773" s="9"/>
      <c r="AC14773" s="9"/>
      <c r="AD14773" s="9"/>
      <c r="AF14773" s="10"/>
      <c r="AG14773" s="10"/>
      <c r="AH14773" s="10"/>
      <c r="AI14773" s="10"/>
    </row>
    <row r="14774" spans="28:35" ht="15" hidden="1" customHeight="1">
      <c r="AB14774" s="9"/>
      <c r="AC14774" s="9"/>
      <c r="AD14774" s="9"/>
      <c r="AF14774" s="10"/>
      <c r="AG14774" s="10"/>
      <c r="AH14774" s="10"/>
      <c r="AI14774" s="10"/>
    </row>
    <row r="14775" spans="28:35" ht="15" hidden="1" customHeight="1">
      <c r="AB14775" s="9"/>
      <c r="AC14775" s="9"/>
      <c r="AD14775" s="9"/>
      <c r="AF14775" s="10"/>
      <c r="AG14775" s="10"/>
      <c r="AH14775" s="10"/>
      <c r="AI14775" s="10"/>
    </row>
    <row r="14776" spans="28:35" ht="15" hidden="1" customHeight="1">
      <c r="AB14776" s="9"/>
      <c r="AC14776" s="9"/>
      <c r="AD14776" s="9"/>
      <c r="AF14776" s="10"/>
      <c r="AG14776" s="10"/>
      <c r="AH14776" s="10"/>
      <c r="AI14776" s="10"/>
    </row>
    <row r="14777" spans="28:35" ht="15" hidden="1" customHeight="1">
      <c r="AB14777" s="9"/>
      <c r="AC14777" s="9"/>
      <c r="AD14777" s="9"/>
      <c r="AF14777" s="10"/>
      <c r="AG14777" s="10"/>
      <c r="AH14777" s="10"/>
      <c r="AI14777" s="10"/>
    </row>
    <row r="14778" spans="28:35" ht="15" hidden="1" customHeight="1">
      <c r="AB14778" s="9"/>
      <c r="AC14778" s="9"/>
      <c r="AD14778" s="9"/>
      <c r="AF14778" s="10"/>
      <c r="AG14778" s="10"/>
      <c r="AH14778" s="10"/>
      <c r="AI14778" s="10"/>
    </row>
    <row r="14779" spans="28:35" ht="15" hidden="1" customHeight="1">
      <c r="AB14779" s="9"/>
      <c r="AC14779" s="9"/>
      <c r="AD14779" s="9"/>
      <c r="AF14779" s="10"/>
      <c r="AG14779" s="10"/>
      <c r="AH14779" s="10"/>
      <c r="AI14779" s="10"/>
    </row>
    <row r="14780" spans="28:35" ht="15" hidden="1" customHeight="1">
      <c r="AB14780" s="9"/>
      <c r="AC14780" s="9"/>
      <c r="AD14780" s="9"/>
      <c r="AF14780" s="10"/>
      <c r="AG14780" s="10"/>
      <c r="AH14780" s="10"/>
      <c r="AI14780" s="10"/>
    </row>
    <row r="14781" spans="28:35" ht="15" hidden="1" customHeight="1">
      <c r="AB14781" s="9"/>
      <c r="AC14781" s="9"/>
      <c r="AD14781" s="9"/>
      <c r="AF14781" s="10"/>
      <c r="AG14781" s="10"/>
      <c r="AH14781" s="10"/>
      <c r="AI14781" s="10"/>
    </row>
    <row r="14782" spans="28:35" ht="15" hidden="1" customHeight="1">
      <c r="AB14782" s="9"/>
      <c r="AC14782" s="9"/>
      <c r="AD14782" s="9"/>
      <c r="AF14782" s="10"/>
      <c r="AG14782" s="10"/>
      <c r="AH14782" s="10"/>
      <c r="AI14782" s="10"/>
    </row>
    <row r="14783" spans="28:35" ht="15" hidden="1" customHeight="1">
      <c r="AB14783" s="9"/>
      <c r="AC14783" s="9"/>
      <c r="AD14783" s="9"/>
      <c r="AF14783" s="10"/>
      <c r="AG14783" s="10"/>
      <c r="AH14783" s="10"/>
      <c r="AI14783" s="10"/>
    </row>
    <row r="14784" spans="28:35" ht="15" hidden="1" customHeight="1">
      <c r="AB14784" s="9"/>
      <c r="AC14784" s="9"/>
      <c r="AD14784" s="9"/>
      <c r="AF14784" s="10"/>
      <c r="AG14784" s="10"/>
      <c r="AH14784" s="10"/>
      <c r="AI14784" s="10"/>
    </row>
    <row r="14785" spans="28:35" ht="15" hidden="1" customHeight="1">
      <c r="AB14785" s="9"/>
      <c r="AC14785" s="9"/>
      <c r="AD14785" s="9"/>
      <c r="AF14785" s="10"/>
      <c r="AG14785" s="10"/>
      <c r="AH14785" s="10"/>
      <c r="AI14785" s="10"/>
    </row>
    <row r="14786" spans="28:35" ht="15" hidden="1" customHeight="1">
      <c r="AB14786" s="9"/>
      <c r="AC14786" s="9"/>
      <c r="AD14786" s="9"/>
      <c r="AF14786" s="10"/>
      <c r="AG14786" s="10"/>
      <c r="AH14786" s="10"/>
      <c r="AI14786" s="10"/>
    </row>
    <row r="14787" spans="28:35" ht="15" hidden="1" customHeight="1">
      <c r="AB14787" s="9"/>
      <c r="AC14787" s="9"/>
      <c r="AD14787" s="9"/>
      <c r="AF14787" s="10"/>
      <c r="AG14787" s="10"/>
      <c r="AH14787" s="10"/>
      <c r="AI14787" s="10"/>
    </row>
    <row r="14788" spans="28:35" ht="15" hidden="1" customHeight="1">
      <c r="AB14788" s="9"/>
      <c r="AC14788" s="9"/>
      <c r="AD14788" s="9"/>
      <c r="AF14788" s="10"/>
      <c r="AG14788" s="10"/>
      <c r="AH14788" s="10"/>
      <c r="AI14788" s="10"/>
    </row>
    <row r="14789" spans="28:35" ht="15" hidden="1" customHeight="1">
      <c r="AB14789" s="9"/>
      <c r="AC14789" s="9"/>
      <c r="AD14789" s="9"/>
      <c r="AF14789" s="10"/>
      <c r="AG14789" s="10"/>
      <c r="AH14789" s="10"/>
      <c r="AI14789" s="10"/>
    </row>
    <row r="14790" spans="28:35" ht="15" hidden="1" customHeight="1">
      <c r="AB14790" s="9"/>
      <c r="AC14790" s="9"/>
      <c r="AD14790" s="9"/>
      <c r="AF14790" s="10"/>
      <c r="AG14790" s="10"/>
      <c r="AH14790" s="10"/>
      <c r="AI14790" s="10"/>
    </row>
    <row r="14791" spans="28:35" ht="15" hidden="1" customHeight="1">
      <c r="AB14791" s="9"/>
      <c r="AC14791" s="9"/>
      <c r="AD14791" s="9"/>
      <c r="AF14791" s="10"/>
      <c r="AG14791" s="10"/>
      <c r="AH14791" s="10"/>
      <c r="AI14791" s="10"/>
    </row>
    <row r="14792" spans="28:35" ht="15" hidden="1" customHeight="1">
      <c r="AB14792" s="9"/>
      <c r="AC14792" s="9"/>
      <c r="AD14792" s="9"/>
      <c r="AF14792" s="10"/>
      <c r="AG14792" s="10"/>
      <c r="AH14792" s="10"/>
      <c r="AI14792" s="10"/>
    </row>
    <row r="14793" spans="28:35" ht="15" hidden="1" customHeight="1">
      <c r="AB14793" s="9"/>
      <c r="AC14793" s="9"/>
      <c r="AD14793" s="9"/>
      <c r="AF14793" s="10"/>
      <c r="AG14793" s="10"/>
      <c r="AH14793" s="10"/>
      <c r="AI14793" s="10"/>
    </row>
    <row r="14794" spans="28:35" ht="15" hidden="1" customHeight="1">
      <c r="AB14794" s="9"/>
      <c r="AC14794" s="9"/>
      <c r="AD14794" s="9"/>
      <c r="AF14794" s="10"/>
      <c r="AG14794" s="10"/>
      <c r="AH14794" s="10"/>
      <c r="AI14794" s="10"/>
    </row>
    <row r="14795" spans="28:35" ht="15" hidden="1" customHeight="1">
      <c r="AB14795" s="9"/>
      <c r="AC14795" s="9"/>
      <c r="AD14795" s="9"/>
      <c r="AF14795" s="10"/>
      <c r="AG14795" s="10"/>
      <c r="AH14795" s="10"/>
      <c r="AI14795" s="10"/>
    </row>
    <row r="14796" spans="28:35" ht="15" hidden="1" customHeight="1">
      <c r="AB14796" s="9"/>
      <c r="AC14796" s="9"/>
      <c r="AD14796" s="9"/>
      <c r="AF14796" s="10"/>
      <c r="AG14796" s="10"/>
      <c r="AH14796" s="10"/>
      <c r="AI14796" s="10"/>
    </row>
    <row r="14797" spans="28:35" ht="15" hidden="1" customHeight="1">
      <c r="AB14797" s="9"/>
      <c r="AC14797" s="9"/>
      <c r="AD14797" s="9"/>
      <c r="AF14797" s="10"/>
      <c r="AG14797" s="10"/>
      <c r="AH14797" s="10"/>
      <c r="AI14797" s="10"/>
    </row>
    <row r="14798" spans="28:35" ht="15" hidden="1" customHeight="1">
      <c r="AB14798" s="9"/>
      <c r="AC14798" s="9"/>
      <c r="AD14798" s="9"/>
      <c r="AF14798" s="10"/>
      <c r="AG14798" s="10"/>
      <c r="AH14798" s="10"/>
      <c r="AI14798" s="10"/>
    </row>
    <row r="14799" spans="28:35" ht="15" hidden="1" customHeight="1">
      <c r="AB14799" s="9"/>
      <c r="AC14799" s="9"/>
      <c r="AD14799" s="9"/>
      <c r="AF14799" s="10"/>
      <c r="AG14799" s="10"/>
      <c r="AH14799" s="10"/>
      <c r="AI14799" s="10"/>
    </row>
    <row r="14800" spans="28:35" ht="15" hidden="1" customHeight="1">
      <c r="AB14800" s="9"/>
      <c r="AC14800" s="9"/>
      <c r="AD14800" s="9"/>
      <c r="AF14800" s="10"/>
      <c r="AG14800" s="10"/>
      <c r="AH14800" s="10"/>
      <c r="AI14800" s="10"/>
    </row>
    <row r="14801" spans="28:35" ht="15" hidden="1" customHeight="1">
      <c r="AB14801" s="9"/>
      <c r="AC14801" s="9"/>
      <c r="AD14801" s="9"/>
      <c r="AF14801" s="10"/>
      <c r="AG14801" s="10"/>
      <c r="AH14801" s="10"/>
      <c r="AI14801" s="10"/>
    </row>
    <row r="14802" spans="28:35" ht="15" hidden="1" customHeight="1">
      <c r="AB14802" s="9"/>
      <c r="AC14802" s="9"/>
      <c r="AD14802" s="9"/>
      <c r="AF14802" s="10"/>
      <c r="AG14802" s="10"/>
      <c r="AH14802" s="10"/>
      <c r="AI14802" s="10"/>
    </row>
    <row r="14803" spans="28:35" ht="15" hidden="1" customHeight="1">
      <c r="AB14803" s="9"/>
      <c r="AC14803" s="9"/>
      <c r="AD14803" s="9"/>
      <c r="AF14803" s="10"/>
      <c r="AG14803" s="10"/>
      <c r="AH14803" s="10"/>
      <c r="AI14803" s="10"/>
    </row>
    <row r="14804" spans="28:35" ht="15" hidden="1" customHeight="1">
      <c r="AB14804" s="9"/>
      <c r="AC14804" s="9"/>
      <c r="AD14804" s="9"/>
      <c r="AF14804" s="10"/>
      <c r="AG14804" s="10"/>
      <c r="AH14804" s="10"/>
      <c r="AI14804" s="10"/>
    </row>
    <row r="14805" spans="28:35" ht="15" hidden="1" customHeight="1">
      <c r="AB14805" s="9"/>
      <c r="AC14805" s="9"/>
      <c r="AD14805" s="9"/>
      <c r="AF14805" s="10"/>
      <c r="AG14805" s="10"/>
      <c r="AH14805" s="10"/>
      <c r="AI14805" s="10"/>
    </row>
    <row r="14806" spans="28:35" ht="15" hidden="1" customHeight="1">
      <c r="AB14806" s="9"/>
      <c r="AC14806" s="9"/>
      <c r="AD14806" s="9"/>
      <c r="AF14806" s="10"/>
      <c r="AG14806" s="10"/>
      <c r="AH14806" s="10"/>
      <c r="AI14806" s="10"/>
    </row>
    <row r="14807" spans="28:35" ht="15" hidden="1" customHeight="1">
      <c r="AB14807" s="9"/>
      <c r="AC14807" s="9"/>
      <c r="AD14807" s="9"/>
      <c r="AF14807" s="10"/>
      <c r="AG14807" s="10"/>
      <c r="AH14807" s="10"/>
      <c r="AI14807" s="10"/>
    </row>
    <row r="14808" spans="28:35" ht="15" hidden="1" customHeight="1">
      <c r="AB14808" s="9"/>
      <c r="AC14808" s="9"/>
      <c r="AD14808" s="9"/>
      <c r="AF14808" s="10"/>
      <c r="AG14808" s="10"/>
      <c r="AH14808" s="10"/>
      <c r="AI14808" s="10"/>
    </row>
    <row r="14809" spans="28:35" ht="15" hidden="1" customHeight="1">
      <c r="AB14809" s="9"/>
      <c r="AC14809" s="9"/>
      <c r="AD14809" s="9"/>
      <c r="AF14809" s="10"/>
      <c r="AG14809" s="10"/>
      <c r="AH14809" s="10"/>
      <c r="AI14809" s="10"/>
    </row>
    <row r="14810" spans="28:35" ht="15" hidden="1" customHeight="1">
      <c r="AB14810" s="9"/>
      <c r="AC14810" s="9"/>
      <c r="AD14810" s="9"/>
      <c r="AF14810" s="10"/>
      <c r="AG14810" s="10"/>
      <c r="AH14810" s="10"/>
      <c r="AI14810" s="10"/>
    </row>
    <row r="14811" spans="28:35" ht="15" hidden="1" customHeight="1">
      <c r="AB14811" s="9"/>
      <c r="AC14811" s="9"/>
      <c r="AD14811" s="9"/>
      <c r="AF14811" s="10"/>
      <c r="AG14811" s="10"/>
      <c r="AH14811" s="10"/>
      <c r="AI14811" s="10"/>
    </row>
    <row r="14812" spans="28:35" ht="15" hidden="1" customHeight="1">
      <c r="AB14812" s="9"/>
      <c r="AC14812" s="9"/>
      <c r="AD14812" s="9"/>
      <c r="AF14812" s="10"/>
      <c r="AG14812" s="10"/>
      <c r="AH14812" s="10"/>
      <c r="AI14812" s="10"/>
    </row>
    <row r="14813" spans="28:35" ht="15" hidden="1" customHeight="1">
      <c r="AB14813" s="9"/>
      <c r="AC14813" s="9"/>
      <c r="AD14813" s="9"/>
      <c r="AF14813" s="10"/>
      <c r="AG14813" s="10"/>
      <c r="AH14813" s="10"/>
      <c r="AI14813" s="10"/>
    </row>
    <row r="14814" spans="28:35" ht="15" hidden="1" customHeight="1">
      <c r="AB14814" s="9"/>
      <c r="AC14814" s="9"/>
      <c r="AD14814" s="9"/>
      <c r="AF14814" s="10"/>
      <c r="AG14814" s="10"/>
      <c r="AH14814" s="10"/>
      <c r="AI14814" s="10"/>
    </row>
    <row r="14815" spans="28:35" ht="15" hidden="1" customHeight="1">
      <c r="AB14815" s="9"/>
      <c r="AC14815" s="9"/>
      <c r="AD14815" s="9"/>
      <c r="AF14815" s="10"/>
      <c r="AG14815" s="10"/>
      <c r="AH14815" s="10"/>
      <c r="AI14815" s="10"/>
    </row>
    <row r="14816" spans="28:35" ht="15" hidden="1" customHeight="1">
      <c r="AB14816" s="9"/>
      <c r="AC14816" s="9"/>
      <c r="AD14816" s="9"/>
      <c r="AF14816" s="10"/>
      <c r="AG14816" s="10"/>
      <c r="AH14816" s="10"/>
      <c r="AI14816" s="10"/>
    </row>
    <row r="14817" spans="28:35" ht="15" hidden="1" customHeight="1">
      <c r="AB14817" s="9"/>
      <c r="AC14817" s="9"/>
      <c r="AD14817" s="9"/>
      <c r="AF14817" s="10"/>
      <c r="AG14817" s="10"/>
      <c r="AH14817" s="10"/>
      <c r="AI14817" s="10"/>
    </row>
    <row r="14818" spans="28:35" ht="15" hidden="1" customHeight="1">
      <c r="AB14818" s="9"/>
      <c r="AC14818" s="9"/>
      <c r="AD14818" s="9"/>
      <c r="AF14818" s="10"/>
      <c r="AG14818" s="10"/>
      <c r="AH14818" s="10"/>
      <c r="AI14818" s="10"/>
    </row>
    <row r="14819" spans="28:35" ht="15" hidden="1" customHeight="1">
      <c r="AB14819" s="9"/>
      <c r="AC14819" s="9"/>
      <c r="AD14819" s="9"/>
      <c r="AF14819" s="10"/>
      <c r="AG14819" s="10"/>
      <c r="AH14819" s="10"/>
      <c r="AI14819" s="10"/>
    </row>
    <row r="14820" spans="28:35" ht="15" hidden="1" customHeight="1">
      <c r="AB14820" s="9"/>
      <c r="AC14820" s="9"/>
      <c r="AD14820" s="9"/>
      <c r="AF14820" s="10"/>
      <c r="AG14820" s="10"/>
      <c r="AH14820" s="10"/>
      <c r="AI14820" s="10"/>
    </row>
    <row r="14821" spans="28:35" ht="15" hidden="1" customHeight="1">
      <c r="AB14821" s="9"/>
      <c r="AC14821" s="9"/>
      <c r="AD14821" s="9"/>
      <c r="AF14821" s="10"/>
      <c r="AG14821" s="10"/>
      <c r="AH14821" s="10"/>
      <c r="AI14821" s="10"/>
    </row>
    <row r="14822" spans="28:35" ht="15" hidden="1" customHeight="1">
      <c r="AB14822" s="9"/>
      <c r="AC14822" s="9"/>
      <c r="AD14822" s="9"/>
      <c r="AF14822" s="10"/>
      <c r="AG14822" s="10"/>
      <c r="AH14822" s="10"/>
      <c r="AI14822" s="10"/>
    </row>
    <row r="14823" spans="28:35" ht="15" hidden="1" customHeight="1">
      <c r="AB14823" s="9"/>
      <c r="AC14823" s="9"/>
      <c r="AD14823" s="9"/>
      <c r="AF14823" s="10"/>
      <c r="AG14823" s="10"/>
      <c r="AH14823" s="10"/>
      <c r="AI14823" s="10"/>
    </row>
    <row r="14824" spans="28:35" ht="15" hidden="1" customHeight="1">
      <c r="AB14824" s="9"/>
      <c r="AC14824" s="9"/>
      <c r="AD14824" s="9"/>
      <c r="AF14824" s="10"/>
      <c r="AG14824" s="10"/>
      <c r="AH14824" s="10"/>
      <c r="AI14824" s="10"/>
    </row>
    <row r="14825" spans="28:35" ht="15" hidden="1" customHeight="1">
      <c r="AB14825" s="9"/>
      <c r="AC14825" s="9"/>
      <c r="AD14825" s="9"/>
      <c r="AF14825" s="10"/>
      <c r="AG14825" s="10"/>
      <c r="AH14825" s="10"/>
      <c r="AI14825" s="10"/>
    </row>
    <row r="14826" spans="28:35" ht="15" hidden="1" customHeight="1">
      <c r="AB14826" s="9"/>
      <c r="AC14826" s="9"/>
      <c r="AD14826" s="9"/>
      <c r="AF14826" s="10"/>
      <c r="AG14826" s="10"/>
      <c r="AH14826" s="10"/>
      <c r="AI14826" s="10"/>
    </row>
    <row r="14827" spans="28:35" ht="15" hidden="1" customHeight="1">
      <c r="AB14827" s="9"/>
      <c r="AC14827" s="9"/>
      <c r="AD14827" s="9"/>
      <c r="AF14827" s="10"/>
      <c r="AG14827" s="10"/>
      <c r="AH14827" s="10"/>
      <c r="AI14827" s="10"/>
    </row>
    <row r="14828" spans="28:35" ht="15" hidden="1" customHeight="1">
      <c r="AB14828" s="9"/>
      <c r="AC14828" s="9"/>
      <c r="AD14828" s="9"/>
      <c r="AF14828" s="10"/>
      <c r="AG14828" s="10"/>
      <c r="AH14828" s="10"/>
      <c r="AI14828" s="10"/>
    </row>
    <row r="14829" spans="28:35" ht="15" hidden="1" customHeight="1">
      <c r="AB14829" s="9"/>
      <c r="AC14829" s="9"/>
      <c r="AD14829" s="9"/>
      <c r="AF14829" s="10"/>
      <c r="AG14829" s="10"/>
      <c r="AH14829" s="10"/>
      <c r="AI14829" s="10"/>
    </row>
    <row r="14830" spans="28:35" ht="15" hidden="1" customHeight="1">
      <c r="AB14830" s="9"/>
      <c r="AC14830" s="9"/>
      <c r="AD14830" s="9"/>
      <c r="AF14830" s="10"/>
      <c r="AG14830" s="10"/>
      <c r="AH14830" s="10"/>
      <c r="AI14830" s="10"/>
    </row>
    <row r="14831" spans="28:35" ht="15" hidden="1" customHeight="1">
      <c r="AB14831" s="9"/>
      <c r="AC14831" s="9"/>
      <c r="AD14831" s="9"/>
      <c r="AF14831" s="10"/>
      <c r="AG14831" s="10"/>
      <c r="AH14831" s="10"/>
      <c r="AI14831" s="10"/>
    </row>
    <row r="14832" spans="28:35" ht="15" hidden="1" customHeight="1">
      <c r="AB14832" s="9"/>
      <c r="AC14832" s="9"/>
      <c r="AD14832" s="9"/>
      <c r="AF14832" s="10"/>
      <c r="AG14832" s="10"/>
      <c r="AH14832" s="10"/>
      <c r="AI14832" s="10"/>
    </row>
    <row r="14833" spans="28:35" ht="15" hidden="1" customHeight="1">
      <c r="AB14833" s="9"/>
      <c r="AC14833" s="9"/>
      <c r="AD14833" s="9"/>
      <c r="AF14833" s="10"/>
      <c r="AG14833" s="10"/>
      <c r="AH14833" s="10"/>
      <c r="AI14833" s="10"/>
    </row>
    <row r="14834" spans="28:35" ht="15" hidden="1" customHeight="1">
      <c r="AB14834" s="9"/>
      <c r="AC14834" s="9"/>
      <c r="AD14834" s="9"/>
      <c r="AF14834" s="10"/>
      <c r="AG14834" s="10"/>
      <c r="AH14834" s="10"/>
      <c r="AI14834" s="10"/>
    </row>
    <row r="14835" spans="28:35" ht="15" hidden="1" customHeight="1">
      <c r="AB14835" s="9"/>
      <c r="AC14835" s="9"/>
      <c r="AD14835" s="9"/>
      <c r="AF14835" s="10"/>
      <c r="AG14835" s="10"/>
      <c r="AH14835" s="10"/>
      <c r="AI14835" s="10"/>
    </row>
    <row r="14836" spans="28:35" ht="15" hidden="1" customHeight="1">
      <c r="AB14836" s="9"/>
      <c r="AC14836" s="9"/>
      <c r="AD14836" s="9"/>
      <c r="AF14836" s="10"/>
      <c r="AG14836" s="10"/>
      <c r="AH14836" s="10"/>
      <c r="AI14836" s="10"/>
    </row>
    <row r="14837" spans="28:35" ht="15" hidden="1" customHeight="1">
      <c r="AB14837" s="9"/>
      <c r="AC14837" s="9"/>
      <c r="AD14837" s="9"/>
      <c r="AF14837" s="10"/>
      <c r="AG14837" s="10"/>
      <c r="AH14837" s="10"/>
      <c r="AI14837" s="10"/>
    </row>
    <row r="14838" spans="28:35" ht="15" hidden="1" customHeight="1">
      <c r="AB14838" s="9"/>
      <c r="AC14838" s="9"/>
      <c r="AD14838" s="9"/>
      <c r="AF14838" s="10"/>
      <c r="AG14838" s="10"/>
      <c r="AH14838" s="10"/>
      <c r="AI14838" s="10"/>
    </row>
    <row r="14839" spans="28:35" ht="15" hidden="1" customHeight="1">
      <c r="AB14839" s="9"/>
      <c r="AC14839" s="9"/>
      <c r="AD14839" s="9"/>
      <c r="AF14839" s="10"/>
      <c r="AG14839" s="10"/>
      <c r="AH14839" s="10"/>
      <c r="AI14839" s="10"/>
    </row>
    <row r="14840" spans="28:35" ht="15" hidden="1" customHeight="1">
      <c r="AB14840" s="9"/>
      <c r="AC14840" s="9"/>
      <c r="AD14840" s="9"/>
      <c r="AF14840" s="10"/>
      <c r="AG14840" s="10"/>
      <c r="AH14840" s="10"/>
      <c r="AI14840" s="10"/>
    </row>
    <row r="14841" spans="28:35" ht="15" hidden="1" customHeight="1">
      <c r="AB14841" s="9"/>
      <c r="AC14841" s="9"/>
      <c r="AD14841" s="9"/>
      <c r="AF14841" s="10"/>
      <c r="AG14841" s="10"/>
      <c r="AH14841" s="10"/>
      <c r="AI14841" s="10"/>
    </row>
    <row r="14842" spans="28:35" ht="15" hidden="1" customHeight="1">
      <c r="AB14842" s="9"/>
      <c r="AC14842" s="9"/>
      <c r="AD14842" s="9"/>
      <c r="AF14842" s="10"/>
      <c r="AG14842" s="10"/>
      <c r="AH14842" s="10"/>
      <c r="AI14842" s="10"/>
    </row>
    <row r="14843" spans="28:35" ht="15" hidden="1" customHeight="1">
      <c r="AB14843" s="9"/>
      <c r="AC14843" s="9"/>
      <c r="AD14843" s="9"/>
      <c r="AF14843" s="10"/>
      <c r="AG14843" s="10"/>
      <c r="AH14843" s="10"/>
      <c r="AI14843" s="10"/>
    </row>
    <row r="14844" spans="28:35" ht="15" hidden="1" customHeight="1">
      <c r="AB14844" s="9"/>
      <c r="AC14844" s="9"/>
      <c r="AD14844" s="9"/>
      <c r="AF14844" s="10"/>
      <c r="AG14844" s="10"/>
      <c r="AH14844" s="10"/>
      <c r="AI14844" s="10"/>
    </row>
    <row r="14845" spans="28:35" ht="15" hidden="1" customHeight="1">
      <c r="AB14845" s="9"/>
      <c r="AC14845" s="9"/>
      <c r="AD14845" s="9"/>
      <c r="AF14845" s="10"/>
      <c r="AG14845" s="10"/>
      <c r="AH14845" s="10"/>
      <c r="AI14845" s="10"/>
    </row>
    <row r="14846" spans="28:35" ht="15" hidden="1" customHeight="1">
      <c r="AB14846" s="9"/>
      <c r="AC14846" s="9"/>
      <c r="AD14846" s="9"/>
      <c r="AF14846" s="10"/>
      <c r="AG14846" s="10"/>
      <c r="AH14846" s="10"/>
      <c r="AI14846" s="10"/>
    </row>
    <row r="14847" spans="28:35" ht="15" hidden="1" customHeight="1">
      <c r="AB14847" s="9"/>
      <c r="AC14847" s="9"/>
      <c r="AD14847" s="9"/>
      <c r="AF14847" s="10"/>
      <c r="AG14847" s="10"/>
      <c r="AH14847" s="10"/>
      <c r="AI14847" s="10"/>
    </row>
    <row r="14848" spans="28:35" ht="15" hidden="1" customHeight="1">
      <c r="AB14848" s="9"/>
      <c r="AC14848" s="9"/>
      <c r="AD14848" s="9"/>
      <c r="AF14848" s="10"/>
      <c r="AG14848" s="10"/>
      <c r="AH14848" s="10"/>
      <c r="AI14848" s="10"/>
    </row>
    <row r="14849" spans="28:35" ht="15" hidden="1" customHeight="1">
      <c r="AB14849" s="9"/>
      <c r="AC14849" s="9"/>
      <c r="AD14849" s="9"/>
      <c r="AF14849" s="10"/>
      <c r="AG14849" s="10"/>
      <c r="AH14849" s="10"/>
      <c r="AI14849" s="10"/>
    </row>
    <row r="14850" spans="28:35" ht="15" hidden="1" customHeight="1">
      <c r="AB14850" s="9"/>
      <c r="AC14850" s="9"/>
      <c r="AD14850" s="9"/>
      <c r="AF14850" s="10"/>
      <c r="AG14850" s="10"/>
      <c r="AH14850" s="10"/>
      <c r="AI14850" s="10"/>
    </row>
    <row r="14851" spans="28:35" ht="15" hidden="1" customHeight="1">
      <c r="AB14851" s="9"/>
      <c r="AC14851" s="9"/>
      <c r="AD14851" s="9"/>
      <c r="AF14851" s="10"/>
      <c r="AG14851" s="10"/>
      <c r="AH14851" s="10"/>
      <c r="AI14851" s="10"/>
    </row>
    <row r="14852" spans="28:35" ht="15" hidden="1" customHeight="1">
      <c r="AB14852" s="9"/>
      <c r="AC14852" s="9"/>
      <c r="AD14852" s="9"/>
      <c r="AF14852" s="10"/>
      <c r="AG14852" s="10"/>
      <c r="AH14852" s="10"/>
      <c r="AI14852" s="10"/>
    </row>
    <row r="14853" spans="28:35" ht="15" hidden="1" customHeight="1">
      <c r="AB14853" s="9"/>
      <c r="AC14853" s="9"/>
      <c r="AD14853" s="9"/>
      <c r="AF14853" s="10"/>
      <c r="AG14853" s="10"/>
      <c r="AH14853" s="10"/>
      <c r="AI14853" s="10"/>
    </row>
    <row r="14854" spans="28:35" ht="15" hidden="1" customHeight="1">
      <c r="AB14854" s="9"/>
      <c r="AC14854" s="9"/>
      <c r="AD14854" s="9"/>
      <c r="AF14854" s="10"/>
      <c r="AG14854" s="10"/>
      <c r="AH14854" s="10"/>
      <c r="AI14854" s="10"/>
    </row>
    <row r="14855" spans="28:35" ht="15" hidden="1" customHeight="1">
      <c r="AB14855" s="9"/>
      <c r="AC14855" s="9"/>
      <c r="AD14855" s="9"/>
      <c r="AF14855" s="10"/>
      <c r="AG14855" s="10"/>
      <c r="AH14855" s="10"/>
      <c r="AI14855" s="10"/>
    </row>
    <row r="14856" spans="28:35" ht="15" hidden="1" customHeight="1">
      <c r="AB14856" s="9"/>
      <c r="AC14856" s="9"/>
      <c r="AD14856" s="9"/>
      <c r="AF14856" s="10"/>
      <c r="AG14856" s="10"/>
      <c r="AH14856" s="10"/>
      <c r="AI14856" s="10"/>
    </row>
    <row r="14857" spans="28:35" ht="15" hidden="1" customHeight="1">
      <c r="AB14857" s="9"/>
      <c r="AC14857" s="9"/>
      <c r="AD14857" s="9"/>
      <c r="AF14857" s="10"/>
      <c r="AG14857" s="10"/>
      <c r="AH14857" s="10"/>
      <c r="AI14857" s="10"/>
    </row>
    <row r="14858" spans="28:35" ht="15" hidden="1" customHeight="1">
      <c r="AB14858" s="9"/>
      <c r="AC14858" s="9"/>
      <c r="AD14858" s="9"/>
      <c r="AF14858" s="10"/>
      <c r="AG14858" s="10"/>
      <c r="AH14858" s="10"/>
      <c r="AI14858" s="10"/>
    </row>
    <row r="14859" spans="28:35" ht="15" hidden="1" customHeight="1">
      <c r="AB14859" s="9"/>
      <c r="AC14859" s="9"/>
      <c r="AD14859" s="9"/>
      <c r="AF14859" s="10"/>
      <c r="AG14859" s="10"/>
      <c r="AH14859" s="10"/>
      <c r="AI14859" s="10"/>
    </row>
    <row r="14860" spans="28:35" ht="15" hidden="1" customHeight="1">
      <c r="AB14860" s="9"/>
      <c r="AC14860" s="9"/>
      <c r="AD14860" s="9"/>
      <c r="AF14860" s="10"/>
      <c r="AG14860" s="10"/>
      <c r="AH14860" s="10"/>
      <c r="AI14860" s="10"/>
    </row>
    <row r="14861" spans="28:35" ht="15" hidden="1" customHeight="1">
      <c r="AB14861" s="9"/>
      <c r="AC14861" s="9"/>
      <c r="AD14861" s="9"/>
      <c r="AF14861" s="10"/>
      <c r="AG14861" s="10"/>
      <c r="AH14861" s="10"/>
      <c r="AI14861" s="10"/>
    </row>
    <row r="14862" spans="28:35" ht="15" hidden="1" customHeight="1">
      <c r="AB14862" s="9"/>
      <c r="AC14862" s="9"/>
      <c r="AD14862" s="9"/>
      <c r="AF14862" s="10"/>
      <c r="AG14862" s="10"/>
      <c r="AH14862" s="10"/>
      <c r="AI14862" s="10"/>
    </row>
    <row r="14863" spans="28:35" ht="15" hidden="1" customHeight="1">
      <c r="AB14863" s="9"/>
      <c r="AC14863" s="9"/>
      <c r="AD14863" s="9"/>
      <c r="AF14863" s="10"/>
      <c r="AG14863" s="10"/>
      <c r="AH14863" s="10"/>
      <c r="AI14863" s="10"/>
    </row>
    <row r="14864" spans="28:35" ht="15" hidden="1" customHeight="1">
      <c r="AB14864" s="9"/>
      <c r="AC14864" s="9"/>
      <c r="AD14864" s="9"/>
      <c r="AF14864" s="10"/>
      <c r="AG14864" s="10"/>
      <c r="AH14864" s="10"/>
      <c r="AI14864" s="10"/>
    </row>
    <row r="14865" spans="28:35" ht="15" hidden="1" customHeight="1">
      <c r="AB14865" s="9"/>
      <c r="AC14865" s="9"/>
      <c r="AD14865" s="9"/>
      <c r="AF14865" s="10"/>
      <c r="AG14865" s="10"/>
      <c r="AH14865" s="10"/>
      <c r="AI14865" s="10"/>
    </row>
    <row r="14866" spans="28:35" ht="15" hidden="1" customHeight="1">
      <c r="AB14866" s="9"/>
      <c r="AC14866" s="9"/>
      <c r="AD14866" s="9"/>
      <c r="AF14866" s="10"/>
      <c r="AG14866" s="10"/>
      <c r="AH14866" s="10"/>
      <c r="AI14866" s="10"/>
    </row>
    <row r="14867" spans="28:35" ht="15" hidden="1" customHeight="1">
      <c r="AB14867" s="9"/>
      <c r="AC14867" s="9"/>
      <c r="AD14867" s="9"/>
      <c r="AF14867" s="10"/>
      <c r="AG14867" s="10"/>
      <c r="AH14867" s="10"/>
      <c r="AI14867" s="10"/>
    </row>
    <row r="14868" spans="28:35" ht="15" hidden="1" customHeight="1">
      <c r="AB14868" s="9"/>
      <c r="AC14868" s="9"/>
      <c r="AD14868" s="9"/>
      <c r="AF14868" s="10"/>
      <c r="AG14868" s="10"/>
      <c r="AH14868" s="10"/>
      <c r="AI14868" s="10"/>
    </row>
    <row r="14869" spans="28:35" ht="15" hidden="1" customHeight="1">
      <c r="AB14869" s="9"/>
      <c r="AC14869" s="9"/>
      <c r="AD14869" s="9"/>
      <c r="AF14869" s="10"/>
      <c r="AG14869" s="10"/>
      <c r="AH14869" s="10"/>
      <c r="AI14869" s="10"/>
    </row>
    <row r="14870" spans="28:35" ht="15" hidden="1" customHeight="1">
      <c r="AB14870" s="9"/>
      <c r="AC14870" s="9"/>
      <c r="AD14870" s="9"/>
      <c r="AF14870" s="10"/>
      <c r="AG14870" s="10"/>
      <c r="AH14870" s="10"/>
      <c r="AI14870" s="10"/>
    </row>
    <row r="14871" spans="28:35" ht="15" hidden="1" customHeight="1">
      <c r="AB14871" s="9"/>
      <c r="AC14871" s="9"/>
      <c r="AD14871" s="9"/>
      <c r="AF14871" s="10"/>
      <c r="AG14871" s="10"/>
      <c r="AH14871" s="10"/>
      <c r="AI14871" s="10"/>
    </row>
    <row r="14872" spans="28:35" ht="15" hidden="1" customHeight="1">
      <c r="AB14872" s="9"/>
      <c r="AC14872" s="9"/>
      <c r="AD14872" s="9"/>
      <c r="AF14872" s="10"/>
      <c r="AG14872" s="10"/>
      <c r="AH14872" s="10"/>
      <c r="AI14872" s="10"/>
    </row>
    <row r="14873" spans="28:35" ht="15" hidden="1" customHeight="1">
      <c r="AB14873" s="9"/>
      <c r="AC14873" s="9"/>
      <c r="AD14873" s="9"/>
      <c r="AF14873" s="10"/>
      <c r="AG14873" s="10"/>
      <c r="AH14873" s="10"/>
      <c r="AI14873" s="10"/>
    </row>
    <row r="14874" spans="28:35" ht="15" hidden="1" customHeight="1">
      <c r="AB14874" s="9"/>
      <c r="AC14874" s="9"/>
      <c r="AD14874" s="9"/>
      <c r="AF14874" s="10"/>
      <c r="AG14874" s="10"/>
      <c r="AH14874" s="10"/>
      <c r="AI14874" s="10"/>
    </row>
    <row r="14875" spans="28:35" ht="15" hidden="1" customHeight="1">
      <c r="AB14875" s="9"/>
      <c r="AC14875" s="9"/>
      <c r="AD14875" s="9"/>
      <c r="AF14875" s="10"/>
      <c r="AG14875" s="10"/>
      <c r="AH14875" s="10"/>
      <c r="AI14875" s="10"/>
    </row>
    <row r="14876" spans="28:35" ht="15" hidden="1" customHeight="1">
      <c r="AB14876" s="9"/>
      <c r="AC14876" s="9"/>
      <c r="AD14876" s="9"/>
      <c r="AF14876" s="10"/>
      <c r="AG14876" s="10"/>
      <c r="AH14876" s="10"/>
      <c r="AI14876" s="10"/>
    </row>
    <row r="14877" spans="28:35" ht="15" hidden="1" customHeight="1">
      <c r="AB14877" s="9"/>
      <c r="AC14877" s="9"/>
      <c r="AD14877" s="9"/>
      <c r="AF14877" s="10"/>
      <c r="AG14877" s="10"/>
      <c r="AH14877" s="10"/>
      <c r="AI14877" s="10"/>
    </row>
    <row r="14878" spans="28:35" ht="15" hidden="1" customHeight="1">
      <c r="AB14878" s="9"/>
      <c r="AC14878" s="9"/>
      <c r="AD14878" s="9"/>
      <c r="AF14878" s="10"/>
      <c r="AG14878" s="10"/>
      <c r="AH14878" s="10"/>
      <c r="AI14878" s="10"/>
    </row>
    <row r="14879" spans="28:35" ht="15" hidden="1" customHeight="1">
      <c r="AB14879" s="9"/>
      <c r="AC14879" s="9"/>
      <c r="AD14879" s="9"/>
      <c r="AF14879" s="10"/>
      <c r="AG14879" s="10"/>
      <c r="AH14879" s="10"/>
      <c r="AI14879" s="10"/>
    </row>
    <row r="14880" spans="28:35" ht="15" hidden="1" customHeight="1">
      <c r="AB14880" s="9"/>
      <c r="AC14880" s="9"/>
      <c r="AD14880" s="9"/>
      <c r="AF14880" s="10"/>
      <c r="AG14880" s="10"/>
      <c r="AH14880" s="10"/>
      <c r="AI14880" s="10"/>
    </row>
    <row r="14881" spans="28:35" ht="15" hidden="1" customHeight="1">
      <c r="AB14881" s="9"/>
      <c r="AC14881" s="9"/>
      <c r="AD14881" s="9"/>
      <c r="AF14881" s="10"/>
      <c r="AG14881" s="10"/>
      <c r="AH14881" s="10"/>
      <c r="AI14881" s="10"/>
    </row>
    <row r="14882" spans="28:35" ht="15" hidden="1" customHeight="1">
      <c r="AB14882" s="9"/>
      <c r="AC14882" s="9"/>
      <c r="AD14882" s="9"/>
      <c r="AF14882" s="10"/>
      <c r="AG14882" s="10"/>
      <c r="AH14882" s="10"/>
      <c r="AI14882" s="10"/>
    </row>
    <row r="14883" spans="28:35" ht="15" hidden="1" customHeight="1">
      <c r="AB14883" s="9"/>
      <c r="AC14883" s="9"/>
      <c r="AD14883" s="9"/>
      <c r="AF14883" s="10"/>
      <c r="AG14883" s="10"/>
      <c r="AH14883" s="10"/>
      <c r="AI14883" s="10"/>
    </row>
    <row r="14884" spans="28:35" ht="15" hidden="1" customHeight="1">
      <c r="AB14884" s="9"/>
      <c r="AC14884" s="9"/>
      <c r="AD14884" s="9"/>
      <c r="AF14884" s="10"/>
      <c r="AG14884" s="10"/>
      <c r="AH14884" s="10"/>
      <c r="AI14884" s="10"/>
    </row>
    <row r="14885" spans="28:35" ht="15" hidden="1" customHeight="1">
      <c r="AB14885" s="9"/>
      <c r="AC14885" s="9"/>
      <c r="AD14885" s="9"/>
      <c r="AF14885" s="10"/>
      <c r="AG14885" s="10"/>
      <c r="AH14885" s="10"/>
      <c r="AI14885" s="10"/>
    </row>
    <row r="14886" spans="28:35" ht="15" hidden="1" customHeight="1">
      <c r="AB14886" s="9"/>
      <c r="AC14886" s="9"/>
      <c r="AD14886" s="9"/>
      <c r="AF14886" s="10"/>
      <c r="AG14886" s="10"/>
      <c r="AH14886" s="10"/>
      <c r="AI14886" s="10"/>
    </row>
    <row r="14887" spans="28:35" ht="15" hidden="1" customHeight="1">
      <c r="AB14887" s="9"/>
      <c r="AC14887" s="9"/>
      <c r="AD14887" s="9"/>
      <c r="AF14887" s="10"/>
      <c r="AG14887" s="10"/>
      <c r="AH14887" s="10"/>
      <c r="AI14887" s="10"/>
    </row>
    <row r="14888" spans="28:35" ht="15" hidden="1" customHeight="1">
      <c r="AB14888" s="9"/>
      <c r="AC14888" s="9"/>
      <c r="AD14888" s="9"/>
      <c r="AF14888" s="10"/>
      <c r="AG14888" s="10"/>
      <c r="AH14888" s="10"/>
      <c r="AI14888" s="10"/>
    </row>
    <row r="14889" spans="28:35" ht="15" hidden="1" customHeight="1">
      <c r="AB14889" s="9"/>
      <c r="AC14889" s="9"/>
      <c r="AD14889" s="9"/>
      <c r="AF14889" s="10"/>
      <c r="AG14889" s="10"/>
      <c r="AH14889" s="10"/>
      <c r="AI14889" s="10"/>
    </row>
    <row r="14890" spans="28:35" ht="15" hidden="1" customHeight="1">
      <c r="AB14890" s="9"/>
      <c r="AC14890" s="9"/>
      <c r="AD14890" s="9"/>
      <c r="AF14890" s="10"/>
      <c r="AG14890" s="10"/>
      <c r="AH14890" s="10"/>
      <c r="AI14890" s="10"/>
    </row>
    <row r="14891" spans="28:35" ht="15" hidden="1" customHeight="1">
      <c r="AB14891" s="9"/>
      <c r="AC14891" s="9"/>
      <c r="AD14891" s="9"/>
      <c r="AF14891" s="10"/>
      <c r="AG14891" s="10"/>
      <c r="AH14891" s="10"/>
      <c r="AI14891" s="10"/>
    </row>
    <row r="14892" spans="28:35" ht="15" hidden="1" customHeight="1">
      <c r="AB14892" s="9"/>
      <c r="AC14892" s="9"/>
      <c r="AD14892" s="9"/>
      <c r="AF14892" s="10"/>
      <c r="AG14892" s="10"/>
      <c r="AH14892" s="10"/>
      <c r="AI14892" s="10"/>
    </row>
    <row r="14893" spans="28:35" ht="15" hidden="1" customHeight="1">
      <c r="AB14893" s="9"/>
      <c r="AC14893" s="9"/>
      <c r="AD14893" s="9"/>
      <c r="AF14893" s="10"/>
      <c r="AG14893" s="10"/>
      <c r="AH14893" s="10"/>
      <c r="AI14893" s="10"/>
    </row>
    <row r="14894" spans="28:35" ht="15" hidden="1" customHeight="1">
      <c r="AB14894" s="9"/>
      <c r="AC14894" s="9"/>
      <c r="AD14894" s="9"/>
      <c r="AF14894" s="10"/>
      <c r="AG14894" s="10"/>
      <c r="AH14894" s="10"/>
      <c r="AI14894" s="10"/>
    </row>
    <row r="14895" spans="28:35" ht="15" hidden="1" customHeight="1">
      <c r="AB14895" s="9"/>
      <c r="AC14895" s="9"/>
      <c r="AD14895" s="9"/>
      <c r="AF14895" s="10"/>
      <c r="AG14895" s="10"/>
      <c r="AH14895" s="10"/>
      <c r="AI14895" s="10"/>
    </row>
    <row r="14896" spans="28:35" ht="15" hidden="1" customHeight="1">
      <c r="AB14896" s="9"/>
      <c r="AC14896" s="9"/>
      <c r="AD14896" s="9"/>
      <c r="AF14896" s="10"/>
      <c r="AG14896" s="10"/>
      <c r="AH14896" s="10"/>
      <c r="AI14896" s="10"/>
    </row>
    <row r="14897" spans="28:35" ht="15" hidden="1" customHeight="1">
      <c r="AB14897" s="9"/>
      <c r="AC14897" s="9"/>
      <c r="AD14897" s="9"/>
      <c r="AF14897" s="10"/>
      <c r="AG14897" s="10"/>
      <c r="AH14897" s="10"/>
      <c r="AI14897" s="10"/>
    </row>
    <row r="14898" spans="28:35" ht="15" hidden="1" customHeight="1">
      <c r="AB14898" s="9"/>
      <c r="AC14898" s="9"/>
      <c r="AD14898" s="9"/>
      <c r="AF14898" s="10"/>
      <c r="AG14898" s="10"/>
      <c r="AH14898" s="10"/>
      <c r="AI14898" s="10"/>
    </row>
    <row r="14899" spans="28:35" ht="15" hidden="1" customHeight="1">
      <c r="AB14899" s="9"/>
      <c r="AC14899" s="9"/>
      <c r="AD14899" s="9"/>
      <c r="AF14899" s="10"/>
      <c r="AG14899" s="10"/>
      <c r="AH14899" s="10"/>
      <c r="AI14899" s="10"/>
    </row>
    <row r="14900" spans="28:35" ht="15" hidden="1" customHeight="1">
      <c r="AB14900" s="9"/>
      <c r="AC14900" s="9"/>
      <c r="AD14900" s="9"/>
      <c r="AF14900" s="10"/>
      <c r="AG14900" s="10"/>
      <c r="AH14900" s="10"/>
      <c r="AI14900" s="10"/>
    </row>
    <row r="14901" spans="28:35" ht="15" hidden="1" customHeight="1">
      <c r="AB14901" s="9"/>
      <c r="AC14901" s="9"/>
      <c r="AD14901" s="9"/>
      <c r="AF14901" s="10"/>
      <c r="AG14901" s="10"/>
      <c r="AH14901" s="10"/>
      <c r="AI14901" s="10"/>
    </row>
    <row r="14902" spans="28:35" ht="15" hidden="1" customHeight="1">
      <c r="AB14902" s="9"/>
      <c r="AC14902" s="9"/>
      <c r="AD14902" s="9"/>
      <c r="AF14902" s="10"/>
      <c r="AG14902" s="10"/>
      <c r="AH14902" s="10"/>
      <c r="AI14902" s="10"/>
    </row>
    <row r="14903" spans="28:35" ht="15" hidden="1" customHeight="1">
      <c r="AB14903" s="9"/>
      <c r="AC14903" s="9"/>
      <c r="AD14903" s="9"/>
      <c r="AF14903" s="10"/>
      <c r="AG14903" s="10"/>
      <c r="AH14903" s="10"/>
      <c r="AI14903" s="10"/>
    </row>
    <row r="14904" spans="28:35" ht="15" hidden="1" customHeight="1">
      <c r="AB14904" s="9"/>
      <c r="AC14904" s="9"/>
      <c r="AD14904" s="9"/>
      <c r="AF14904" s="10"/>
      <c r="AG14904" s="10"/>
      <c r="AH14904" s="10"/>
      <c r="AI14904" s="10"/>
    </row>
    <row r="14905" spans="28:35" ht="15" hidden="1" customHeight="1">
      <c r="AB14905" s="9"/>
      <c r="AC14905" s="9"/>
      <c r="AD14905" s="9"/>
      <c r="AF14905" s="10"/>
      <c r="AG14905" s="10"/>
      <c r="AH14905" s="10"/>
      <c r="AI14905" s="10"/>
    </row>
    <row r="14906" spans="28:35" ht="15" hidden="1" customHeight="1">
      <c r="AB14906" s="9"/>
      <c r="AC14906" s="9"/>
      <c r="AD14906" s="9"/>
      <c r="AF14906" s="10"/>
      <c r="AG14906" s="10"/>
      <c r="AH14906" s="10"/>
      <c r="AI14906" s="10"/>
    </row>
    <row r="14907" spans="28:35" ht="15" hidden="1" customHeight="1">
      <c r="AB14907" s="9"/>
      <c r="AC14907" s="9"/>
      <c r="AD14907" s="9"/>
      <c r="AF14907" s="10"/>
      <c r="AG14907" s="10"/>
      <c r="AH14907" s="10"/>
      <c r="AI14907" s="10"/>
    </row>
    <row r="14908" spans="28:35" ht="15" hidden="1" customHeight="1">
      <c r="AB14908" s="9"/>
      <c r="AC14908" s="9"/>
      <c r="AD14908" s="9"/>
      <c r="AF14908" s="10"/>
      <c r="AG14908" s="10"/>
      <c r="AH14908" s="10"/>
      <c r="AI14908" s="10"/>
    </row>
    <row r="14909" spans="28:35" ht="15" hidden="1" customHeight="1">
      <c r="AB14909" s="9"/>
      <c r="AC14909" s="9"/>
      <c r="AD14909" s="9"/>
      <c r="AF14909" s="10"/>
      <c r="AG14909" s="10"/>
      <c r="AH14909" s="10"/>
      <c r="AI14909" s="10"/>
    </row>
    <row r="14910" spans="28:35" ht="15" hidden="1" customHeight="1">
      <c r="AB14910" s="9"/>
      <c r="AC14910" s="9"/>
      <c r="AD14910" s="9"/>
      <c r="AF14910" s="10"/>
      <c r="AG14910" s="10"/>
      <c r="AH14910" s="10"/>
      <c r="AI14910" s="10"/>
    </row>
    <row r="14911" spans="28:35" ht="15" hidden="1" customHeight="1">
      <c r="AB14911" s="9"/>
      <c r="AC14911" s="9"/>
      <c r="AD14911" s="9"/>
      <c r="AF14911" s="10"/>
      <c r="AG14911" s="10"/>
      <c r="AH14911" s="10"/>
      <c r="AI14911" s="10"/>
    </row>
    <row r="14912" spans="28:35" ht="15" hidden="1" customHeight="1">
      <c r="AB14912" s="9"/>
      <c r="AC14912" s="9"/>
      <c r="AD14912" s="9"/>
      <c r="AF14912" s="10"/>
      <c r="AG14912" s="10"/>
      <c r="AH14912" s="10"/>
      <c r="AI14912" s="10"/>
    </row>
    <row r="14913" spans="28:35" ht="15" hidden="1" customHeight="1">
      <c r="AB14913" s="9"/>
      <c r="AC14913" s="9"/>
      <c r="AD14913" s="9"/>
      <c r="AF14913" s="10"/>
      <c r="AG14913" s="10"/>
      <c r="AH14913" s="10"/>
      <c r="AI14913" s="10"/>
    </row>
    <row r="14914" spans="28:35" ht="15" hidden="1" customHeight="1">
      <c r="AB14914" s="9"/>
      <c r="AC14914" s="9"/>
      <c r="AD14914" s="9"/>
      <c r="AF14914" s="10"/>
      <c r="AG14914" s="10"/>
      <c r="AH14914" s="10"/>
      <c r="AI14914" s="10"/>
    </row>
    <row r="14915" spans="28:35" ht="15" hidden="1" customHeight="1">
      <c r="AB14915" s="9"/>
      <c r="AC14915" s="9"/>
      <c r="AD14915" s="9"/>
      <c r="AF14915" s="10"/>
      <c r="AG14915" s="10"/>
      <c r="AH14915" s="10"/>
      <c r="AI14915" s="10"/>
    </row>
    <row r="14916" spans="28:35" ht="15" hidden="1" customHeight="1">
      <c r="AB14916" s="9"/>
      <c r="AC14916" s="9"/>
      <c r="AD14916" s="9"/>
      <c r="AF14916" s="10"/>
      <c r="AG14916" s="10"/>
      <c r="AH14916" s="10"/>
      <c r="AI14916" s="10"/>
    </row>
    <row r="14917" spans="28:35" ht="15" hidden="1" customHeight="1">
      <c r="AB14917" s="9"/>
      <c r="AC14917" s="9"/>
      <c r="AD14917" s="9"/>
      <c r="AF14917" s="10"/>
      <c r="AG14917" s="10"/>
      <c r="AH14917" s="10"/>
      <c r="AI14917" s="10"/>
    </row>
    <row r="14918" spans="28:35" ht="15" hidden="1" customHeight="1">
      <c r="AB14918" s="9"/>
      <c r="AC14918" s="9"/>
      <c r="AD14918" s="9"/>
      <c r="AF14918" s="10"/>
      <c r="AG14918" s="10"/>
      <c r="AH14918" s="10"/>
      <c r="AI14918" s="10"/>
    </row>
    <row r="14919" spans="28:35" ht="15" hidden="1" customHeight="1">
      <c r="AB14919" s="9"/>
      <c r="AC14919" s="9"/>
      <c r="AD14919" s="9"/>
      <c r="AF14919" s="10"/>
      <c r="AG14919" s="10"/>
      <c r="AH14919" s="10"/>
      <c r="AI14919" s="10"/>
    </row>
    <row r="14920" spans="28:35" ht="15" hidden="1" customHeight="1">
      <c r="AB14920" s="9"/>
      <c r="AC14920" s="9"/>
      <c r="AD14920" s="9"/>
      <c r="AF14920" s="10"/>
      <c r="AG14920" s="10"/>
      <c r="AH14920" s="10"/>
      <c r="AI14920" s="10"/>
    </row>
    <row r="14921" spans="28:35" ht="15" hidden="1" customHeight="1">
      <c r="AB14921" s="9"/>
      <c r="AC14921" s="9"/>
      <c r="AD14921" s="9"/>
      <c r="AF14921" s="10"/>
      <c r="AG14921" s="10"/>
      <c r="AH14921" s="10"/>
      <c r="AI14921" s="10"/>
    </row>
    <row r="14922" spans="28:35" ht="15" hidden="1" customHeight="1">
      <c r="AB14922" s="9"/>
      <c r="AC14922" s="9"/>
      <c r="AD14922" s="9"/>
      <c r="AF14922" s="10"/>
      <c r="AG14922" s="10"/>
      <c r="AH14922" s="10"/>
      <c r="AI14922" s="10"/>
    </row>
    <row r="14923" spans="28:35" ht="15" hidden="1" customHeight="1">
      <c r="AB14923" s="9"/>
      <c r="AC14923" s="9"/>
      <c r="AD14923" s="9"/>
      <c r="AF14923" s="10"/>
      <c r="AG14923" s="10"/>
      <c r="AH14923" s="10"/>
      <c r="AI14923" s="10"/>
    </row>
    <row r="14924" spans="28:35" ht="15" hidden="1" customHeight="1">
      <c r="AB14924" s="9"/>
      <c r="AC14924" s="9"/>
      <c r="AD14924" s="9"/>
      <c r="AF14924" s="10"/>
      <c r="AG14924" s="10"/>
      <c r="AH14924" s="10"/>
      <c r="AI14924" s="10"/>
    </row>
    <row r="14925" spans="28:35" ht="15" hidden="1" customHeight="1">
      <c r="AB14925" s="9"/>
      <c r="AC14925" s="9"/>
      <c r="AD14925" s="9"/>
      <c r="AF14925" s="10"/>
      <c r="AG14925" s="10"/>
      <c r="AH14925" s="10"/>
      <c r="AI14925" s="10"/>
    </row>
    <row r="14926" spans="28:35" ht="15" hidden="1" customHeight="1">
      <c r="AB14926" s="9"/>
      <c r="AC14926" s="9"/>
      <c r="AD14926" s="9"/>
      <c r="AF14926" s="10"/>
      <c r="AG14926" s="10"/>
      <c r="AH14926" s="10"/>
      <c r="AI14926" s="10"/>
    </row>
    <row r="14927" spans="28:35" ht="15" hidden="1" customHeight="1">
      <c r="AB14927" s="9"/>
      <c r="AC14927" s="9"/>
      <c r="AD14927" s="9"/>
      <c r="AF14927" s="10"/>
      <c r="AG14927" s="10"/>
      <c r="AH14927" s="10"/>
      <c r="AI14927" s="10"/>
    </row>
    <row r="14928" spans="28:35" ht="15" hidden="1" customHeight="1">
      <c r="AB14928" s="9"/>
      <c r="AC14928" s="9"/>
      <c r="AD14928" s="9"/>
      <c r="AF14928" s="10"/>
      <c r="AG14928" s="10"/>
      <c r="AH14928" s="10"/>
      <c r="AI14928" s="10"/>
    </row>
    <row r="14929" spans="28:35" ht="15" hidden="1" customHeight="1">
      <c r="AB14929" s="9"/>
      <c r="AC14929" s="9"/>
      <c r="AD14929" s="9"/>
      <c r="AF14929" s="10"/>
      <c r="AG14929" s="10"/>
      <c r="AH14929" s="10"/>
      <c r="AI14929" s="10"/>
    </row>
    <row r="14930" spans="28:35" ht="15" hidden="1" customHeight="1">
      <c r="AB14930" s="9"/>
      <c r="AC14930" s="9"/>
      <c r="AD14930" s="9"/>
      <c r="AF14930" s="10"/>
      <c r="AG14930" s="10"/>
      <c r="AH14930" s="10"/>
      <c r="AI14930" s="10"/>
    </row>
    <row r="14931" spans="28:35" ht="15" hidden="1" customHeight="1">
      <c r="AB14931" s="9"/>
      <c r="AC14931" s="9"/>
      <c r="AD14931" s="9"/>
      <c r="AF14931" s="10"/>
      <c r="AG14931" s="10"/>
      <c r="AH14931" s="10"/>
      <c r="AI14931" s="10"/>
    </row>
    <row r="14932" spans="28:35" ht="15" hidden="1" customHeight="1">
      <c r="AB14932" s="9"/>
      <c r="AC14932" s="9"/>
      <c r="AD14932" s="9"/>
      <c r="AF14932" s="10"/>
      <c r="AG14932" s="10"/>
      <c r="AH14932" s="10"/>
      <c r="AI14932" s="10"/>
    </row>
    <row r="14933" spans="28:35" ht="15" hidden="1" customHeight="1">
      <c r="AB14933" s="9"/>
      <c r="AC14933" s="9"/>
      <c r="AD14933" s="9"/>
      <c r="AF14933" s="10"/>
      <c r="AG14933" s="10"/>
      <c r="AH14933" s="10"/>
      <c r="AI14933" s="10"/>
    </row>
    <row r="14934" spans="28:35" ht="15" hidden="1" customHeight="1">
      <c r="AB14934" s="9"/>
      <c r="AC14934" s="9"/>
      <c r="AD14934" s="9"/>
      <c r="AF14934" s="10"/>
      <c r="AG14934" s="10"/>
      <c r="AH14934" s="10"/>
      <c r="AI14934" s="10"/>
    </row>
    <row r="14935" spans="28:35" ht="15" hidden="1" customHeight="1">
      <c r="AB14935" s="9"/>
      <c r="AC14935" s="9"/>
      <c r="AD14935" s="9"/>
      <c r="AF14935" s="10"/>
      <c r="AG14935" s="10"/>
      <c r="AH14935" s="10"/>
      <c r="AI14935" s="10"/>
    </row>
    <row r="14936" spans="28:35" ht="15" hidden="1" customHeight="1">
      <c r="AB14936" s="9"/>
      <c r="AC14936" s="9"/>
      <c r="AD14936" s="9"/>
      <c r="AF14936" s="10"/>
      <c r="AG14936" s="10"/>
      <c r="AH14936" s="10"/>
      <c r="AI14936" s="10"/>
    </row>
    <row r="14937" spans="28:35" ht="15" hidden="1" customHeight="1">
      <c r="AB14937" s="9"/>
      <c r="AC14937" s="9"/>
      <c r="AD14937" s="9"/>
      <c r="AF14937" s="10"/>
      <c r="AG14937" s="10"/>
      <c r="AH14937" s="10"/>
      <c r="AI14937" s="10"/>
    </row>
    <row r="14938" spans="28:35" ht="15" hidden="1" customHeight="1">
      <c r="AB14938" s="9"/>
      <c r="AC14938" s="9"/>
      <c r="AD14938" s="9"/>
      <c r="AF14938" s="10"/>
      <c r="AG14938" s="10"/>
      <c r="AH14938" s="10"/>
      <c r="AI14938" s="10"/>
    </row>
    <row r="14939" spans="28:35" ht="15" hidden="1" customHeight="1">
      <c r="AB14939" s="9"/>
      <c r="AC14939" s="9"/>
      <c r="AD14939" s="9"/>
      <c r="AF14939" s="10"/>
      <c r="AG14939" s="10"/>
      <c r="AH14939" s="10"/>
      <c r="AI14939" s="10"/>
    </row>
    <row r="14940" spans="28:35" ht="15" hidden="1" customHeight="1">
      <c r="AB14940" s="9"/>
      <c r="AC14940" s="9"/>
      <c r="AD14940" s="9"/>
      <c r="AF14940" s="10"/>
      <c r="AG14940" s="10"/>
      <c r="AH14940" s="10"/>
      <c r="AI14940" s="10"/>
    </row>
    <row r="14941" spans="28:35" ht="15" hidden="1" customHeight="1">
      <c r="AB14941" s="9"/>
      <c r="AC14941" s="9"/>
      <c r="AD14941" s="9"/>
      <c r="AF14941" s="10"/>
      <c r="AG14941" s="10"/>
      <c r="AH14941" s="10"/>
      <c r="AI14941" s="10"/>
    </row>
    <row r="14942" spans="28:35" ht="15" hidden="1" customHeight="1">
      <c r="AB14942" s="9"/>
      <c r="AC14942" s="9"/>
      <c r="AD14942" s="9"/>
      <c r="AF14942" s="10"/>
      <c r="AG14942" s="10"/>
      <c r="AH14942" s="10"/>
      <c r="AI14942" s="10"/>
    </row>
    <row r="14943" spans="28:35" ht="15" hidden="1" customHeight="1">
      <c r="AB14943" s="9"/>
      <c r="AC14943" s="9"/>
      <c r="AD14943" s="9"/>
      <c r="AF14943" s="10"/>
      <c r="AG14943" s="10"/>
      <c r="AH14943" s="10"/>
      <c r="AI14943" s="10"/>
    </row>
    <row r="14944" spans="28:35" ht="15" hidden="1" customHeight="1">
      <c r="AB14944" s="9"/>
      <c r="AC14944" s="9"/>
      <c r="AD14944" s="9"/>
      <c r="AF14944" s="10"/>
      <c r="AG14944" s="10"/>
      <c r="AH14944" s="10"/>
      <c r="AI14944" s="10"/>
    </row>
    <row r="14945" spans="28:35" ht="15" hidden="1" customHeight="1">
      <c r="AB14945" s="9"/>
      <c r="AC14945" s="9"/>
      <c r="AD14945" s="9"/>
      <c r="AF14945" s="10"/>
      <c r="AG14945" s="10"/>
      <c r="AH14945" s="10"/>
      <c r="AI14945" s="10"/>
    </row>
    <row r="14946" spans="28:35" ht="15" hidden="1" customHeight="1">
      <c r="AB14946" s="9"/>
      <c r="AC14946" s="9"/>
      <c r="AD14946" s="9"/>
      <c r="AF14946" s="10"/>
      <c r="AG14946" s="10"/>
      <c r="AH14946" s="10"/>
      <c r="AI14946" s="10"/>
    </row>
    <row r="14947" spans="28:35" ht="15" hidden="1" customHeight="1">
      <c r="AB14947" s="9"/>
      <c r="AC14947" s="9"/>
      <c r="AD14947" s="9"/>
      <c r="AF14947" s="10"/>
      <c r="AG14947" s="10"/>
      <c r="AH14947" s="10"/>
      <c r="AI14947" s="10"/>
    </row>
    <row r="14948" spans="28:35" ht="15" hidden="1" customHeight="1">
      <c r="AB14948" s="9"/>
      <c r="AC14948" s="9"/>
      <c r="AD14948" s="9"/>
      <c r="AF14948" s="10"/>
      <c r="AG14948" s="10"/>
      <c r="AH14948" s="10"/>
      <c r="AI14948" s="10"/>
    </row>
    <row r="14949" spans="28:35" ht="15" hidden="1" customHeight="1">
      <c r="AB14949" s="9"/>
      <c r="AC14949" s="9"/>
      <c r="AD14949" s="9"/>
      <c r="AF14949" s="10"/>
      <c r="AG14949" s="10"/>
      <c r="AH14949" s="10"/>
      <c r="AI14949" s="10"/>
    </row>
    <row r="14950" spans="28:35" ht="15" hidden="1" customHeight="1">
      <c r="AB14950" s="9"/>
      <c r="AC14950" s="9"/>
      <c r="AD14950" s="9"/>
      <c r="AF14950" s="10"/>
      <c r="AG14950" s="10"/>
      <c r="AH14950" s="10"/>
      <c r="AI14950" s="10"/>
    </row>
    <row r="14951" spans="28:35" ht="15" hidden="1" customHeight="1">
      <c r="AB14951" s="9"/>
      <c r="AC14951" s="9"/>
      <c r="AD14951" s="9"/>
      <c r="AF14951" s="10"/>
      <c r="AG14951" s="10"/>
      <c r="AH14951" s="10"/>
      <c r="AI14951" s="10"/>
    </row>
    <row r="14952" spans="28:35" ht="15" hidden="1" customHeight="1">
      <c r="AB14952" s="9"/>
      <c r="AC14952" s="9"/>
      <c r="AD14952" s="9"/>
      <c r="AF14952" s="10"/>
      <c r="AG14952" s="10"/>
      <c r="AH14952" s="10"/>
      <c r="AI14952" s="10"/>
    </row>
    <row r="14953" spans="28:35" ht="15" hidden="1" customHeight="1">
      <c r="AB14953" s="9"/>
      <c r="AC14953" s="9"/>
      <c r="AD14953" s="9"/>
      <c r="AF14953" s="10"/>
      <c r="AG14953" s="10"/>
      <c r="AH14953" s="10"/>
      <c r="AI14953" s="10"/>
    </row>
    <row r="14954" spans="28:35" ht="15" hidden="1" customHeight="1">
      <c r="AB14954" s="9"/>
      <c r="AC14954" s="9"/>
      <c r="AD14954" s="9"/>
      <c r="AF14954" s="10"/>
      <c r="AG14954" s="10"/>
      <c r="AH14954" s="10"/>
      <c r="AI14954" s="10"/>
    </row>
    <row r="14955" spans="28:35" ht="15" hidden="1" customHeight="1">
      <c r="AB14955" s="9"/>
      <c r="AC14955" s="9"/>
      <c r="AD14955" s="9"/>
      <c r="AF14955" s="10"/>
      <c r="AG14955" s="10"/>
      <c r="AH14955" s="10"/>
      <c r="AI14955" s="10"/>
    </row>
    <row r="14956" spans="28:35" ht="15" hidden="1" customHeight="1">
      <c r="AB14956" s="9"/>
      <c r="AC14956" s="9"/>
      <c r="AD14956" s="9"/>
      <c r="AF14956" s="10"/>
      <c r="AG14956" s="10"/>
      <c r="AH14956" s="10"/>
      <c r="AI14956" s="10"/>
    </row>
    <row r="14957" spans="28:35" ht="15" hidden="1" customHeight="1">
      <c r="AB14957" s="9"/>
      <c r="AC14957" s="9"/>
      <c r="AD14957" s="9"/>
      <c r="AF14957" s="10"/>
      <c r="AG14957" s="10"/>
      <c r="AH14957" s="10"/>
      <c r="AI14957" s="10"/>
    </row>
    <row r="14958" spans="28:35" ht="15" hidden="1" customHeight="1">
      <c r="AB14958" s="9"/>
      <c r="AC14958" s="9"/>
      <c r="AD14958" s="9"/>
      <c r="AF14958" s="10"/>
      <c r="AG14958" s="10"/>
      <c r="AH14958" s="10"/>
      <c r="AI14958" s="10"/>
    </row>
    <row r="14959" spans="28:35" ht="15" hidden="1" customHeight="1">
      <c r="AB14959" s="9"/>
      <c r="AC14959" s="9"/>
      <c r="AD14959" s="9"/>
      <c r="AF14959" s="10"/>
      <c r="AG14959" s="10"/>
      <c r="AH14959" s="10"/>
      <c r="AI14959" s="10"/>
    </row>
    <row r="14960" spans="28:35" ht="15" hidden="1" customHeight="1">
      <c r="AB14960" s="9"/>
      <c r="AC14960" s="9"/>
      <c r="AD14960" s="9"/>
      <c r="AF14960" s="10"/>
      <c r="AG14960" s="10"/>
      <c r="AH14960" s="10"/>
      <c r="AI14960" s="10"/>
    </row>
    <row r="14961" spans="28:35" ht="15" hidden="1" customHeight="1">
      <c r="AB14961" s="9"/>
      <c r="AC14961" s="9"/>
      <c r="AD14961" s="9"/>
      <c r="AF14961" s="10"/>
      <c r="AG14961" s="10"/>
      <c r="AH14961" s="10"/>
      <c r="AI14961" s="10"/>
    </row>
    <row r="14962" spans="28:35" ht="15" hidden="1" customHeight="1">
      <c r="AB14962" s="9"/>
      <c r="AC14962" s="9"/>
      <c r="AD14962" s="9"/>
      <c r="AF14962" s="10"/>
      <c r="AG14962" s="10"/>
      <c r="AH14962" s="10"/>
      <c r="AI14962" s="10"/>
    </row>
    <row r="14963" spans="28:35" ht="15" hidden="1" customHeight="1">
      <c r="AB14963" s="9"/>
      <c r="AC14963" s="9"/>
      <c r="AD14963" s="9"/>
      <c r="AF14963" s="10"/>
      <c r="AG14963" s="10"/>
      <c r="AH14963" s="10"/>
      <c r="AI14963" s="10"/>
    </row>
    <row r="14964" spans="28:35" ht="15" hidden="1" customHeight="1">
      <c r="AB14964" s="9"/>
      <c r="AC14964" s="9"/>
      <c r="AD14964" s="9"/>
      <c r="AF14964" s="10"/>
      <c r="AG14964" s="10"/>
      <c r="AH14964" s="10"/>
      <c r="AI14964" s="10"/>
    </row>
    <row r="14965" spans="28:35" ht="15" hidden="1" customHeight="1">
      <c r="AB14965" s="9"/>
      <c r="AC14965" s="9"/>
      <c r="AD14965" s="9"/>
      <c r="AF14965" s="10"/>
      <c r="AG14965" s="10"/>
      <c r="AH14965" s="10"/>
      <c r="AI14965" s="10"/>
    </row>
    <row r="14966" spans="28:35" ht="15" hidden="1" customHeight="1">
      <c r="AB14966" s="9"/>
      <c r="AC14966" s="9"/>
      <c r="AD14966" s="9"/>
      <c r="AF14966" s="10"/>
      <c r="AG14966" s="10"/>
      <c r="AH14966" s="10"/>
      <c r="AI14966" s="10"/>
    </row>
    <row r="14967" spans="28:35" ht="15" hidden="1" customHeight="1">
      <c r="AB14967" s="9"/>
      <c r="AC14967" s="9"/>
      <c r="AD14967" s="9"/>
      <c r="AF14967" s="10"/>
      <c r="AG14967" s="10"/>
      <c r="AH14967" s="10"/>
      <c r="AI14967" s="10"/>
    </row>
    <row r="14968" spans="28:35" ht="15" hidden="1" customHeight="1">
      <c r="AB14968" s="9"/>
      <c r="AC14968" s="9"/>
      <c r="AD14968" s="9"/>
      <c r="AF14968" s="10"/>
      <c r="AG14968" s="10"/>
      <c r="AH14968" s="10"/>
      <c r="AI14968" s="10"/>
    </row>
    <row r="14969" spans="28:35" ht="15" hidden="1" customHeight="1">
      <c r="AB14969" s="9"/>
      <c r="AC14969" s="9"/>
      <c r="AD14969" s="9"/>
      <c r="AF14969" s="10"/>
      <c r="AG14969" s="10"/>
      <c r="AH14969" s="10"/>
      <c r="AI14969" s="10"/>
    </row>
    <row r="14970" spans="28:35" ht="15" hidden="1" customHeight="1">
      <c r="AB14970" s="9"/>
      <c r="AC14970" s="9"/>
      <c r="AD14970" s="9"/>
      <c r="AF14970" s="10"/>
      <c r="AG14970" s="10"/>
      <c r="AH14970" s="10"/>
      <c r="AI14970" s="10"/>
    </row>
    <row r="14971" spans="28:35" ht="15" hidden="1" customHeight="1">
      <c r="AB14971" s="9"/>
      <c r="AC14971" s="9"/>
      <c r="AD14971" s="9"/>
      <c r="AF14971" s="10"/>
      <c r="AG14971" s="10"/>
      <c r="AH14971" s="10"/>
      <c r="AI14971" s="10"/>
    </row>
    <row r="14972" spans="28:35" ht="15" hidden="1" customHeight="1">
      <c r="AB14972" s="9"/>
      <c r="AC14972" s="9"/>
      <c r="AD14972" s="9"/>
      <c r="AF14972" s="10"/>
      <c r="AG14972" s="10"/>
      <c r="AH14972" s="10"/>
      <c r="AI14972" s="10"/>
    </row>
    <row r="14973" spans="28:35" ht="15" hidden="1" customHeight="1">
      <c r="AB14973" s="9"/>
      <c r="AC14973" s="9"/>
      <c r="AD14973" s="9"/>
      <c r="AF14973" s="10"/>
      <c r="AG14973" s="10"/>
      <c r="AH14973" s="10"/>
      <c r="AI14973" s="10"/>
    </row>
    <row r="14974" spans="28:35" ht="15" hidden="1" customHeight="1">
      <c r="AB14974" s="9"/>
      <c r="AC14974" s="9"/>
      <c r="AD14974" s="9"/>
      <c r="AF14974" s="10"/>
      <c r="AG14974" s="10"/>
      <c r="AH14974" s="10"/>
      <c r="AI14974" s="10"/>
    </row>
    <row r="14975" spans="28:35" ht="15" hidden="1" customHeight="1">
      <c r="AB14975" s="9"/>
      <c r="AC14975" s="9"/>
      <c r="AD14975" s="9"/>
      <c r="AF14975" s="10"/>
      <c r="AG14975" s="10"/>
      <c r="AH14975" s="10"/>
      <c r="AI14975" s="10"/>
    </row>
    <row r="14976" spans="28:35" ht="15" hidden="1" customHeight="1">
      <c r="AB14976" s="9"/>
      <c r="AC14976" s="9"/>
      <c r="AD14976" s="9"/>
      <c r="AF14976" s="10"/>
      <c r="AG14976" s="10"/>
      <c r="AH14976" s="10"/>
      <c r="AI14976" s="10"/>
    </row>
    <row r="14977" spans="28:35" ht="15" hidden="1" customHeight="1">
      <c r="AB14977" s="9"/>
      <c r="AC14977" s="9"/>
      <c r="AD14977" s="9"/>
      <c r="AF14977" s="10"/>
      <c r="AG14977" s="10"/>
      <c r="AH14977" s="10"/>
      <c r="AI14977" s="10"/>
    </row>
    <row r="14978" spans="28:35" ht="15" hidden="1" customHeight="1">
      <c r="AB14978" s="9"/>
      <c r="AC14978" s="9"/>
      <c r="AD14978" s="9"/>
      <c r="AF14978" s="10"/>
      <c r="AG14978" s="10"/>
      <c r="AH14978" s="10"/>
      <c r="AI14978" s="10"/>
    </row>
    <row r="14979" spans="28:35" ht="15" hidden="1" customHeight="1">
      <c r="AB14979" s="9"/>
      <c r="AC14979" s="9"/>
      <c r="AD14979" s="9"/>
      <c r="AF14979" s="10"/>
      <c r="AG14979" s="10"/>
      <c r="AH14979" s="10"/>
      <c r="AI14979" s="10"/>
    </row>
    <row r="14980" spans="28:35" ht="15" hidden="1" customHeight="1">
      <c r="AB14980" s="9"/>
      <c r="AC14980" s="9"/>
      <c r="AD14980" s="9"/>
      <c r="AF14980" s="10"/>
      <c r="AG14980" s="10"/>
      <c r="AH14980" s="10"/>
      <c r="AI14980" s="10"/>
    </row>
    <row r="14981" spans="28:35" ht="15" hidden="1" customHeight="1">
      <c r="AB14981" s="9"/>
      <c r="AC14981" s="9"/>
      <c r="AD14981" s="9"/>
      <c r="AF14981" s="10"/>
      <c r="AG14981" s="10"/>
      <c r="AH14981" s="10"/>
      <c r="AI14981" s="10"/>
    </row>
    <row r="14982" spans="28:35" ht="15" hidden="1" customHeight="1">
      <c r="AB14982" s="9"/>
      <c r="AC14982" s="9"/>
      <c r="AD14982" s="9"/>
      <c r="AF14982" s="10"/>
      <c r="AG14982" s="10"/>
      <c r="AH14982" s="10"/>
      <c r="AI14982" s="10"/>
    </row>
    <row r="14983" spans="28:35" ht="15" hidden="1" customHeight="1">
      <c r="AB14983" s="9"/>
      <c r="AC14983" s="9"/>
      <c r="AD14983" s="9"/>
      <c r="AF14983" s="10"/>
      <c r="AG14983" s="10"/>
      <c r="AH14983" s="10"/>
      <c r="AI14983" s="10"/>
    </row>
    <row r="14984" spans="28:35" ht="15" hidden="1" customHeight="1">
      <c r="AB14984" s="9"/>
      <c r="AC14984" s="9"/>
      <c r="AD14984" s="9"/>
      <c r="AF14984" s="10"/>
      <c r="AG14984" s="10"/>
      <c r="AH14984" s="10"/>
      <c r="AI14984" s="10"/>
    </row>
    <row r="14985" spans="28:35" ht="15" hidden="1" customHeight="1">
      <c r="AB14985" s="9"/>
      <c r="AC14985" s="9"/>
      <c r="AD14985" s="9"/>
      <c r="AF14985" s="10"/>
      <c r="AG14985" s="10"/>
      <c r="AH14985" s="10"/>
      <c r="AI14985" s="10"/>
    </row>
    <row r="14986" spans="28:35" ht="15" hidden="1" customHeight="1">
      <c r="AB14986" s="9"/>
      <c r="AC14986" s="9"/>
      <c r="AD14986" s="9"/>
      <c r="AF14986" s="10"/>
      <c r="AG14986" s="10"/>
      <c r="AH14986" s="10"/>
      <c r="AI14986" s="10"/>
    </row>
    <row r="14987" spans="28:35" ht="15" hidden="1" customHeight="1">
      <c r="AB14987" s="9"/>
      <c r="AC14987" s="9"/>
      <c r="AD14987" s="9"/>
      <c r="AF14987" s="10"/>
      <c r="AG14987" s="10"/>
      <c r="AH14987" s="10"/>
      <c r="AI14987" s="10"/>
    </row>
    <row r="14988" spans="28:35" ht="15" hidden="1" customHeight="1">
      <c r="AB14988" s="9"/>
      <c r="AC14988" s="9"/>
      <c r="AD14988" s="9"/>
      <c r="AF14988" s="10"/>
      <c r="AG14988" s="10"/>
      <c r="AH14988" s="10"/>
      <c r="AI14988" s="10"/>
    </row>
    <row r="14989" spans="28:35" ht="15" hidden="1" customHeight="1">
      <c r="AB14989" s="9"/>
      <c r="AC14989" s="9"/>
      <c r="AD14989" s="9"/>
      <c r="AF14989" s="10"/>
      <c r="AG14989" s="10"/>
      <c r="AH14989" s="10"/>
      <c r="AI14989" s="10"/>
    </row>
    <row r="14990" spans="28:35" ht="15" hidden="1" customHeight="1">
      <c r="AB14990" s="9"/>
      <c r="AC14990" s="9"/>
      <c r="AD14990" s="9"/>
      <c r="AF14990" s="10"/>
      <c r="AG14990" s="10"/>
      <c r="AH14990" s="10"/>
      <c r="AI14990" s="10"/>
    </row>
    <row r="14991" spans="28:35" ht="15" hidden="1" customHeight="1">
      <c r="AB14991" s="9"/>
      <c r="AC14991" s="9"/>
      <c r="AD14991" s="9"/>
      <c r="AF14991" s="10"/>
      <c r="AG14991" s="10"/>
      <c r="AH14991" s="10"/>
      <c r="AI14991" s="10"/>
    </row>
    <row r="14992" spans="28:35" ht="15" hidden="1" customHeight="1">
      <c r="AB14992" s="9"/>
      <c r="AC14992" s="9"/>
      <c r="AD14992" s="9"/>
      <c r="AF14992" s="10"/>
      <c r="AG14992" s="10"/>
      <c r="AH14992" s="10"/>
      <c r="AI14992" s="10"/>
    </row>
    <row r="14993" spans="28:35" ht="15" hidden="1" customHeight="1">
      <c r="AB14993" s="9"/>
      <c r="AC14993" s="9"/>
      <c r="AD14993" s="9"/>
      <c r="AF14993" s="10"/>
      <c r="AG14993" s="10"/>
      <c r="AH14993" s="10"/>
      <c r="AI14993" s="10"/>
    </row>
    <row r="14994" spans="28:35" ht="15" hidden="1" customHeight="1">
      <c r="AB14994" s="9"/>
      <c r="AC14994" s="9"/>
      <c r="AD14994" s="9"/>
      <c r="AF14994" s="10"/>
      <c r="AG14994" s="10"/>
      <c r="AH14994" s="10"/>
      <c r="AI14994" s="10"/>
    </row>
    <row r="14995" spans="28:35" ht="15" hidden="1" customHeight="1">
      <c r="AB14995" s="9"/>
      <c r="AC14995" s="9"/>
      <c r="AD14995" s="9"/>
      <c r="AF14995" s="10"/>
      <c r="AG14995" s="10"/>
      <c r="AH14995" s="10"/>
      <c r="AI14995" s="10"/>
    </row>
    <row r="14996" spans="28:35" ht="15" hidden="1" customHeight="1">
      <c r="AB14996" s="9"/>
      <c r="AC14996" s="9"/>
      <c r="AD14996" s="9"/>
      <c r="AF14996" s="10"/>
      <c r="AG14996" s="10"/>
      <c r="AH14996" s="10"/>
      <c r="AI14996" s="10"/>
    </row>
    <row r="14997" spans="28:35" ht="15" hidden="1" customHeight="1">
      <c r="AB14997" s="9"/>
      <c r="AC14997" s="9"/>
      <c r="AD14997" s="9"/>
      <c r="AF14997" s="10"/>
      <c r="AG14997" s="10"/>
      <c r="AH14997" s="10"/>
      <c r="AI14997" s="10"/>
    </row>
    <row r="14998" spans="28:35" ht="15" hidden="1" customHeight="1">
      <c r="AB14998" s="9"/>
      <c r="AC14998" s="9"/>
      <c r="AD14998" s="9"/>
      <c r="AF14998" s="10"/>
      <c r="AG14998" s="10"/>
      <c r="AH14998" s="10"/>
      <c r="AI14998" s="10"/>
    </row>
    <row r="14999" spans="28:35" ht="15" hidden="1" customHeight="1">
      <c r="AB14999" s="9"/>
      <c r="AC14999" s="9"/>
      <c r="AD14999" s="9"/>
      <c r="AF14999" s="10"/>
      <c r="AG14999" s="10"/>
      <c r="AH14999" s="10"/>
      <c r="AI14999" s="10"/>
    </row>
    <row r="15000" spans="28:35" ht="15" hidden="1" customHeight="1">
      <c r="AB15000" s="9"/>
      <c r="AC15000" s="9"/>
      <c r="AD15000" s="9"/>
      <c r="AF15000" s="10"/>
      <c r="AG15000" s="10"/>
      <c r="AH15000" s="10"/>
      <c r="AI15000" s="10"/>
    </row>
    <row r="15001" spans="28:35" ht="15" hidden="1" customHeight="1">
      <c r="AB15001" s="9"/>
      <c r="AC15001" s="9"/>
      <c r="AD15001" s="9"/>
      <c r="AF15001" s="10"/>
      <c r="AG15001" s="10"/>
      <c r="AH15001" s="10"/>
      <c r="AI15001" s="10"/>
    </row>
    <row r="15002" spans="28:35" ht="15" hidden="1" customHeight="1">
      <c r="AB15002" s="9"/>
      <c r="AC15002" s="9"/>
      <c r="AD15002" s="9"/>
      <c r="AF15002" s="10"/>
      <c r="AG15002" s="10"/>
      <c r="AH15002" s="10"/>
      <c r="AI15002" s="10"/>
    </row>
    <row r="15003" spans="28:35" ht="15" hidden="1" customHeight="1">
      <c r="AB15003" s="9"/>
      <c r="AC15003" s="9"/>
      <c r="AD15003" s="9"/>
      <c r="AF15003" s="10"/>
      <c r="AG15003" s="10"/>
      <c r="AH15003" s="10"/>
      <c r="AI15003" s="10"/>
    </row>
    <row r="15004" spans="28:35" ht="15" hidden="1" customHeight="1">
      <c r="AB15004" s="9"/>
      <c r="AC15004" s="9"/>
      <c r="AD15004" s="9"/>
      <c r="AF15004" s="10"/>
      <c r="AG15004" s="10"/>
      <c r="AH15004" s="10"/>
      <c r="AI15004" s="10"/>
    </row>
    <row r="15005" spans="28:35" ht="15" hidden="1" customHeight="1">
      <c r="AB15005" s="9"/>
      <c r="AC15005" s="9"/>
      <c r="AD15005" s="9"/>
      <c r="AF15005" s="10"/>
      <c r="AG15005" s="10"/>
      <c r="AH15005" s="10"/>
      <c r="AI15005" s="10"/>
    </row>
    <row r="15006" spans="28:35" ht="15" hidden="1" customHeight="1">
      <c r="AB15006" s="9"/>
      <c r="AC15006" s="9"/>
      <c r="AD15006" s="9"/>
      <c r="AF15006" s="10"/>
      <c r="AG15006" s="10"/>
      <c r="AH15006" s="10"/>
      <c r="AI15006" s="10"/>
    </row>
    <row r="15007" spans="28:35" ht="15" hidden="1" customHeight="1">
      <c r="AB15007" s="9"/>
      <c r="AC15007" s="9"/>
      <c r="AD15007" s="9"/>
      <c r="AF15007" s="10"/>
      <c r="AG15007" s="10"/>
      <c r="AH15007" s="10"/>
      <c r="AI15007" s="10"/>
    </row>
    <row r="15008" spans="28:35" ht="15" hidden="1" customHeight="1">
      <c r="AB15008" s="9"/>
      <c r="AC15008" s="9"/>
      <c r="AD15008" s="9"/>
      <c r="AF15008" s="10"/>
      <c r="AG15008" s="10"/>
      <c r="AH15008" s="10"/>
      <c r="AI15008" s="10"/>
    </row>
    <row r="15009" spans="28:35" ht="15" hidden="1" customHeight="1">
      <c r="AB15009" s="9"/>
      <c r="AC15009" s="9"/>
      <c r="AD15009" s="9"/>
      <c r="AF15009" s="10"/>
      <c r="AG15009" s="10"/>
      <c r="AH15009" s="10"/>
      <c r="AI15009" s="10"/>
    </row>
    <row r="15010" spans="28:35" ht="15" hidden="1" customHeight="1">
      <c r="AB15010" s="9"/>
      <c r="AC15010" s="9"/>
      <c r="AD15010" s="9"/>
      <c r="AF15010" s="10"/>
      <c r="AG15010" s="10"/>
      <c r="AH15010" s="10"/>
      <c r="AI15010" s="10"/>
    </row>
    <row r="15011" spans="28:35" ht="15" hidden="1" customHeight="1">
      <c r="AB15011" s="9"/>
      <c r="AC15011" s="9"/>
      <c r="AD15011" s="9"/>
      <c r="AF15011" s="10"/>
      <c r="AG15011" s="10"/>
      <c r="AH15011" s="10"/>
      <c r="AI15011" s="10"/>
    </row>
    <row r="15012" spans="28:35" ht="15" hidden="1" customHeight="1">
      <c r="AB15012" s="9"/>
      <c r="AC15012" s="9"/>
      <c r="AD15012" s="9"/>
      <c r="AF15012" s="10"/>
      <c r="AG15012" s="10"/>
      <c r="AH15012" s="10"/>
      <c r="AI15012" s="10"/>
    </row>
    <row r="15013" spans="28:35" ht="15" hidden="1" customHeight="1">
      <c r="AB15013" s="9"/>
      <c r="AC15013" s="9"/>
      <c r="AD15013" s="9"/>
      <c r="AF15013" s="10"/>
      <c r="AG15013" s="10"/>
      <c r="AH15013" s="10"/>
      <c r="AI15013" s="10"/>
    </row>
    <row r="15014" spans="28:35" ht="15" hidden="1" customHeight="1">
      <c r="AB15014" s="9"/>
      <c r="AC15014" s="9"/>
      <c r="AD15014" s="9"/>
      <c r="AF15014" s="10"/>
      <c r="AG15014" s="10"/>
      <c r="AH15014" s="10"/>
      <c r="AI15014" s="10"/>
    </row>
    <row r="15015" spans="28:35" ht="15" hidden="1" customHeight="1">
      <c r="AB15015" s="9"/>
      <c r="AC15015" s="9"/>
      <c r="AD15015" s="9"/>
      <c r="AF15015" s="10"/>
      <c r="AG15015" s="10"/>
      <c r="AH15015" s="10"/>
      <c r="AI15015" s="10"/>
    </row>
    <row r="15016" spans="28:35" ht="15" hidden="1" customHeight="1">
      <c r="AB15016" s="9"/>
      <c r="AC15016" s="9"/>
      <c r="AD15016" s="9"/>
      <c r="AF15016" s="10"/>
      <c r="AG15016" s="10"/>
      <c r="AH15016" s="10"/>
      <c r="AI15016" s="10"/>
    </row>
    <row r="15017" spans="28:35" ht="15" hidden="1" customHeight="1">
      <c r="AB15017" s="9"/>
      <c r="AC15017" s="9"/>
      <c r="AD15017" s="9"/>
      <c r="AF15017" s="10"/>
      <c r="AG15017" s="10"/>
      <c r="AH15017" s="10"/>
      <c r="AI15017" s="10"/>
    </row>
    <row r="15018" spans="28:35" ht="15" hidden="1" customHeight="1">
      <c r="AB15018" s="9"/>
      <c r="AC15018" s="9"/>
      <c r="AD15018" s="9"/>
      <c r="AF15018" s="10"/>
      <c r="AG15018" s="10"/>
      <c r="AH15018" s="10"/>
      <c r="AI15018" s="10"/>
    </row>
    <row r="15019" spans="28:35" ht="15" hidden="1" customHeight="1">
      <c r="AB15019" s="9"/>
      <c r="AC15019" s="9"/>
      <c r="AD15019" s="9"/>
      <c r="AF15019" s="10"/>
      <c r="AG15019" s="10"/>
      <c r="AH15019" s="10"/>
      <c r="AI15019" s="10"/>
    </row>
    <row r="15020" spans="28:35" ht="15" hidden="1" customHeight="1">
      <c r="AB15020" s="9"/>
      <c r="AC15020" s="9"/>
      <c r="AD15020" s="9"/>
      <c r="AF15020" s="10"/>
      <c r="AG15020" s="10"/>
      <c r="AH15020" s="10"/>
      <c r="AI15020" s="10"/>
    </row>
    <row r="15021" spans="28:35" ht="15" hidden="1" customHeight="1">
      <c r="AB15021" s="9"/>
      <c r="AC15021" s="9"/>
      <c r="AD15021" s="9"/>
      <c r="AF15021" s="10"/>
      <c r="AG15021" s="10"/>
      <c r="AH15021" s="10"/>
      <c r="AI15021" s="10"/>
    </row>
    <row r="15022" spans="28:35" ht="15" hidden="1" customHeight="1">
      <c r="AB15022" s="9"/>
      <c r="AC15022" s="9"/>
      <c r="AD15022" s="9"/>
      <c r="AF15022" s="10"/>
      <c r="AG15022" s="10"/>
      <c r="AH15022" s="10"/>
      <c r="AI15022" s="10"/>
    </row>
    <row r="15023" spans="28:35" ht="15" hidden="1" customHeight="1">
      <c r="AB15023" s="9"/>
      <c r="AC15023" s="9"/>
      <c r="AD15023" s="9"/>
      <c r="AF15023" s="10"/>
      <c r="AG15023" s="10"/>
      <c r="AH15023" s="10"/>
      <c r="AI15023" s="10"/>
    </row>
    <row r="15024" spans="28:35" ht="15" hidden="1" customHeight="1">
      <c r="AB15024" s="9"/>
      <c r="AC15024" s="9"/>
      <c r="AD15024" s="9"/>
      <c r="AF15024" s="10"/>
      <c r="AG15024" s="10"/>
      <c r="AH15024" s="10"/>
      <c r="AI15024" s="10"/>
    </row>
    <row r="15025" spans="28:35" ht="15" hidden="1" customHeight="1">
      <c r="AB15025" s="9"/>
      <c r="AC15025" s="9"/>
      <c r="AD15025" s="9"/>
      <c r="AF15025" s="10"/>
      <c r="AG15025" s="10"/>
      <c r="AH15025" s="10"/>
      <c r="AI15025" s="10"/>
    </row>
    <row r="15026" spans="28:35" ht="15" hidden="1" customHeight="1">
      <c r="AB15026" s="9"/>
      <c r="AC15026" s="9"/>
      <c r="AD15026" s="9"/>
      <c r="AF15026" s="10"/>
      <c r="AG15026" s="10"/>
      <c r="AH15026" s="10"/>
      <c r="AI15026" s="10"/>
    </row>
    <row r="15027" spans="28:35" ht="15" hidden="1" customHeight="1">
      <c r="AB15027" s="9"/>
      <c r="AC15027" s="9"/>
      <c r="AD15027" s="9"/>
      <c r="AF15027" s="10"/>
      <c r="AG15027" s="10"/>
      <c r="AH15027" s="10"/>
      <c r="AI15027" s="10"/>
    </row>
    <row r="15028" spans="28:35" ht="15" hidden="1" customHeight="1">
      <c r="AB15028" s="9"/>
      <c r="AC15028" s="9"/>
      <c r="AD15028" s="9"/>
      <c r="AF15028" s="10"/>
      <c r="AG15028" s="10"/>
      <c r="AH15028" s="10"/>
      <c r="AI15028" s="10"/>
    </row>
    <row r="15029" spans="28:35" ht="15" hidden="1" customHeight="1">
      <c r="AB15029" s="9"/>
      <c r="AC15029" s="9"/>
      <c r="AD15029" s="9"/>
      <c r="AF15029" s="10"/>
      <c r="AG15029" s="10"/>
      <c r="AH15029" s="10"/>
      <c r="AI15029" s="10"/>
    </row>
    <row r="15030" spans="28:35" ht="15" hidden="1" customHeight="1">
      <c r="AB15030" s="9"/>
      <c r="AC15030" s="9"/>
      <c r="AD15030" s="9"/>
      <c r="AF15030" s="10"/>
      <c r="AG15030" s="10"/>
      <c r="AH15030" s="10"/>
      <c r="AI15030" s="10"/>
    </row>
    <row r="15031" spans="28:35" ht="15" hidden="1" customHeight="1">
      <c r="AB15031" s="9"/>
      <c r="AC15031" s="9"/>
      <c r="AD15031" s="9"/>
      <c r="AF15031" s="10"/>
      <c r="AG15031" s="10"/>
      <c r="AH15031" s="10"/>
      <c r="AI15031" s="10"/>
    </row>
    <row r="15032" spans="28:35" ht="15" hidden="1" customHeight="1">
      <c r="AB15032" s="9"/>
      <c r="AC15032" s="9"/>
      <c r="AD15032" s="9"/>
      <c r="AF15032" s="10"/>
      <c r="AG15032" s="10"/>
      <c r="AH15032" s="10"/>
      <c r="AI15032" s="10"/>
    </row>
    <row r="15033" spans="28:35" ht="15" hidden="1" customHeight="1">
      <c r="AB15033" s="9"/>
      <c r="AC15033" s="9"/>
      <c r="AD15033" s="9"/>
      <c r="AF15033" s="10"/>
      <c r="AG15033" s="10"/>
      <c r="AH15033" s="10"/>
      <c r="AI15033" s="10"/>
    </row>
    <row r="15034" spans="28:35" ht="15" hidden="1" customHeight="1">
      <c r="AB15034" s="9"/>
      <c r="AC15034" s="9"/>
      <c r="AD15034" s="9"/>
      <c r="AF15034" s="10"/>
      <c r="AG15034" s="10"/>
      <c r="AH15034" s="10"/>
      <c r="AI15034" s="10"/>
    </row>
    <row r="15035" spans="28:35" ht="15" hidden="1" customHeight="1">
      <c r="AB15035" s="9"/>
      <c r="AC15035" s="9"/>
      <c r="AD15035" s="9"/>
      <c r="AF15035" s="10"/>
      <c r="AG15035" s="10"/>
      <c r="AH15035" s="10"/>
      <c r="AI15035" s="10"/>
    </row>
    <row r="15036" spans="28:35" ht="15" hidden="1" customHeight="1">
      <c r="AB15036" s="9"/>
      <c r="AC15036" s="9"/>
      <c r="AD15036" s="9"/>
      <c r="AF15036" s="10"/>
      <c r="AG15036" s="10"/>
      <c r="AH15036" s="10"/>
      <c r="AI15036" s="10"/>
    </row>
    <row r="15037" spans="28:35" ht="15" hidden="1" customHeight="1">
      <c r="AB15037" s="9"/>
      <c r="AC15037" s="9"/>
      <c r="AD15037" s="9"/>
      <c r="AF15037" s="10"/>
      <c r="AG15037" s="10"/>
      <c r="AH15037" s="10"/>
      <c r="AI15037" s="10"/>
    </row>
    <row r="15038" spans="28:35" ht="15" hidden="1" customHeight="1">
      <c r="AB15038" s="9"/>
      <c r="AC15038" s="9"/>
      <c r="AD15038" s="9"/>
      <c r="AF15038" s="10"/>
      <c r="AG15038" s="10"/>
      <c r="AH15038" s="10"/>
      <c r="AI15038" s="10"/>
    </row>
    <row r="15039" spans="28:35" ht="15" hidden="1" customHeight="1">
      <c r="AB15039" s="9"/>
      <c r="AC15039" s="9"/>
      <c r="AD15039" s="9"/>
      <c r="AF15039" s="10"/>
      <c r="AG15039" s="10"/>
      <c r="AH15039" s="10"/>
      <c r="AI15039" s="10"/>
    </row>
    <row r="15040" spans="28:35" ht="15" hidden="1" customHeight="1">
      <c r="AB15040" s="9"/>
      <c r="AC15040" s="9"/>
      <c r="AD15040" s="9"/>
      <c r="AF15040" s="10"/>
      <c r="AG15040" s="10"/>
      <c r="AH15040" s="10"/>
      <c r="AI15040" s="10"/>
    </row>
    <row r="15041" spans="28:35" ht="15" hidden="1" customHeight="1">
      <c r="AB15041" s="9"/>
      <c r="AC15041" s="9"/>
      <c r="AD15041" s="9"/>
      <c r="AF15041" s="10"/>
      <c r="AG15041" s="10"/>
      <c r="AH15041" s="10"/>
      <c r="AI15041" s="10"/>
    </row>
    <row r="15042" spans="28:35" ht="15" hidden="1" customHeight="1">
      <c r="AB15042" s="9"/>
      <c r="AC15042" s="9"/>
      <c r="AD15042" s="9"/>
      <c r="AF15042" s="10"/>
      <c r="AG15042" s="10"/>
      <c r="AH15042" s="10"/>
      <c r="AI15042" s="10"/>
    </row>
    <row r="15043" spans="28:35" ht="15" hidden="1" customHeight="1">
      <c r="AB15043" s="9"/>
      <c r="AC15043" s="9"/>
      <c r="AD15043" s="9"/>
      <c r="AF15043" s="10"/>
      <c r="AG15043" s="10"/>
      <c r="AH15043" s="10"/>
      <c r="AI15043" s="10"/>
    </row>
    <row r="15044" spans="28:35" ht="15" hidden="1" customHeight="1">
      <c r="AB15044" s="9"/>
      <c r="AC15044" s="9"/>
      <c r="AD15044" s="9"/>
      <c r="AF15044" s="10"/>
      <c r="AG15044" s="10"/>
      <c r="AH15044" s="10"/>
      <c r="AI15044" s="10"/>
    </row>
    <row r="15045" spans="28:35" ht="15" hidden="1" customHeight="1">
      <c r="AB15045" s="9"/>
      <c r="AC15045" s="9"/>
      <c r="AD15045" s="9"/>
      <c r="AF15045" s="10"/>
      <c r="AG15045" s="10"/>
      <c r="AH15045" s="10"/>
      <c r="AI15045" s="10"/>
    </row>
    <row r="15046" spans="28:35" ht="15" hidden="1" customHeight="1">
      <c r="AB15046" s="9"/>
      <c r="AC15046" s="9"/>
      <c r="AD15046" s="9"/>
      <c r="AF15046" s="10"/>
      <c r="AG15046" s="10"/>
      <c r="AH15046" s="10"/>
      <c r="AI15046" s="10"/>
    </row>
    <row r="15047" spans="28:35" ht="15" hidden="1" customHeight="1">
      <c r="AB15047" s="9"/>
      <c r="AC15047" s="9"/>
      <c r="AD15047" s="9"/>
      <c r="AF15047" s="10"/>
      <c r="AG15047" s="10"/>
      <c r="AH15047" s="10"/>
      <c r="AI15047" s="10"/>
    </row>
    <row r="15048" spans="28:35" ht="15" hidden="1" customHeight="1">
      <c r="AB15048" s="9"/>
      <c r="AC15048" s="9"/>
      <c r="AD15048" s="9"/>
      <c r="AF15048" s="10"/>
      <c r="AG15048" s="10"/>
      <c r="AH15048" s="10"/>
      <c r="AI15048" s="10"/>
    </row>
    <row r="15049" spans="28:35" ht="15" hidden="1" customHeight="1">
      <c r="AB15049" s="9"/>
      <c r="AC15049" s="9"/>
      <c r="AD15049" s="9"/>
      <c r="AF15049" s="10"/>
      <c r="AG15049" s="10"/>
      <c r="AH15049" s="10"/>
      <c r="AI15049" s="10"/>
    </row>
    <row r="15050" spans="28:35" ht="15" hidden="1" customHeight="1">
      <c r="AB15050" s="9"/>
      <c r="AC15050" s="9"/>
      <c r="AD15050" s="9"/>
      <c r="AF15050" s="10"/>
      <c r="AG15050" s="10"/>
      <c r="AH15050" s="10"/>
      <c r="AI15050" s="10"/>
    </row>
    <row r="15051" spans="28:35" ht="15" hidden="1" customHeight="1">
      <c r="AB15051" s="9"/>
      <c r="AC15051" s="9"/>
      <c r="AD15051" s="9"/>
      <c r="AF15051" s="10"/>
      <c r="AG15051" s="10"/>
      <c r="AH15051" s="10"/>
      <c r="AI15051" s="10"/>
    </row>
    <row r="15052" spans="28:35" ht="15" hidden="1" customHeight="1">
      <c r="AB15052" s="9"/>
      <c r="AC15052" s="9"/>
      <c r="AD15052" s="9"/>
      <c r="AF15052" s="10"/>
      <c r="AG15052" s="10"/>
      <c r="AH15052" s="10"/>
      <c r="AI15052" s="10"/>
    </row>
    <row r="15053" spans="28:35" ht="15" hidden="1" customHeight="1">
      <c r="AB15053" s="9"/>
      <c r="AC15053" s="9"/>
      <c r="AD15053" s="9"/>
      <c r="AF15053" s="10"/>
      <c r="AG15053" s="10"/>
      <c r="AH15053" s="10"/>
      <c r="AI15053" s="10"/>
    </row>
    <row r="15054" spans="28:35" ht="15" hidden="1" customHeight="1">
      <c r="AB15054" s="9"/>
      <c r="AC15054" s="9"/>
      <c r="AD15054" s="9"/>
      <c r="AF15054" s="10"/>
      <c r="AG15054" s="10"/>
      <c r="AH15054" s="10"/>
      <c r="AI15054" s="10"/>
    </row>
    <row r="15055" spans="28:35" ht="15" hidden="1" customHeight="1">
      <c r="AB15055" s="9"/>
      <c r="AC15055" s="9"/>
      <c r="AD15055" s="9"/>
      <c r="AF15055" s="10"/>
      <c r="AG15055" s="10"/>
      <c r="AH15055" s="10"/>
      <c r="AI15055" s="10"/>
    </row>
    <row r="15056" spans="28:35" ht="15" hidden="1" customHeight="1">
      <c r="AB15056" s="9"/>
      <c r="AC15056" s="9"/>
      <c r="AD15056" s="9"/>
      <c r="AF15056" s="10"/>
      <c r="AG15056" s="10"/>
      <c r="AH15056" s="10"/>
      <c r="AI15056" s="10"/>
    </row>
    <row r="15057" spans="28:35" ht="15" hidden="1" customHeight="1">
      <c r="AB15057" s="9"/>
      <c r="AC15057" s="9"/>
      <c r="AD15057" s="9"/>
      <c r="AF15057" s="10"/>
      <c r="AG15057" s="10"/>
      <c r="AH15057" s="10"/>
      <c r="AI15057" s="10"/>
    </row>
    <row r="15058" spans="28:35" ht="15" hidden="1" customHeight="1">
      <c r="AB15058" s="9"/>
      <c r="AC15058" s="9"/>
      <c r="AD15058" s="9"/>
      <c r="AF15058" s="10"/>
      <c r="AG15058" s="10"/>
      <c r="AH15058" s="10"/>
      <c r="AI15058" s="10"/>
    </row>
    <row r="15059" spans="28:35" ht="15" hidden="1" customHeight="1">
      <c r="AB15059" s="9"/>
      <c r="AC15059" s="9"/>
      <c r="AD15059" s="9"/>
      <c r="AF15059" s="10"/>
      <c r="AG15059" s="10"/>
      <c r="AH15059" s="10"/>
      <c r="AI15059" s="10"/>
    </row>
    <row r="15060" spans="28:35" ht="15" hidden="1" customHeight="1">
      <c r="AB15060" s="9"/>
      <c r="AC15060" s="9"/>
      <c r="AD15060" s="9"/>
      <c r="AF15060" s="10"/>
      <c r="AG15060" s="10"/>
      <c r="AH15060" s="10"/>
      <c r="AI15060" s="10"/>
    </row>
    <row r="15061" spans="28:35" ht="15" hidden="1" customHeight="1">
      <c r="AB15061" s="9"/>
      <c r="AC15061" s="9"/>
      <c r="AD15061" s="9"/>
      <c r="AF15061" s="10"/>
      <c r="AG15061" s="10"/>
      <c r="AH15061" s="10"/>
      <c r="AI15061" s="10"/>
    </row>
    <row r="15062" spans="28:35" ht="15" hidden="1" customHeight="1">
      <c r="AB15062" s="9"/>
      <c r="AC15062" s="9"/>
      <c r="AD15062" s="9"/>
      <c r="AF15062" s="10"/>
      <c r="AG15062" s="10"/>
      <c r="AH15062" s="10"/>
      <c r="AI15062" s="10"/>
    </row>
    <row r="15063" spans="28:35" ht="15" hidden="1" customHeight="1">
      <c r="AB15063" s="9"/>
      <c r="AC15063" s="9"/>
      <c r="AD15063" s="9"/>
      <c r="AF15063" s="10"/>
      <c r="AG15063" s="10"/>
      <c r="AH15063" s="10"/>
      <c r="AI15063" s="10"/>
    </row>
    <row r="15064" spans="28:35" ht="15" hidden="1" customHeight="1">
      <c r="AB15064" s="9"/>
      <c r="AC15064" s="9"/>
      <c r="AD15064" s="9"/>
      <c r="AF15064" s="10"/>
      <c r="AG15064" s="10"/>
      <c r="AH15064" s="10"/>
      <c r="AI15064" s="10"/>
    </row>
    <row r="15065" spans="28:35" ht="15" hidden="1" customHeight="1">
      <c r="AB15065" s="9"/>
      <c r="AC15065" s="9"/>
      <c r="AD15065" s="9"/>
      <c r="AF15065" s="10"/>
      <c r="AG15065" s="10"/>
      <c r="AH15065" s="10"/>
      <c r="AI15065" s="10"/>
    </row>
    <row r="15066" spans="28:35" ht="15" hidden="1" customHeight="1">
      <c r="AB15066" s="9"/>
      <c r="AC15066" s="9"/>
      <c r="AD15066" s="9"/>
      <c r="AF15066" s="10"/>
      <c r="AG15066" s="10"/>
      <c r="AH15066" s="10"/>
      <c r="AI15066" s="10"/>
    </row>
    <row r="15067" spans="28:35" ht="15" hidden="1" customHeight="1">
      <c r="AB15067" s="9"/>
      <c r="AC15067" s="9"/>
      <c r="AD15067" s="9"/>
      <c r="AF15067" s="10"/>
      <c r="AG15067" s="10"/>
      <c r="AH15067" s="10"/>
      <c r="AI15067" s="10"/>
    </row>
    <row r="15068" spans="28:35" ht="15" hidden="1" customHeight="1">
      <c r="AB15068" s="9"/>
      <c r="AC15068" s="9"/>
      <c r="AD15068" s="9"/>
      <c r="AF15068" s="10"/>
      <c r="AG15068" s="10"/>
      <c r="AH15068" s="10"/>
      <c r="AI15068" s="10"/>
    </row>
    <row r="15069" spans="28:35" ht="15" hidden="1" customHeight="1">
      <c r="AB15069" s="9"/>
      <c r="AC15069" s="9"/>
      <c r="AD15069" s="9"/>
      <c r="AF15069" s="10"/>
      <c r="AG15069" s="10"/>
      <c r="AH15069" s="10"/>
      <c r="AI15069" s="10"/>
    </row>
    <row r="15070" spans="28:35" ht="15" hidden="1" customHeight="1">
      <c r="AB15070" s="9"/>
      <c r="AC15070" s="9"/>
      <c r="AD15070" s="9"/>
      <c r="AF15070" s="10"/>
      <c r="AG15070" s="10"/>
      <c r="AH15070" s="10"/>
      <c r="AI15070" s="10"/>
    </row>
    <row r="15071" spans="28:35" ht="15" hidden="1" customHeight="1">
      <c r="AB15071" s="9"/>
      <c r="AC15071" s="9"/>
      <c r="AD15071" s="9"/>
      <c r="AF15071" s="10"/>
      <c r="AG15071" s="10"/>
      <c r="AH15071" s="10"/>
      <c r="AI15071" s="10"/>
    </row>
    <row r="15072" spans="28:35" ht="15" hidden="1" customHeight="1">
      <c r="AB15072" s="9"/>
      <c r="AC15072" s="9"/>
      <c r="AD15072" s="9"/>
      <c r="AF15072" s="10"/>
      <c r="AG15072" s="10"/>
      <c r="AH15072" s="10"/>
      <c r="AI15072" s="10"/>
    </row>
    <row r="15073" spans="28:35" ht="15" hidden="1" customHeight="1">
      <c r="AB15073" s="9"/>
      <c r="AC15073" s="9"/>
      <c r="AD15073" s="9"/>
      <c r="AF15073" s="10"/>
      <c r="AG15073" s="10"/>
      <c r="AH15073" s="10"/>
      <c r="AI15073" s="10"/>
    </row>
    <row r="15074" spans="28:35" ht="15" hidden="1" customHeight="1">
      <c r="AB15074" s="9"/>
      <c r="AC15074" s="9"/>
      <c r="AD15074" s="9"/>
      <c r="AF15074" s="10"/>
      <c r="AG15074" s="10"/>
      <c r="AH15074" s="10"/>
      <c r="AI15074" s="10"/>
    </row>
    <row r="15075" spans="28:35" ht="15" hidden="1" customHeight="1">
      <c r="AB15075" s="9"/>
      <c r="AC15075" s="9"/>
      <c r="AD15075" s="9"/>
      <c r="AF15075" s="10"/>
      <c r="AG15075" s="10"/>
      <c r="AH15075" s="10"/>
      <c r="AI15075" s="10"/>
    </row>
    <row r="15076" spans="28:35" ht="15" hidden="1" customHeight="1">
      <c r="AB15076" s="9"/>
      <c r="AC15076" s="9"/>
      <c r="AD15076" s="9"/>
      <c r="AF15076" s="10"/>
      <c r="AG15076" s="10"/>
      <c r="AH15076" s="10"/>
      <c r="AI15076" s="10"/>
    </row>
    <row r="15077" spans="28:35" ht="15" hidden="1" customHeight="1">
      <c r="AB15077" s="9"/>
      <c r="AC15077" s="9"/>
      <c r="AD15077" s="9"/>
      <c r="AF15077" s="10"/>
      <c r="AG15077" s="10"/>
      <c r="AH15077" s="10"/>
      <c r="AI15077" s="10"/>
    </row>
    <row r="15078" spans="28:35" ht="15" hidden="1" customHeight="1">
      <c r="AB15078" s="9"/>
      <c r="AC15078" s="9"/>
      <c r="AD15078" s="9"/>
      <c r="AF15078" s="10"/>
      <c r="AG15078" s="10"/>
      <c r="AH15078" s="10"/>
      <c r="AI15078" s="10"/>
    </row>
    <row r="15079" spans="28:35" ht="15" hidden="1" customHeight="1">
      <c r="AB15079" s="9"/>
      <c r="AC15079" s="9"/>
      <c r="AD15079" s="9"/>
      <c r="AF15079" s="10"/>
      <c r="AG15079" s="10"/>
      <c r="AH15079" s="10"/>
      <c r="AI15079" s="10"/>
    </row>
    <row r="15080" spans="28:35" ht="15" hidden="1" customHeight="1">
      <c r="AB15080" s="9"/>
      <c r="AC15080" s="9"/>
      <c r="AD15080" s="9"/>
      <c r="AF15080" s="10"/>
      <c r="AG15080" s="10"/>
      <c r="AH15080" s="10"/>
      <c r="AI15080" s="10"/>
    </row>
    <row r="15081" spans="28:35" ht="15" hidden="1" customHeight="1">
      <c r="AB15081" s="9"/>
      <c r="AC15081" s="9"/>
      <c r="AD15081" s="9"/>
      <c r="AF15081" s="10"/>
      <c r="AG15081" s="10"/>
      <c r="AH15081" s="10"/>
      <c r="AI15081" s="10"/>
    </row>
    <row r="15082" spans="28:35" ht="15" hidden="1" customHeight="1">
      <c r="AB15082" s="9"/>
      <c r="AC15082" s="9"/>
      <c r="AD15082" s="9"/>
      <c r="AF15082" s="10"/>
      <c r="AG15082" s="10"/>
      <c r="AH15082" s="10"/>
      <c r="AI15082" s="10"/>
    </row>
    <row r="15083" spans="28:35" ht="15" hidden="1" customHeight="1">
      <c r="AB15083" s="9"/>
      <c r="AC15083" s="9"/>
      <c r="AD15083" s="9"/>
      <c r="AF15083" s="10"/>
      <c r="AG15083" s="10"/>
      <c r="AH15083" s="10"/>
      <c r="AI15083" s="10"/>
    </row>
    <row r="15084" spans="28:35" ht="15" hidden="1" customHeight="1">
      <c r="AB15084" s="9"/>
      <c r="AC15084" s="9"/>
      <c r="AD15084" s="9"/>
      <c r="AF15084" s="10"/>
      <c r="AG15084" s="10"/>
      <c r="AH15084" s="10"/>
      <c r="AI15084" s="10"/>
    </row>
    <row r="15085" spans="28:35" ht="15" hidden="1" customHeight="1">
      <c r="AB15085" s="9"/>
      <c r="AC15085" s="9"/>
      <c r="AD15085" s="9"/>
      <c r="AF15085" s="10"/>
      <c r="AG15085" s="10"/>
      <c r="AH15085" s="10"/>
      <c r="AI15085" s="10"/>
    </row>
    <row r="15086" spans="28:35" ht="15" hidden="1" customHeight="1">
      <c r="AB15086" s="9"/>
      <c r="AC15086" s="9"/>
      <c r="AD15086" s="9"/>
      <c r="AF15086" s="10"/>
      <c r="AG15086" s="10"/>
      <c r="AH15086" s="10"/>
      <c r="AI15086" s="10"/>
    </row>
    <row r="15087" spans="28:35" ht="15" hidden="1" customHeight="1">
      <c r="AB15087" s="9"/>
      <c r="AC15087" s="9"/>
      <c r="AD15087" s="9"/>
      <c r="AF15087" s="10"/>
      <c r="AG15087" s="10"/>
      <c r="AH15087" s="10"/>
      <c r="AI15087" s="10"/>
    </row>
    <row r="15088" spans="28:35" ht="15" hidden="1" customHeight="1">
      <c r="AB15088" s="9"/>
      <c r="AC15088" s="9"/>
      <c r="AD15088" s="9"/>
      <c r="AF15088" s="10"/>
      <c r="AG15088" s="10"/>
      <c r="AH15088" s="10"/>
      <c r="AI15088" s="10"/>
    </row>
    <row r="15089" spans="28:35" ht="15" hidden="1" customHeight="1">
      <c r="AB15089" s="9"/>
      <c r="AC15089" s="9"/>
      <c r="AD15089" s="9"/>
      <c r="AF15089" s="10"/>
      <c r="AG15089" s="10"/>
      <c r="AH15089" s="10"/>
      <c r="AI15089" s="10"/>
    </row>
    <row r="15090" spans="28:35" ht="15" hidden="1" customHeight="1">
      <c r="AB15090" s="9"/>
      <c r="AC15090" s="9"/>
      <c r="AD15090" s="9"/>
      <c r="AF15090" s="10"/>
      <c r="AG15090" s="10"/>
      <c r="AH15090" s="10"/>
      <c r="AI15090" s="10"/>
    </row>
    <row r="15091" spans="28:35" ht="15" hidden="1" customHeight="1">
      <c r="AB15091" s="9"/>
      <c r="AC15091" s="9"/>
      <c r="AD15091" s="9"/>
      <c r="AF15091" s="10"/>
      <c r="AG15091" s="10"/>
      <c r="AH15091" s="10"/>
      <c r="AI15091" s="10"/>
    </row>
    <row r="15092" spans="28:35" ht="15" hidden="1" customHeight="1">
      <c r="AB15092" s="9"/>
      <c r="AC15092" s="9"/>
      <c r="AD15092" s="9"/>
      <c r="AF15092" s="10"/>
      <c r="AG15092" s="10"/>
      <c r="AH15092" s="10"/>
      <c r="AI15092" s="10"/>
    </row>
    <row r="15093" spans="28:35" ht="15" hidden="1" customHeight="1">
      <c r="AB15093" s="9"/>
      <c r="AC15093" s="9"/>
      <c r="AD15093" s="9"/>
      <c r="AF15093" s="10"/>
      <c r="AG15093" s="10"/>
      <c r="AH15093" s="10"/>
      <c r="AI15093" s="10"/>
    </row>
    <row r="15094" spans="28:35" ht="15" hidden="1" customHeight="1">
      <c r="AB15094" s="9"/>
      <c r="AC15094" s="9"/>
      <c r="AD15094" s="9"/>
      <c r="AF15094" s="10"/>
      <c r="AG15094" s="10"/>
      <c r="AH15094" s="10"/>
      <c r="AI15094" s="10"/>
    </row>
    <row r="15095" spans="28:35" ht="15" hidden="1" customHeight="1">
      <c r="AB15095" s="9"/>
      <c r="AC15095" s="9"/>
      <c r="AD15095" s="9"/>
      <c r="AF15095" s="10"/>
      <c r="AG15095" s="10"/>
      <c r="AH15095" s="10"/>
      <c r="AI15095" s="10"/>
    </row>
    <row r="15096" spans="28:35" ht="15" hidden="1" customHeight="1">
      <c r="AB15096" s="9"/>
      <c r="AC15096" s="9"/>
      <c r="AD15096" s="9"/>
      <c r="AF15096" s="10"/>
      <c r="AG15096" s="10"/>
      <c r="AH15096" s="10"/>
      <c r="AI15096" s="10"/>
    </row>
    <row r="15097" spans="28:35" ht="15" hidden="1" customHeight="1">
      <c r="AB15097" s="9"/>
      <c r="AC15097" s="9"/>
      <c r="AD15097" s="9"/>
      <c r="AF15097" s="10"/>
      <c r="AG15097" s="10"/>
      <c r="AH15097" s="10"/>
      <c r="AI15097" s="10"/>
    </row>
    <row r="15098" spans="28:35" ht="15" hidden="1" customHeight="1">
      <c r="AB15098" s="9"/>
      <c r="AC15098" s="9"/>
      <c r="AD15098" s="9"/>
      <c r="AF15098" s="10"/>
      <c r="AG15098" s="10"/>
      <c r="AH15098" s="10"/>
      <c r="AI15098" s="10"/>
    </row>
    <row r="15099" spans="28:35" ht="15" hidden="1" customHeight="1">
      <c r="AB15099" s="9"/>
      <c r="AC15099" s="9"/>
      <c r="AD15099" s="9"/>
      <c r="AF15099" s="10"/>
      <c r="AG15099" s="10"/>
      <c r="AH15099" s="10"/>
      <c r="AI15099" s="10"/>
    </row>
    <row r="15100" spans="28:35" ht="15" hidden="1" customHeight="1">
      <c r="AB15100" s="9"/>
      <c r="AC15100" s="9"/>
      <c r="AD15100" s="9"/>
      <c r="AF15100" s="10"/>
      <c r="AG15100" s="10"/>
      <c r="AH15100" s="10"/>
      <c r="AI15100" s="10"/>
    </row>
    <row r="15101" spans="28:35" ht="15" hidden="1" customHeight="1">
      <c r="AB15101" s="9"/>
      <c r="AC15101" s="9"/>
      <c r="AD15101" s="9"/>
      <c r="AF15101" s="10"/>
      <c r="AG15101" s="10"/>
      <c r="AH15101" s="10"/>
      <c r="AI15101" s="10"/>
    </row>
    <row r="15102" spans="28:35" ht="15" hidden="1" customHeight="1">
      <c r="AB15102" s="9"/>
      <c r="AC15102" s="9"/>
      <c r="AD15102" s="9"/>
      <c r="AF15102" s="10"/>
      <c r="AG15102" s="10"/>
      <c r="AH15102" s="10"/>
      <c r="AI15102" s="10"/>
    </row>
    <row r="15103" spans="28:35" ht="15" hidden="1" customHeight="1">
      <c r="AB15103" s="9"/>
      <c r="AC15103" s="9"/>
      <c r="AD15103" s="9"/>
      <c r="AF15103" s="10"/>
      <c r="AG15103" s="10"/>
      <c r="AH15103" s="10"/>
      <c r="AI15103" s="10"/>
    </row>
    <row r="15104" spans="28:35" ht="15" hidden="1" customHeight="1">
      <c r="AB15104" s="9"/>
      <c r="AC15104" s="9"/>
      <c r="AD15104" s="9"/>
      <c r="AF15104" s="10"/>
      <c r="AG15104" s="10"/>
      <c r="AH15104" s="10"/>
      <c r="AI15104" s="10"/>
    </row>
    <row r="15105" spans="28:35" ht="15" hidden="1" customHeight="1">
      <c r="AB15105" s="9"/>
      <c r="AC15105" s="9"/>
      <c r="AD15105" s="9"/>
      <c r="AF15105" s="10"/>
      <c r="AG15105" s="10"/>
      <c r="AH15105" s="10"/>
      <c r="AI15105" s="10"/>
    </row>
    <row r="15106" spans="28:35" ht="15" hidden="1" customHeight="1">
      <c r="AB15106" s="9"/>
      <c r="AC15106" s="9"/>
      <c r="AD15106" s="9"/>
      <c r="AF15106" s="10"/>
      <c r="AG15106" s="10"/>
      <c r="AH15106" s="10"/>
      <c r="AI15106" s="10"/>
    </row>
    <row r="15107" spans="28:35" ht="15" hidden="1" customHeight="1">
      <c r="AB15107" s="9"/>
      <c r="AC15107" s="9"/>
      <c r="AD15107" s="9"/>
      <c r="AF15107" s="10"/>
      <c r="AG15107" s="10"/>
      <c r="AH15107" s="10"/>
      <c r="AI15107" s="10"/>
    </row>
    <row r="15108" spans="28:35" ht="15" hidden="1" customHeight="1">
      <c r="AB15108" s="9"/>
      <c r="AC15108" s="9"/>
      <c r="AD15108" s="9"/>
      <c r="AF15108" s="10"/>
      <c r="AG15108" s="10"/>
      <c r="AH15108" s="10"/>
      <c r="AI15108" s="10"/>
    </row>
    <row r="15109" spans="28:35" ht="15" hidden="1" customHeight="1">
      <c r="AB15109" s="9"/>
      <c r="AC15109" s="9"/>
      <c r="AD15109" s="9"/>
      <c r="AF15109" s="10"/>
      <c r="AG15109" s="10"/>
      <c r="AH15109" s="10"/>
      <c r="AI15109" s="10"/>
    </row>
    <row r="15110" spans="28:35" ht="15" hidden="1" customHeight="1">
      <c r="AB15110" s="9"/>
      <c r="AC15110" s="9"/>
      <c r="AD15110" s="9"/>
      <c r="AF15110" s="10"/>
      <c r="AG15110" s="10"/>
      <c r="AH15110" s="10"/>
      <c r="AI15110" s="10"/>
    </row>
    <row r="15111" spans="28:35" ht="15" hidden="1" customHeight="1">
      <c r="AB15111" s="9"/>
      <c r="AC15111" s="9"/>
      <c r="AD15111" s="9"/>
      <c r="AF15111" s="10"/>
      <c r="AG15111" s="10"/>
      <c r="AH15111" s="10"/>
      <c r="AI15111" s="10"/>
    </row>
    <row r="15112" spans="28:35" ht="15" hidden="1" customHeight="1">
      <c r="AB15112" s="9"/>
      <c r="AC15112" s="9"/>
      <c r="AD15112" s="9"/>
      <c r="AF15112" s="10"/>
      <c r="AG15112" s="10"/>
      <c r="AH15112" s="10"/>
      <c r="AI15112" s="10"/>
    </row>
    <row r="15113" spans="28:35" ht="15" hidden="1" customHeight="1">
      <c r="AB15113" s="9"/>
      <c r="AC15113" s="9"/>
      <c r="AD15113" s="9"/>
      <c r="AF15113" s="10"/>
      <c r="AG15113" s="10"/>
      <c r="AH15113" s="10"/>
      <c r="AI15113" s="10"/>
    </row>
    <row r="15114" spans="28:35" ht="15" hidden="1" customHeight="1">
      <c r="AB15114" s="9"/>
      <c r="AC15114" s="9"/>
      <c r="AD15114" s="9"/>
      <c r="AF15114" s="10"/>
      <c r="AG15114" s="10"/>
      <c r="AH15114" s="10"/>
      <c r="AI15114" s="10"/>
    </row>
    <row r="15115" spans="28:35" ht="15" hidden="1" customHeight="1">
      <c r="AB15115" s="9"/>
      <c r="AC15115" s="9"/>
      <c r="AD15115" s="9"/>
      <c r="AF15115" s="10"/>
      <c r="AG15115" s="10"/>
      <c r="AH15115" s="10"/>
      <c r="AI15115" s="10"/>
    </row>
    <row r="15116" spans="28:35" ht="15" hidden="1" customHeight="1">
      <c r="AB15116" s="9"/>
      <c r="AC15116" s="9"/>
      <c r="AD15116" s="9"/>
      <c r="AF15116" s="10"/>
      <c r="AG15116" s="10"/>
      <c r="AH15116" s="10"/>
      <c r="AI15116" s="10"/>
    </row>
    <row r="15117" spans="28:35" ht="15" hidden="1" customHeight="1">
      <c r="AB15117" s="9"/>
      <c r="AC15117" s="9"/>
      <c r="AD15117" s="9"/>
      <c r="AF15117" s="10"/>
      <c r="AG15117" s="10"/>
      <c r="AH15117" s="10"/>
      <c r="AI15117" s="10"/>
    </row>
    <row r="15118" spans="28:35" ht="15" hidden="1" customHeight="1">
      <c r="AB15118" s="9"/>
      <c r="AC15118" s="9"/>
      <c r="AD15118" s="9"/>
      <c r="AF15118" s="10"/>
      <c r="AG15118" s="10"/>
      <c r="AH15118" s="10"/>
      <c r="AI15118" s="10"/>
    </row>
    <row r="15119" spans="28:35" ht="15" hidden="1" customHeight="1">
      <c r="AB15119" s="9"/>
      <c r="AC15119" s="9"/>
      <c r="AD15119" s="9"/>
      <c r="AF15119" s="10"/>
      <c r="AG15119" s="10"/>
      <c r="AH15119" s="10"/>
      <c r="AI15119" s="10"/>
    </row>
    <row r="15120" spans="28:35" ht="15" hidden="1" customHeight="1">
      <c r="AB15120" s="9"/>
      <c r="AC15120" s="9"/>
      <c r="AD15120" s="9"/>
      <c r="AF15120" s="10"/>
      <c r="AG15120" s="10"/>
      <c r="AH15120" s="10"/>
      <c r="AI15120" s="10"/>
    </row>
    <row r="15121" spans="28:35" ht="15" hidden="1" customHeight="1">
      <c r="AB15121" s="9"/>
      <c r="AC15121" s="9"/>
      <c r="AD15121" s="9"/>
      <c r="AF15121" s="10"/>
      <c r="AG15121" s="10"/>
      <c r="AH15121" s="10"/>
      <c r="AI15121" s="10"/>
    </row>
    <row r="15122" spans="28:35" ht="15" hidden="1" customHeight="1">
      <c r="AB15122" s="9"/>
      <c r="AC15122" s="9"/>
      <c r="AD15122" s="9"/>
      <c r="AF15122" s="10"/>
      <c r="AG15122" s="10"/>
      <c r="AH15122" s="10"/>
      <c r="AI15122" s="10"/>
    </row>
    <row r="15123" spans="28:35" ht="15" hidden="1" customHeight="1">
      <c r="AB15123" s="9"/>
      <c r="AC15123" s="9"/>
      <c r="AD15123" s="9"/>
      <c r="AF15123" s="10"/>
      <c r="AG15123" s="10"/>
      <c r="AH15123" s="10"/>
      <c r="AI15123" s="10"/>
    </row>
    <row r="15124" spans="28:35" ht="15" hidden="1" customHeight="1">
      <c r="AB15124" s="9"/>
      <c r="AC15124" s="9"/>
      <c r="AD15124" s="9"/>
      <c r="AF15124" s="10"/>
      <c r="AG15124" s="10"/>
      <c r="AH15124" s="10"/>
      <c r="AI15124" s="10"/>
    </row>
    <row r="15125" spans="28:35" ht="15" hidden="1" customHeight="1">
      <c r="AB15125" s="9"/>
      <c r="AC15125" s="9"/>
      <c r="AD15125" s="9"/>
      <c r="AF15125" s="10"/>
      <c r="AG15125" s="10"/>
      <c r="AH15125" s="10"/>
      <c r="AI15125" s="10"/>
    </row>
    <row r="15126" spans="28:35" ht="15" hidden="1" customHeight="1">
      <c r="AB15126" s="9"/>
      <c r="AC15126" s="9"/>
      <c r="AD15126" s="9"/>
      <c r="AF15126" s="10"/>
      <c r="AG15126" s="10"/>
      <c r="AH15126" s="10"/>
      <c r="AI15126" s="10"/>
    </row>
    <row r="15127" spans="28:35" ht="15" hidden="1" customHeight="1">
      <c r="AB15127" s="9"/>
      <c r="AC15127" s="9"/>
      <c r="AD15127" s="9"/>
      <c r="AF15127" s="10"/>
      <c r="AG15127" s="10"/>
      <c r="AH15127" s="10"/>
      <c r="AI15127" s="10"/>
    </row>
    <row r="15128" spans="28:35" ht="15" hidden="1" customHeight="1">
      <c r="AB15128" s="9"/>
      <c r="AC15128" s="9"/>
      <c r="AD15128" s="9"/>
      <c r="AF15128" s="10"/>
      <c r="AG15128" s="10"/>
      <c r="AH15128" s="10"/>
      <c r="AI15128" s="10"/>
    </row>
    <row r="15129" spans="28:35" ht="15" hidden="1" customHeight="1">
      <c r="AB15129" s="9"/>
      <c r="AC15129" s="9"/>
      <c r="AD15129" s="9"/>
      <c r="AF15129" s="10"/>
      <c r="AG15129" s="10"/>
      <c r="AH15129" s="10"/>
      <c r="AI15129" s="10"/>
    </row>
    <row r="15130" spans="28:35" ht="15" hidden="1" customHeight="1">
      <c r="AB15130" s="9"/>
      <c r="AC15130" s="9"/>
      <c r="AD15130" s="9"/>
      <c r="AF15130" s="10"/>
      <c r="AG15130" s="10"/>
      <c r="AH15130" s="10"/>
      <c r="AI15130" s="10"/>
    </row>
    <row r="15131" spans="28:35" ht="15" hidden="1" customHeight="1">
      <c r="AB15131" s="9"/>
      <c r="AC15131" s="9"/>
      <c r="AD15131" s="9"/>
      <c r="AF15131" s="10"/>
      <c r="AG15131" s="10"/>
      <c r="AH15131" s="10"/>
      <c r="AI15131" s="10"/>
    </row>
    <row r="15132" spans="28:35" ht="15" hidden="1" customHeight="1">
      <c r="AB15132" s="9"/>
      <c r="AC15132" s="9"/>
      <c r="AD15132" s="9"/>
      <c r="AF15132" s="10"/>
      <c r="AG15132" s="10"/>
      <c r="AH15132" s="10"/>
      <c r="AI15132" s="10"/>
    </row>
    <row r="15133" spans="28:35" ht="15" hidden="1" customHeight="1">
      <c r="AB15133" s="9"/>
      <c r="AC15133" s="9"/>
      <c r="AD15133" s="9"/>
      <c r="AF15133" s="10"/>
      <c r="AG15133" s="10"/>
      <c r="AH15133" s="10"/>
      <c r="AI15133" s="10"/>
    </row>
    <row r="15134" spans="28:35" ht="15" hidden="1" customHeight="1">
      <c r="AB15134" s="9"/>
      <c r="AC15134" s="9"/>
      <c r="AD15134" s="9"/>
      <c r="AF15134" s="10"/>
      <c r="AG15134" s="10"/>
      <c r="AH15134" s="10"/>
      <c r="AI15134" s="10"/>
    </row>
    <row r="15135" spans="28:35" ht="15" hidden="1" customHeight="1">
      <c r="AB15135" s="9"/>
      <c r="AC15135" s="9"/>
      <c r="AD15135" s="9"/>
      <c r="AF15135" s="10"/>
      <c r="AG15135" s="10"/>
      <c r="AH15135" s="10"/>
      <c r="AI15135" s="10"/>
    </row>
    <row r="15136" spans="28:35" ht="15" hidden="1" customHeight="1">
      <c r="AB15136" s="9"/>
      <c r="AC15136" s="9"/>
      <c r="AD15136" s="9"/>
      <c r="AF15136" s="10"/>
      <c r="AG15136" s="10"/>
      <c r="AH15136" s="10"/>
      <c r="AI15136" s="10"/>
    </row>
    <row r="15137" spans="28:35" ht="15" hidden="1" customHeight="1">
      <c r="AB15137" s="9"/>
      <c r="AC15137" s="9"/>
      <c r="AD15137" s="9"/>
      <c r="AF15137" s="10"/>
      <c r="AG15137" s="10"/>
      <c r="AH15137" s="10"/>
      <c r="AI15137" s="10"/>
    </row>
    <row r="15138" spans="28:35" ht="15" hidden="1" customHeight="1">
      <c r="AB15138" s="9"/>
      <c r="AC15138" s="9"/>
      <c r="AD15138" s="9"/>
      <c r="AF15138" s="10"/>
      <c r="AG15138" s="10"/>
      <c r="AH15138" s="10"/>
      <c r="AI15138" s="10"/>
    </row>
    <row r="15139" spans="28:35" ht="15" hidden="1" customHeight="1">
      <c r="AB15139" s="9"/>
      <c r="AC15139" s="9"/>
      <c r="AD15139" s="9"/>
      <c r="AF15139" s="10"/>
      <c r="AG15139" s="10"/>
      <c r="AH15139" s="10"/>
      <c r="AI15139" s="10"/>
    </row>
    <row r="15140" spans="28:35" ht="15" hidden="1" customHeight="1">
      <c r="AB15140" s="9"/>
      <c r="AC15140" s="9"/>
      <c r="AD15140" s="9"/>
      <c r="AF15140" s="10"/>
      <c r="AG15140" s="10"/>
      <c r="AH15140" s="10"/>
      <c r="AI15140" s="10"/>
    </row>
    <row r="15141" spans="28:35" ht="15" hidden="1" customHeight="1">
      <c r="AB15141" s="9"/>
      <c r="AC15141" s="9"/>
      <c r="AD15141" s="9"/>
      <c r="AF15141" s="10"/>
      <c r="AG15141" s="10"/>
      <c r="AH15141" s="10"/>
      <c r="AI15141" s="10"/>
    </row>
    <row r="15142" spans="28:35" ht="15" hidden="1" customHeight="1">
      <c r="AB15142" s="9"/>
      <c r="AC15142" s="9"/>
      <c r="AD15142" s="9"/>
      <c r="AF15142" s="10"/>
      <c r="AG15142" s="10"/>
      <c r="AH15142" s="10"/>
      <c r="AI15142" s="10"/>
    </row>
    <row r="15143" spans="28:35" ht="15" hidden="1" customHeight="1">
      <c r="AB15143" s="9"/>
      <c r="AC15143" s="9"/>
      <c r="AD15143" s="9"/>
      <c r="AF15143" s="10"/>
      <c r="AG15143" s="10"/>
      <c r="AH15143" s="10"/>
      <c r="AI15143" s="10"/>
    </row>
    <row r="15144" spans="28:35" ht="15" hidden="1" customHeight="1">
      <c r="AB15144" s="9"/>
      <c r="AC15144" s="9"/>
      <c r="AD15144" s="9"/>
      <c r="AF15144" s="10"/>
      <c r="AG15144" s="10"/>
      <c r="AH15144" s="10"/>
      <c r="AI15144" s="10"/>
    </row>
    <row r="15145" spans="28:35" ht="15" hidden="1" customHeight="1">
      <c r="AB15145" s="9"/>
      <c r="AC15145" s="9"/>
      <c r="AD15145" s="9"/>
      <c r="AF15145" s="10"/>
      <c r="AG15145" s="10"/>
      <c r="AH15145" s="10"/>
      <c r="AI15145" s="10"/>
    </row>
    <row r="15146" spans="28:35" ht="15" hidden="1" customHeight="1">
      <c r="AB15146" s="9"/>
      <c r="AC15146" s="9"/>
      <c r="AD15146" s="9"/>
      <c r="AF15146" s="10"/>
      <c r="AG15146" s="10"/>
      <c r="AH15146" s="10"/>
      <c r="AI15146" s="10"/>
    </row>
    <row r="15147" spans="28:35" ht="15" hidden="1" customHeight="1">
      <c r="AB15147" s="9"/>
      <c r="AC15147" s="9"/>
      <c r="AD15147" s="9"/>
      <c r="AF15147" s="10"/>
      <c r="AG15147" s="10"/>
      <c r="AH15147" s="10"/>
      <c r="AI15147" s="10"/>
    </row>
    <row r="15148" spans="28:35" ht="15" hidden="1" customHeight="1">
      <c r="AB15148" s="9"/>
      <c r="AC15148" s="9"/>
      <c r="AD15148" s="9"/>
      <c r="AF15148" s="10"/>
      <c r="AG15148" s="10"/>
      <c r="AH15148" s="10"/>
      <c r="AI15148" s="10"/>
    </row>
    <row r="15149" spans="28:35" ht="15" hidden="1" customHeight="1">
      <c r="AB15149" s="9"/>
      <c r="AC15149" s="9"/>
      <c r="AD15149" s="9"/>
      <c r="AF15149" s="10"/>
      <c r="AG15149" s="10"/>
      <c r="AH15149" s="10"/>
      <c r="AI15149" s="10"/>
    </row>
    <row r="15150" spans="28:35" ht="15" hidden="1" customHeight="1">
      <c r="AB15150" s="9"/>
      <c r="AC15150" s="9"/>
      <c r="AD15150" s="9"/>
      <c r="AF15150" s="10"/>
      <c r="AG15150" s="10"/>
      <c r="AH15150" s="10"/>
      <c r="AI15150" s="10"/>
    </row>
    <row r="15151" spans="28:35" ht="15" hidden="1" customHeight="1">
      <c r="AB15151" s="9"/>
      <c r="AC15151" s="9"/>
      <c r="AD15151" s="9"/>
      <c r="AF15151" s="10"/>
      <c r="AG15151" s="10"/>
      <c r="AH15151" s="10"/>
      <c r="AI15151" s="10"/>
    </row>
    <row r="15152" spans="28:35" ht="15" hidden="1" customHeight="1">
      <c r="AB15152" s="9"/>
      <c r="AC15152" s="9"/>
      <c r="AD15152" s="9"/>
      <c r="AF15152" s="10"/>
      <c r="AG15152" s="10"/>
      <c r="AH15152" s="10"/>
      <c r="AI15152" s="10"/>
    </row>
    <row r="15153" spans="28:35" ht="15" hidden="1" customHeight="1">
      <c r="AB15153" s="9"/>
      <c r="AC15153" s="9"/>
      <c r="AD15153" s="9"/>
      <c r="AF15153" s="10"/>
      <c r="AG15153" s="10"/>
      <c r="AH15153" s="10"/>
      <c r="AI15153" s="10"/>
    </row>
    <row r="15154" spans="28:35" ht="15" hidden="1" customHeight="1">
      <c r="AB15154" s="9"/>
      <c r="AC15154" s="9"/>
      <c r="AD15154" s="9"/>
      <c r="AF15154" s="10"/>
      <c r="AG15154" s="10"/>
      <c r="AH15154" s="10"/>
      <c r="AI15154" s="10"/>
    </row>
    <row r="15155" spans="28:35" ht="15" hidden="1" customHeight="1">
      <c r="AB15155" s="9"/>
      <c r="AC15155" s="9"/>
      <c r="AD15155" s="9"/>
      <c r="AF15155" s="10"/>
      <c r="AG15155" s="10"/>
      <c r="AH15155" s="10"/>
      <c r="AI15155" s="10"/>
    </row>
    <row r="15156" spans="28:35" ht="15" hidden="1" customHeight="1">
      <c r="AB15156" s="9"/>
      <c r="AC15156" s="9"/>
      <c r="AD15156" s="9"/>
      <c r="AF15156" s="10"/>
      <c r="AG15156" s="10"/>
      <c r="AH15156" s="10"/>
      <c r="AI15156" s="10"/>
    </row>
    <row r="15157" spans="28:35" ht="15" hidden="1" customHeight="1">
      <c r="AB15157" s="9"/>
      <c r="AC15157" s="9"/>
      <c r="AD15157" s="9"/>
      <c r="AF15157" s="10"/>
      <c r="AG15157" s="10"/>
      <c r="AH15157" s="10"/>
      <c r="AI15157" s="10"/>
    </row>
    <row r="15158" spans="28:35" ht="15" hidden="1" customHeight="1">
      <c r="AB15158" s="9"/>
      <c r="AC15158" s="9"/>
      <c r="AD15158" s="9"/>
      <c r="AF15158" s="10"/>
      <c r="AG15158" s="10"/>
      <c r="AH15158" s="10"/>
      <c r="AI15158" s="10"/>
    </row>
    <row r="15159" spans="28:35" ht="15" hidden="1" customHeight="1">
      <c r="AB15159" s="9"/>
      <c r="AC15159" s="9"/>
      <c r="AD15159" s="9"/>
      <c r="AF15159" s="10"/>
      <c r="AG15159" s="10"/>
      <c r="AH15159" s="10"/>
      <c r="AI15159" s="10"/>
    </row>
    <row r="15160" spans="28:35" ht="15" hidden="1" customHeight="1">
      <c r="AB15160" s="9"/>
      <c r="AC15160" s="9"/>
      <c r="AD15160" s="9"/>
      <c r="AF15160" s="10"/>
      <c r="AG15160" s="10"/>
      <c r="AH15160" s="10"/>
      <c r="AI15160" s="10"/>
    </row>
    <row r="15161" spans="28:35" ht="15" hidden="1" customHeight="1">
      <c r="AB15161" s="9"/>
      <c r="AC15161" s="9"/>
      <c r="AD15161" s="9"/>
      <c r="AF15161" s="10"/>
      <c r="AG15161" s="10"/>
      <c r="AH15161" s="10"/>
      <c r="AI15161" s="10"/>
    </row>
    <row r="15162" spans="28:35" ht="15" hidden="1" customHeight="1">
      <c r="AB15162" s="9"/>
      <c r="AC15162" s="9"/>
      <c r="AD15162" s="9"/>
      <c r="AF15162" s="10"/>
      <c r="AG15162" s="10"/>
      <c r="AH15162" s="10"/>
      <c r="AI15162" s="10"/>
    </row>
    <row r="15163" spans="28:35" ht="15" hidden="1" customHeight="1">
      <c r="AB15163" s="9"/>
      <c r="AC15163" s="9"/>
      <c r="AD15163" s="9"/>
      <c r="AF15163" s="10"/>
      <c r="AG15163" s="10"/>
      <c r="AH15163" s="10"/>
      <c r="AI15163" s="10"/>
    </row>
    <row r="15164" spans="28:35" ht="15" hidden="1" customHeight="1">
      <c r="AB15164" s="9"/>
      <c r="AC15164" s="9"/>
      <c r="AD15164" s="9"/>
      <c r="AF15164" s="10"/>
      <c r="AG15164" s="10"/>
      <c r="AH15164" s="10"/>
      <c r="AI15164" s="10"/>
    </row>
    <row r="15165" spans="28:35" ht="15" hidden="1" customHeight="1">
      <c r="AB15165" s="9"/>
      <c r="AC15165" s="9"/>
      <c r="AD15165" s="9"/>
      <c r="AF15165" s="10"/>
      <c r="AG15165" s="10"/>
      <c r="AH15165" s="10"/>
      <c r="AI15165" s="10"/>
    </row>
    <row r="15166" spans="28:35" ht="15" hidden="1" customHeight="1">
      <c r="AB15166" s="9"/>
      <c r="AC15166" s="9"/>
      <c r="AD15166" s="9"/>
      <c r="AF15166" s="10"/>
      <c r="AG15166" s="10"/>
      <c r="AH15166" s="10"/>
      <c r="AI15166" s="10"/>
    </row>
    <row r="15167" spans="28:35" ht="15" hidden="1" customHeight="1">
      <c r="AB15167" s="9"/>
      <c r="AC15167" s="9"/>
      <c r="AD15167" s="9"/>
      <c r="AF15167" s="10"/>
      <c r="AG15167" s="10"/>
      <c r="AH15167" s="10"/>
      <c r="AI15167" s="10"/>
    </row>
    <row r="15168" spans="28:35" ht="15" hidden="1" customHeight="1">
      <c r="AB15168" s="9"/>
      <c r="AC15168" s="9"/>
      <c r="AD15168" s="9"/>
      <c r="AF15168" s="10"/>
      <c r="AG15168" s="10"/>
      <c r="AH15168" s="10"/>
      <c r="AI15168" s="10"/>
    </row>
    <row r="15169" spans="28:35" ht="15" hidden="1" customHeight="1">
      <c r="AB15169" s="9"/>
      <c r="AC15169" s="9"/>
      <c r="AD15169" s="9"/>
      <c r="AF15169" s="10"/>
      <c r="AG15169" s="10"/>
      <c r="AH15169" s="10"/>
      <c r="AI15169" s="10"/>
    </row>
    <row r="15170" spans="28:35" ht="15" hidden="1" customHeight="1">
      <c r="AB15170" s="9"/>
      <c r="AC15170" s="9"/>
      <c r="AD15170" s="9"/>
      <c r="AF15170" s="10"/>
      <c r="AG15170" s="10"/>
      <c r="AH15170" s="10"/>
      <c r="AI15170" s="10"/>
    </row>
    <row r="15171" spans="28:35" ht="15" hidden="1" customHeight="1">
      <c r="AB15171" s="9"/>
      <c r="AC15171" s="9"/>
      <c r="AD15171" s="9"/>
      <c r="AF15171" s="10"/>
      <c r="AG15171" s="10"/>
      <c r="AH15171" s="10"/>
      <c r="AI15171" s="10"/>
    </row>
    <row r="15172" spans="28:35" ht="15" hidden="1" customHeight="1">
      <c r="AB15172" s="9"/>
      <c r="AC15172" s="9"/>
      <c r="AD15172" s="9"/>
      <c r="AF15172" s="10"/>
      <c r="AG15172" s="10"/>
      <c r="AH15172" s="10"/>
      <c r="AI15172" s="10"/>
    </row>
    <row r="15173" spans="28:35" ht="15" hidden="1" customHeight="1">
      <c r="AB15173" s="9"/>
      <c r="AC15173" s="9"/>
      <c r="AD15173" s="9"/>
      <c r="AF15173" s="10"/>
      <c r="AG15173" s="10"/>
      <c r="AH15173" s="10"/>
      <c r="AI15173" s="10"/>
    </row>
    <row r="15174" spans="28:35" ht="15" hidden="1" customHeight="1">
      <c r="AB15174" s="9"/>
      <c r="AC15174" s="9"/>
      <c r="AD15174" s="9"/>
      <c r="AF15174" s="10"/>
      <c r="AG15174" s="10"/>
      <c r="AH15174" s="10"/>
      <c r="AI15174" s="10"/>
    </row>
    <row r="15175" spans="28:35" ht="15" hidden="1" customHeight="1">
      <c r="AB15175" s="9"/>
      <c r="AC15175" s="9"/>
      <c r="AD15175" s="9"/>
      <c r="AF15175" s="10"/>
      <c r="AG15175" s="10"/>
      <c r="AH15175" s="10"/>
      <c r="AI15175" s="10"/>
    </row>
    <row r="15176" spans="28:35" ht="15" hidden="1" customHeight="1">
      <c r="AB15176" s="9"/>
      <c r="AC15176" s="9"/>
      <c r="AD15176" s="9"/>
      <c r="AF15176" s="10"/>
      <c r="AG15176" s="10"/>
      <c r="AH15176" s="10"/>
      <c r="AI15176" s="10"/>
    </row>
    <row r="15177" spans="28:35" ht="15" hidden="1" customHeight="1">
      <c r="AB15177" s="9"/>
      <c r="AC15177" s="9"/>
      <c r="AD15177" s="9"/>
      <c r="AF15177" s="10"/>
      <c r="AG15177" s="10"/>
      <c r="AH15177" s="10"/>
      <c r="AI15177" s="10"/>
    </row>
    <row r="15178" spans="28:35" ht="15" hidden="1" customHeight="1">
      <c r="AB15178" s="9"/>
      <c r="AC15178" s="9"/>
      <c r="AD15178" s="9"/>
      <c r="AF15178" s="10"/>
      <c r="AG15178" s="10"/>
      <c r="AH15178" s="10"/>
      <c r="AI15178" s="10"/>
    </row>
    <row r="15179" spans="28:35" ht="15" hidden="1" customHeight="1">
      <c r="AB15179" s="9"/>
      <c r="AC15179" s="9"/>
      <c r="AD15179" s="9"/>
      <c r="AF15179" s="10"/>
      <c r="AG15179" s="10"/>
      <c r="AH15179" s="10"/>
      <c r="AI15179" s="10"/>
    </row>
    <row r="15180" spans="28:35" ht="15" hidden="1" customHeight="1">
      <c r="AB15180" s="9"/>
      <c r="AC15180" s="9"/>
      <c r="AD15180" s="9"/>
      <c r="AF15180" s="10"/>
      <c r="AG15180" s="10"/>
      <c r="AH15180" s="10"/>
      <c r="AI15180" s="10"/>
    </row>
    <row r="15181" spans="28:35" ht="15" hidden="1" customHeight="1">
      <c r="AB15181" s="9"/>
      <c r="AC15181" s="9"/>
      <c r="AD15181" s="9"/>
      <c r="AF15181" s="10"/>
      <c r="AG15181" s="10"/>
      <c r="AH15181" s="10"/>
      <c r="AI15181" s="10"/>
    </row>
    <row r="15182" spans="28:35" ht="15" hidden="1" customHeight="1">
      <c r="AB15182" s="9"/>
      <c r="AC15182" s="9"/>
      <c r="AD15182" s="9"/>
      <c r="AF15182" s="10"/>
      <c r="AG15182" s="10"/>
      <c r="AH15182" s="10"/>
      <c r="AI15182" s="10"/>
    </row>
    <row r="15183" spans="28:35" ht="15" hidden="1" customHeight="1">
      <c r="AB15183" s="9"/>
      <c r="AC15183" s="9"/>
      <c r="AD15183" s="9"/>
      <c r="AF15183" s="10"/>
      <c r="AG15183" s="10"/>
      <c r="AH15183" s="10"/>
      <c r="AI15183" s="10"/>
    </row>
    <row r="15184" spans="28:35" ht="15" hidden="1" customHeight="1">
      <c r="AB15184" s="9"/>
      <c r="AC15184" s="9"/>
      <c r="AD15184" s="9"/>
      <c r="AF15184" s="10"/>
      <c r="AG15184" s="10"/>
      <c r="AH15184" s="10"/>
      <c r="AI15184" s="10"/>
    </row>
    <row r="15185" spans="28:35" ht="15" hidden="1" customHeight="1">
      <c r="AB15185" s="9"/>
      <c r="AC15185" s="9"/>
      <c r="AD15185" s="9"/>
      <c r="AF15185" s="10"/>
      <c r="AG15185" s="10"/>
      <c r="AH15185" s="10"/>
      <c r="AI15185" s="10"/>
    </row>
    <row r="15186" spans="28:35" ht="15" hidden="1" customHeight="1">
      <c r="AB15186" s="9"/>
      <c r="AC15186" s="9"/>
      <c r="AD15186" s="9"/>
      <c r="AF15186" s="10"/>
      <c r="AG15186" s="10"/>
      <c r="AH15186" s="10"/>
      <c r="AI15186" s="10"/>
    </row>
    <row r="15187" spans="28:35" ht="15" hidden="1" customHeight="1">
      <c r="AB15187" s="9"/>
      <c r="AC15187" s="9"/>
      <c r="AD15187" s="9"/>
      <c r="AF15187" s="10"/>
      <c r="AG15187" s="10"/>
      <c r="AH15187" s="10"/>
      <c r="AI15187" s="10"/>
    </row>
    <row r="15188" spans="28:35" ht="15" hidden="1" customHeight="1">
      <c r="AB15188" s="9"/>
      <c r="AC15188" s="9"/>
      <c r="AD15188" s="9"/>
      <c r="AF15188" s="10"/>
      <c r="AG15188" s="10"/>
      <c r="AH15188" s="10"/>
      <c r="AI15188" s="10"/>
    </row>
    <row r="15189" spans="28:35" ht="15" hidden="1" customHeight="1">
      <c r="AB15189" s="9"/>
      <c r="AC15189" s="9"/>
      <c r="AD15189" s="9"/>
      <c r="AF15189" s="10"/>
      <c r="AG15189" s="10"/>
      <c r="AH15189" s="10"/>
      <c r="AI15189" s="10"/>
    </row>
    <row r="15190" spans="28:35" ht="15" hidden="1" customHeight="1">
      <c r="AB15190" s="9"/>
      <c r="AC15190" s="9"/>
      <c r="AD15190" s="9"/>
      <c r="AF15190" s="10"/>
      <c r="AG15190" s="10"/>
      <c r="AH15190" s="10"/>
      <c r="AI15190" s="10"/>
    </row>
    <row r="15191" spans="28:35" ht="15" hidden="1" customHeight="1">
      <c r="AB15191" s="9"/>
      <c r="AC15191" s="9"/>
      <c r="AD15191" s="9"/>
      <c r="AF15191" s="10"/>
      <c r="AG15191" s="10"/>
      <c r="AH15191" s="10"/>
      <c r="AI15191" s="10"/>
    </row>
    <row r="15192" spans="28:35" ht="15" hidden="1" customHeight="1">
      <c r="AB15192" s="9"/>
      <c r="AC15192" s="9"/>
      <c r="AD15192" s="9"/>
      <c r="AF15192" s="10"/>
      <c r="AG15192" s="10"/>
      <c r="AH15192" s="10"/>
      <c r="AI15192" s="10"/>
    </row>
    <row r="15193" spans="28:35" ht="15" hidden="1" customHeight="1">
      <c r="AB15193" s="9"/>
      <c r="AC15193" s="9"/>
      <c r="AD15193" s="9"/>
      <c r="AF15193" s="10"/>
      <c r="AG15193" s="10"/>
      <c r="AH15193" s="10"/>
      <c r="AI15193" s="10"/>
    </row>
    <row r="15194" spans="28:35" ht="15" hidden="1" customHeight="1">
      <c r="AB15194" s="9"/>
      <c r="AC15194" s="9"/>
      <c r="AD15194" s="9"/>
      <c r="AF15194" s="10"/>
      <c r="AG15194" s="10"/>
      <c r="AH15194" s="10"/>
      <c r="AI15194" s="10"/>
    </row>
    <row r="15195" spans="28:35" ht="15" hidden="1" customHeight="1">
      <c r="AB15195" s="9"/>
      <c r="AC15195" s="9"/>
      <c r="AD15195" s="9"/>
      <c r="AF15195" s="10"/>
      <c r="AG15195" s="10"/>
      <c r="AH15195" s="10"/>
      <c r="AI15195" s="10"/>
    </row>
    <row r="15196" spans="28:35" ht="15" hidden="1" customHeight="1">
      <c r="AB15196" s="9"/>
      <c r="AC15196" s="9"/>
      <c r="AD15196" s="9"/>
      <c r="AF15196" s="10"/>
      <c r="AG15196" s="10"/>
      <c r="AH15196" s="10"/>
      <c r="AI15196" s="10"/>
    </row>
    <row r="15197" spans="28:35" ht="15" hidden="1" customHeight="1">
      <c r="AB15197" s="9"/>
      <c r="AC15197" s="9"/>
      <c r="AD15197" s="9"/>
      <c r="AF15197" s="10"/>
      <c r="AG15197" s="10"/>
      <c r="AH15197" s="10"/>
      <c r="AI15197" s="10"/>
    </row>
    <row r="15198" spans="28:35" ht="15" hidden="1" customHeight="1">
      <c r="AB15198" s="9"/>
      <c r="AC15198" s="9"/>
      <c r="AD15198" s="9"/>
      <c r="AF15198" s="10"/>
      <c r="AG15198" s="10"/>
      <c r="AH15198" s="10"/>
      <c r="AI15198" s="10"/>
    </row>
    <row r="15199" spans="28:35" ht="15" hidden="1" customHeight="1">
      <c r="AB15199" s="9"/>
      <c r="AC15199" s="9"/>
      <c r="AD15199" s="9"/>
      <c r="AF15199" s="10"/>
      <c r="AG15199" s="10"/>
      <c r="AH15199" s="10"/>
      <c r="AI15199" s="10"/>
    </row>
    <row r="15200" spans="28:35" ht="15" hidden="1" customHeight="1">
      <c r="AB15200" s="9"/>
      <c r="AC15200" s="9"/>
      <c r="AD15200" s="9"/>
      <c r="AF15200" s="10"/>
      <c r="AG15200" s="10"/>
      <c r="AH15200" s="10"/>
      <c r="AI15200" s="10"/>
    </row>
    <row r="15201" spans="28:35" ht="15" hidden="1" customHeight="1">
      <c r="AB15201" s="9"/>
      <c r="AC15201" s="9"/>
      <c r="AD15201" s="9"/>
      <c r="AF15201" s="10"/>
      <c r="AG15201" s="10"/>
      <c r="AH15201" s="10"/>
      <c r="AI15201" s="10"/>
    </row>
    <row r="15202" spans="28:35" ht="15" hidden="1" customHeight="1">
      <c r="AB15202" s="9"/>
      <c r="AC15202" s="9"/>
      <c r="AD15202" s="9"/>
      <c r="AF15202" s="10"/>
      <c r="AG15202" s="10"/>
      <c r="AH15202" s="10"/>
      <c r="AI15202" s="10"/>
    </row>
    <row r="15203" spans="28:35" ht="15" hidden="1" customHeight="1">
      <c r="AB15203" s="9"/>
      <c r="AC15203" s="9"/>
      <c r="AD15203" s="9"/>
      <c r="AF15203" s="10"/>
      <c r="AG15203" s="10"/>
      <c r="AH15203" s="10"/>
      <c r="AI15203" s="10"/>
    </row>
    <row r="15204" spans="28:35" ht="15" hidden="1" customHeight="1">
      <c r="AB15204" s="9"/>
      <c r="AC15204" s="9"/>
      <c r="AD15204" s="9"/>
      <c r="AF15204" s="10"/>
      <c r="AG15204" s="10"/>
      <c r="AH15204" s="10"/>
      <c r="AI15204" s="10"/>
    </row>
    <row r="15205" spans="28:35" ht="15" hidden="1" customHeight="1">
      <c r="AB15205" s="9"/>
      <c r="AC15205" s="9"/>
      <c r="AD15205" s="9"/>
      <c r="AF15205" s="10"/>
      <c r="AG15205" s="10"/>
      <c r="AH15205" s="10"/>
      <c r="AI15205" s="10"/>
    </row>
    <row r="15206" spans="28:35" ht="15" hidden="1" customHeight="1">
      <c r="AB15206" s="9"/>
      <c r="AC15206" s="9"/>
      <c r="AD15206" s="9"/>
      <c r="AF15206" s="10"/>
      <c r="AG15206" s="10"/>
      <c r="AH15206" s="10"/>
      <c r="AI15206" s="10"/>
    </row>
    <row r="15207" spans="28:35" ht="15" hidden="1" customHeight="1">
      <c r="AB15207" s="9"/>
      <c r="AC15207" s="9"/>
      <c r="AD15207" s="9"/>
      <c r="AF15207" s="10"/>
      <c r="AG15207" s="10"/>
      <c r="AH15207" s="10"/>
      <c r="AI15207" s="10"/>
    </row>
    <row r="15208" spans="28:35" ht="15" hidden="1" customHeight="1">
      <c r="AB15208" s="9"/>
      <c r="AC15208" s="9"/>
      <c r="AD15208" s="9"/>
      <c r="AF15208" s="10"/>
      <c r="AG15208" s="10"/>
      <c r="AH15208" s="10"/>
      <c r="AI15208" s="10"/>
    </row>
    <row r="15209" spans="28:35" ht="15" hidden="1" customHeight="1">
      <c r="AB15209" s="9"/>
      <c r="AC15209" s="9"/>
      <c r="AD15209" s="9"/>
      <c r="AF15209" s="10"/>
      <c r="AG15209" s="10"/>
      <c r="AH15209" s="10"/>
      <c r="AI15209" s="10"/>
    </row>
    <row r="15210" spans="28:35" ht="15" hidden="1" customHeight="1">
      <c r="AB15210" s="9"/>
      <c r="AC15210" s="9"/>
      <c r="AD15210" s="9"/>
      <c r="AF15210" s="10"/>
      <c r="AG15210" s="10"/>
      <c r="AH15210" s="10"/>
      <c r="AI15210" s="10"/>
    </row>
    <row r="15211" spans="28:35" ht="15" hidden="1" customHeight="1">
      <c r="AB15211" s="9"/>
      <c r="AC15211" s="9"/>
      <c r="AD15211" s="9"/>
      <c r="AF15211" s="10"/>
      <c r="AG15211" s="10"/>
      <c r="AH15211" s="10"/>
      <c r="AI15211" s="10"/>
    </row>
    <row r="15212" spans="28:35" ht="15" hidden="1" customHeight="1">
      <c r="AB15212" s="9"/>
      <c r="AC15212" s="9"/>
      <c r="AD15212" s="9"/>
      <c r="AF15212" s="10"/>
      <c r="AG15212" s="10"/>
      <c r="AH15212" s="10"/>
      <c r="AI15212" s="10"/>
    </row>
    <row r="15213" spans="28:35" ht="15" hidden="1" customHeight="1">
      <c r="AB15213" s="9"/>
      <c r="AC15213" s="9"/>
      <c r="AD15213" s="9"/>
      <c r="AF15213" s="10"/>
      <c r="AG15213" s="10"/>
      <c r="AH15213" s="10"/>
      <c r="AI15213" s="10"/>
    </row>
    <row r="15214" spans="28:35" ht="15" hidden="1" customHeight="1">
      <c r="AB15214" s="9"/>
      <c r="AC15214" s="9"/>
      <c r="AD15214" s="9"/>
      <c r="AF15214" s="10"/>
      <c r="AG15214" s="10"/>
      <c r="AH15214" s="10"/>
      <c r="AI15214" s="10"/>
    </row>
    <row r="15215" spans="28:35" ht="15" hidden="1" customHeight="1">
      <c r="AB15215" s="9"/>
      <c r="AC15215" s="9"/>
      <c r="AD15215" s="9"/>
      <c r="AF15215" s="10"/>
      <c r="AG15215" s="10"/>
      <c r="AH15215" s="10"/>
      <c r="AI15215" s="10"/>
    </row>
    <row r="15216" spans="28:35" ht="15" hidden="1" customHeight="1">
      <c r="AB15216" s="9"/>
      <c r="AC15216" s="9"/>
      <c r="AD15216" s="9"/>
      <c r="AF15216" s="10"/>
      <c r="AG15216" s="10"/>
      <c r="AH15216" s="10"/>
      <c r="AI15216" s="10"/>
    </row>
    <row r="15217" spans="28:35" ht="15" hidden="1" customHeight="1">
      <c r="AB15217" s="9"/>
      <c r="AC15217" s="9"/>
      <c r="AD15217" s="9"/>
      <c r="AF15217" s="10"/>
      <c r="AG15217" s="10"/>
      <c r="AH15217" s="10"/>
      <c r="AI15217" s="10"/>
    </row>
    <row r="15218" spans="28:35" ht="15" hidden="1" customHeight="1">
      <c r="AB15218" s="9"/>
      <c r="AC15218" s="9"/>
      <c r="AD15218" s="9"/>
      <c r="AF15218" s="10"/>
      <c r="AG15218" s="10"/>
      <c r="AH15218" s="10"/>
      <c r="AI15218" s="10"/>
    </row>
    <row r="15219" spans="28:35" ht="15" hidden="1" customHeight="1">
      <c r="AB15219" s="9"/>
      <c r="AC15219" s="9"/>
      <c r="AD15219" s="9"/>
      <c r="AF15219" s="10"/>
      <c r="AG15219" s="10"/>
      <c r="AH15219" s="10"/>
      <c r="AI15219" s="10"/>
    </row>
    <row r="15220" spans="28:35" ht="15" hidden="1" customHeight="1">
      <c r="AB15220" s="9"/>
      <c r="AC15220" s="9"/>
      <c r="AD15220" s="9"/>
      <c r="AF15220" s="10"/>
      <c r="AG15220" s="10"/>
      <c r="AH15220" s="10"/>
      <c r="AI15220" s="10"/>
    </row>
    <row r="15221" spans="28:35" ht="15" hidden="1" customHeight="1">
      <c r="AB15221" s="9"/>
      <c r="AC15221" s="9"/>
      <c r="AD15221" s="9"/>
      <c r="AF15221" s="10"/>
      <c r="AG15221" s="10"/>
      <c r="AH15221" s="10"/>
      <c r="AI15221" s="10"/>
    </row>
    <row r="15222" spans="28:35" ht="15" hidden="1" customHeight="1">
      <c r="AB15222" s="9"/>
      <c r="AC15222" s="9"/>
      <c r="AD15222" s="9"/>
      <c r="AF15222" s="10"/>
      <c r="AG15222" s="10"/>
      <c r="AH15222" s="10"/>
      <c r="AI15222" s="10"/>
    </row>
    <row r="15223" spans="28:35" ht="15" hidden="1" customHeight="1">
      <c r="AB15223" s="9"/>
      <c r="AC15223" s="9"/>
      <c r="AD15223" s="9"/>
      <c r="AF15223" s="10"/>
      <c r="AG15223" s="10"/>
      <c r="AH15223" s="10"/>
      <c r="AI15223" s="10"/>
    </row>
    <row r="15224" spans="28:35" ht="15" hidden="1" customHeight="1">
      <c r="AB15224" s="9"/>
      <c r="AC15224" s="9"/>
      <c r="AD15224" s="9"/>
      <c r="AF15224" s="10"/>
      <c r="AG15224" s="10"/>
      <c r="AH15224" s="10"/>
      <c r="AI15224" s="10"/>
    </row>
    <row r="15225" spans="28:35" ht="15" hidden="1" customHeight="1">
      <c r="AB15225" s="9"/>
      <c r="AC15225" s="9"/>
      <c r="AD15225" s="9"/>
      <c r="AF15225" s="10"/>
      <c r="AG15225" s="10"/>
      <c r="AH15225" s="10"/>
      <c r="AI15225" s="10"/>
    </row>
    <row r="15226" spans="28:35" ht="15" hidden="1" customHeight="1">
      <c r="AB15226" s="9"/>
      <c r="AC15226" s="9"/>
      <c r="AD15226" s="9"/>
      <c r="AF15226" s="10"/>
      <c r="AG15226" s="10"/>
      <c r="AH15226" s="10"/>
      <c r="AI15226" s="10"/>
    </row>
    <row r="15227" spans="28:35" ht="15" hidden="1" customHeight="1">
      <c r="AB15227" s="9"/>
      <c r="AC15227" s="9"/>
      <c r="AD15227" s="9"/>
      <c r="AF15227" s="10"/>
      <c r="AG15227" s="10"/>
      <c r="AH15227" s="10"/>
      <c r="AI15227" s="10"/>
    </row>
    <row r="15228" spans="28:35" ht="15" hidden="1" customHeight="1">
      <c r="AB15228" s="9"/>
      <c r="AC15228" s="9"/>
      <c r="AD15228" s="9"/>
      <c r="AF15228" s="10"/>
      <c r="AG15228" s="10"/>
      <c r="AH15228" s="10"/>
      <c r="AI15228" s="10"/>
    </row>
    <row r="15229" spans="28:35" ht="15" hidden="1" customHeight="1">
      <c r="AB15229" s="9"/>
      <c r="AC15229" s="9"/>
      <c r="AD15229" s="9"/>
      <c r="AF15229" s="10"/>
      <c r="AG15229" s="10"/>
      <c r="AH15229" s="10"/>
      <c r="AI15229" s="10"/>
    </row>
    <row r="15230" spans="28:35" ht="15" hidden="1" customHeight="1">
      <c r="AB15230" s="9"/>
      <c r="AC15230" s="9"/>
      <c r="AD15230" s="9"/>
      <c r="AF15230" s="10"/>
      <c r="AG15230" s="10"/>
      <c r="AH15230" s="10"/>
      <c r="AI15230" s="10"/>
    </row>
    <row r="15231" spans="28:35" ht="15" hidden="1" customHeight="1">
      <c r="AB15231" s="9"/>
      <c r="AC15231" s="9"/>
      <c r="AD15231" s="9"/>
      <c r="AF15231" s="10"/>
      <c r="AG15231" s="10"/>
      <c r="AH15231" s="10"/>
      <c r="AI15231" s="10"/>
    </row>
    <row r="15232" spans="28:35" ht="15" hidden="1" customHeight="1">
      <c r="AB15232" s="9"/>
      <c r="AC15232" s="9"/>
      <c r="AD15232" s="9"/>
      <c r="AF15232" s="10"/>
      <c r="AG15232" s="10"/>
      <c r="AH15232" s="10"/>
      <c r="AI15232" s="10"/>
    </row>
    <row r="15233" spans="28:35" ht="15" hidden="1" customHeight="1">
      <c r="AB15233" s="9"/>
      <c r="AC15233" s="9"/>
      <c r="AD15233" s="9"/>
      <c r="AF15233" s="10"/>
      <c r="AG15233" s="10"/>
      <c r="AH15233" s="10"/>
      <c r="AI15233" s="10"/>
    </row>
    <row r="15234" spans="28:35" ht="15" hidden="1" customHeight="1">
      <c r="AB15234" s="9"/>
      <c r="AC15234" s="9"/>
      <c r="AD15234" s="9"/>
      <c r="AF15234" s="10"/>
      <c r="AG15234" s="10"/>
      <c r="AH15234" s="10"/>
      <c r="AI15234" s="10"/>
    </row>
    <row r="15235" spans="28:35" ht="15" hidden="1" customHeight="1">
      <c r="AB15235" s="9"/>
      <c r="AC15235" s="9"/>
      <c r="AD15235" s="9"/>
      <c r="AF15235" s="10"/>
      <c r="AG15235" s="10"/>
      <c r="AH15235" s="10"/>
      <c r="AI15235" s="10"/>
    </row>
    <row r="15236" spans="28:35" ht="15" hidden="1" customHeight="1">
      <c r="AB15236" s="9"/>
      <c r="AC15236" s="9"/>
      <c r="AD15236" s="9"/>
      <c r="AF15236" s="10"/>
      <c r="AG15236" s="10"/>
      <c r="AH15236" s="10"/>
      <c r="AI15236" s="10"/>
    </row>
    <row r="15237" spans="28:35" ht="15" hidden="1" customHeight="1">
      <c r="AB15237" s="9"/>
      <c r="AC15237" s="9"/>
      <c r="AD15237" s="9"/>
      <c r="AF15237" s="10"/>
      <c r="AG15237" s="10"/>
      <c r="AH15237" s="10"/>
      <c r="AI15237" s="10"/>
    </row>
    <row r="15238" spans="28:35" ht="15" hidden="1" customHeight="1">
      <c r="AB15238" s="9"/>
      <c r="AC15238" s="9"/>
      <c r="AD15238" s="9"/>
      <c r="AF15238" s="10"/>
      <c r="AG15238" s="10"/>
      <c r="AH15238" s="10"/>
      <c r="AI15238" s="10"/>
    </row>
    <row r="15239" spans="28:35" ht="15" hidden="1" customHeight="1">
      <c r="AB15239" s="9"/>
      <c r="AC15239" s="9"/>
      <c r="AD15239" s="9"/>
      <c r="AF15239" s="10"/>
      <c r="AG15239" s="10"/>
      <c r="AH15239" s="10"/>
      <c r="AI15239" s="10"/>
    </row>
    <row r="15240" spans="28:35" ht="15" hidden="1" customHeight="1">
      <c r="AB15240" s="9"/>
      <c r="AC15240" s="9"/>
      <c r="AD15240" s="9"/>
      <c r="AF15240" s="10"/>
      <c r="AG15240" s="10"/>
      <c r="AH15240" s="10"/>
      <c r="AI15240" s="10"/>
    </row>
    <row r="15241" spans="28:35" ht="15" hidden="1" customHeight="1">
      <c r="AB15241" s="9"/>
      <c r="AC15241" s="9"/>
      <c r="AD15241" s="9"/>
      <c r="AF15241" s="10"/>
      <c r="AG15241" s="10"/>
      <c r="AH15241" s="10"/>
      <c r="AI15241" s="10"/>
    </row>
    <row r="15242" spans="28:35" ht="15" hidden="1" customHeight="1">
      <c r="AB15242" s="9"/>
      <c r="AC15242" s="9"/>
      <c r="AD15242" s="9"/>
      <c r="AF15242" s="10"/>
      <c r="AG15242" s="10"/>
      <c r="AH15242" s="10"/>
      <c r="AI15242" s="10"/>
    </row>
    <row r="15243" spans="28:35" ht="15" hidden="1" customHeight="1">
      <c r="AB15243" s="9"/>
      <c r="AC15243" s="9"/>
      <c r="AD15243" s="9"/>
      <c r="AF15243" s="10"/>
      <c r="AG15243" s="10"/>
      <c r="AH15243" s="10"/>
      <c r="AI15243" s="10"/>
    </row>
    <row r="15244" spans="28:35" ht="15" hidden="1" customHeight="1">
      <c r="AB15244" s="9"/>
      <c r="AC15244" s="9"/>
      <c r="AD15244" s="9"/>
      <c r="AF15244" s="10"/>
      <c r="AG15244" s="10"/>
      <c r="AH15244" s="10"/>
      <c r="AI15244" s="10"/>
    </row>
    <row r="15245" spans="28:35" ht="15" hidden="1" customHeight="1">
      <c r="AB15245" s="9"/>
      <c r="AC15245" s="9"/>
      <c r="AD15245" s="9"/>
      <c r="AF15245" s="10"/>
      <c r="AG15245" s="10"/>
      <c r="AH15245" s="10"/>
      <c r="AI15245" s="10"/>
    </row>
    <row r="15246" spans="28:35" ht="15" hidden="1" customHeight="1">
      <c r="AB15246" s="9"/>
      <c r="AC15246" s="9"/>
      <c r="AD15246" s="9"/>
      <c r="AF15246" s="10"/>
      <c r="AG15246" s="10"/>
      <c r="AH15246" s="10"/>
      <c r="AI15246" s="10"/>
    </row>
    <row r="15247" spans="28:35" ht="15" hidden="1" customHeight="1">
      <c r="AB15247" s="9"/>
      <c r="AC15247" s="9"/>
      <c r="AD15247" s="9"/>
      <c r="AF15247" s="10"/>
      <c r="AG15247" s="10"/>
      <c r="AH15247" s="10"/>
      <c r="AI15247" s="10"/>
    </row>
    <row r="15248" spans="28:35" ht="15" hidden="1" customHeight="1">
      <c r="AB15248" s="9"/>
      <c r="AC15248" s="9"/>
      <c r="AD15248" s="9"/>
      <c r="AF15248" s="10"/>
      <c r="AG15248" s="10"/>
      <c r="AH15248" s="10"/>
      <c r="AI15248" s="10"/>
    </row>
    <row r="15249" spans="28:35" ht="15" hidden="1" customHeight="1">
      <c r="AB15249" s="9"/>
      <c r="AC15249" s="9"/>
      <c r="AD15249" s="9"/>
      <c r="AF15249" s="10"/>
      <c r="AG15249" s="10"/>
      <c r="AH15249" s="10"/>
      <c r="AI15249" s="10"/>
    </row>
    <row r="15250" spans="28:35" ht="15" hidden="1" customHeight="1">
      <c r="AB15250" s="9"/>
      <c r="AC15250" s="9"/>
      <c r="AD15250" s="9"/>
      <c r="AF15250" s="10"/>
      <c r="AG15250" s="10"/>
      <c r="AH15250" s="10"/>
      <c r="AI15250" s="10"/>
    </row>
    <row r="15251" spans="28:35" ht="15" hidden="1" customHeight="1">
      <c r="AB15251" s="9"/>
      <c r="AC15251" s="9"/>
      <c r="AD15251" s="9"/>
      <c r="AF15251" s="10"/>
      <c r="AG15251" s="10"/>
      <c r="AH15251" s="10"/>
      <c r="AI15251" s="10"/>
    </row>
    <row r="15252" spans="28:35" ht="15" hidden="1" customHeight="1">
      <c r="AB15252" s="9"/>
      <c r="AC15252" s="9"/>
      <c r="AD15252" s="9"/>
      <c r="AF15252" s="10"/>
      <c r="AG15252" s="10"/>
      <c r="AH15252" s="10"/>
      <c r="AI15252" s="10"/>
    </row>
    <row r="15253" spans="28:35" ht="15" hidden="1" customHeight="1">
      <c r="AB15253" s="9"/>
      <c r="AC15253" s="9"/>
      <c r="AD15253" s="9"/>
      <c r="AF15253" s="10"/>
      <c r="AG15253" s="10"/>
      <c r="AH15253" s="10"/>
      <c r="AI15253" s="10"/>
    </row>
    <row r="15254" spans="28:35" ht="15" hidden="1" customHeight="1">
      <c r="AB15254" s="9"/>
      <c r="AC15254" s="9"/>
      <c r="AD15254" s="9"/>
      <c r="AF15254" s="10"/>
      <c r="AG15254" s="10"/>
      <c r="AH15254" s="10"/>
      <c r="AI15254" s="10"/>
    </row>
    <row r="15255" spans="28:35" ht="15" hidden="1" customHeight="1">
      <c r="AB15255" s="9"/>
      <c r="AC15255" s="9"/>
      <c r="AD15255" s="9"/>
      <c r="AF15255" s="10"/>
      <c r="AG15255" s="10"/>
      <c r="AH15255" s="10"/>
      <c r="AI15255" s="10"/>
    </row>
    <row r="15256" spans="28:35" ht="15" hidden="1" customHeight="1">
      <c r="AB15256" s="9"/>
      <c r="AC15256" s="9"/>
      <c r="AD15256" s="9"/>
      <c r="AF15256" s="10"/>
      <c r="AG15256" s="10"/>
      <c r="AH15256" s="10"/>
      <c r="AI15256" s="10"/>
    </row>
    <row r="15257" spans="28:35" ht="15" hidden="1" customHeight="1">
      <c r="AB15257" s="9"/>
      <c r="AC15257" s="9"/>
      <c r="AD15257" s="9"/>
      <c r="AF15257" s="10"/>
      <c r="AG15257" s="10"/>
      <c r="AH15257" s="10"/>
      <c r="AI15257" s="10"/>
    </row>
    <row r="15258" spans="28:35" ht="15" hidden="1" customHeight="1">
      <c r="AB15258" s="9"/>
      <c r="AC15258" s="9"/>
      <c r="AD15258" s="9"/>
      <c r="AF15258" s="10"/>
      <c r="AG15258" s="10"/>
      <c r="AH15258" s="10"/>
      <c r="AI15258" s="10"/>
    </row>
    <row r="15259" spans="28:35" ht="15" hidden="1" customHeight="1">
      <c r="AB15259" s="9"/>
      <c r="AC15259" s="9"/>
      <c r="AD15259" s="9"/>
      <c r="AF15259" s="10"/>
      <c r="AG15259" s="10"/>
      <c r="AH15259" s="10"/>
      <c r="AI15259" s="10"/>
    </row>
    <row r="15260" spans="28:35" ht="15" hidden="1" customHeight="1">
      <c r="AB15260" s="9"/>
      <c r="AC15260" s="9"/>
      <c r="AD15260" s="9"/>
      <c r="AF15260" s="10"/>
      <c r="AG15260" s="10"/>
      <c r="AH15260" s="10"/>
      <c r="AI15260" s="10"/>
    </row>
    <row r="15261" spans="28:35" ht="15" hidden="1" customHeight="1">
      <c r="AB15261" s="9"/>
      <c r="AC15261" s="9"/>
      <c r="AD15261" s="9"/>
      <c r="AF15261" s="10"/>
      <c r="AG15261" s="10"/>
      <c r="AH15261" s="10"/>
      <c r="AI15261" s="10"/>
    </row>
    <row r="15262" spans="28:35" ht="15" hidden="1" customHeight="1">
      <c r="AB15262" s="9"/>
      <c r="AC15262" s="9"/>
      <c r="AD15262" s="9"/>
      <c r="AF15262" s="10"/>
      <c r="AG15262" s="10"/>
      <c r="AH15262" s="10"/>
      <c r="AI15262" s="10"/>
    </row>
    <row r="15263" spans="28:35" ht="15" hidden="1" customHeight="1">
      <c r="AB15263" s="9"/>
      <c r="AC15263" s="9"/>
      <c r="AD15263" s="9"/>
      <c r="AF15263" s="10"/>
      <c r="AG15263" s="10"/>
      <c r="AH15263" s="10"/>
      <c r="AI15263" s="10"/>
    </row>
    <row r="15264" spans="28:35" ht="15" hidden="1" customHeight="1">
      <c r="AB15264" s="9"/>
      <c r="AC15264" s="9"/>
      <c r="AD15264" s="9"/>
      <c r="AF15264" s="10"/>
      <c r="AG15264" s="10"/>
      <c r="AH15264" s="10"/>
      <c r="AI15264" s="10"/>
    </row>
    <row r="15265" spans="28:35" ht="15" hidden="1" customHeight="1">
      <c r="AB15265" s="9"/>
      <c r="AC15265" s="9"/>
      <c r="AD15265" s="9"/>
      <c r="AF15265" s="10"/>
      <c r="AG15265" s="10"/>
      <c r="AH15265" s="10"/>
      <c r="AI15265" s="10"/>
    </row>
    <row r="15266" spans="28:35" ht="15" hidden="1" customHeight="1">
      <c r="AB15266" s="9"/>
      <c r="AC15266" s="9"/>
      <c r="AD15266" s="9"/>
      <c r="AF15266" s="10"/>
      <c r="AG15266" s="10"/>
      <c r="AH15266" s="10"/>
      <c r="AI15266" s="10"/>
    </row>
    <row r="15267" spans="28:35" ht="15" hidden="1" customHeight="1">
      <c r="AB15267" s="9"/>
      <c r="AC15267" s="9"/>
      <c r="AD15267" s="9"/>
      <c r="AF15267" s="10"/>
      <c r="AG15267" s="10"/>
      <c r="AH15267" s="10"/>
      <c r="AI15267" s="10"/>
    </row>
    <row r="15268" spans="28:35" ht="15" hidden="1" customHeight="1">
      <c r="AB15268" s="9"/>
      <c r="AC15268" s="9"/>
      <c r="AD15268" s="9"/>
      <c r="AF15268" s="10"/>
      <c r="AG15268" s="10"/>
      <c r="AH15268" s="10"/>
      <c r="AI15268" s="10"/>
    </row>
    <row r="15269" spans="28:35" ht="15" hidden="1" customHeight="1">
      <c r="AB15269" s="9"/>
      <c r="AC15269" s="9"/>
      <c r="AD15269" s="9"/>
      <c r="AF15269" s="10"/>
      <c r="AG15269" s="10"/>
      <c r="AH15269" s="10"/>
      <c r="AI15269" s="10"/>
    </row>
    <row r="15270" spans="28:35" ht="15" hidden="1" customHeight="1">
      <c r="AB15270" s="9"/>
      <c r="AC15270" s="9"/>
      <c r="AD15270" s="9"/>
      <c r="AF15270" s="10"/>
      <c r="AG15270" s="10"/>
      <c r="AH15270" s="10"/>
      <c r="AI15270" s="10"/>
    </row>
    <row r="15271" spans="28:35" ht="15" hidden="1" customHeight="1">
      <c r="AB15271" s="9"/>
      <c r="AC15271" s="9"/>
      <c r="AD15271" s="9"/>
      <c r="AF15271" s="10"/>
      <c r="AG15271" s="10"/>
      <c r="AH15271" s="10"/>
      <c r="AI15271" s="10"/>
    </row>
    <row r="15272" spans="28:35" ht="15" hidden="1" customHeight="1">
      <c r="AB15272" s="9"/>
      <c r="AC15272" s="9"/>
      <c r="AD15272" s="9"/>
      <c r="AF15272" s="10"/>
      <c r="AG15272" s="10"/>
      <c r="AH15272" s="10"/>
      <c r="AI15272" s="10"/>
    </row>
    <row r="15273" spans="28:35" ht="15" hidden="1" customHeight="1">
      <c r="AB15273" s="9"/>
      <c r="AC15273" s="9"/>
      <c r="AD15273" s="9"/>
      <c r="AF15273" s="10"/>
      <c r="AG15273" s="10"/>
      <c r="AH15273" s="10"/>
      <c r="AI15273" s="10"/>
    </row>
    <row r="15274" spans="28:35" ht="15" hidden="1" customHeight="1">
      <c r="AB15274" s="9"/>
      <c r="AC15274" s="9"/>
      <c r="AD15274" s="9"/>
      <c r="AF15274" s="10"/>
      <c r="AG15274" s="10"/>
      <c r="AH15274" s="10"/>
      <c r="AI15274" s="10"/>
    </row>
    <row r="15275" spans="28:35" ht="15" hidden="1" customHeight="1">
      <c r="AB15275" s="9"/>
      <c r="AC15275" s="9"/>
      <c r="AD15275" s="9"/>
      <c r="AF15275" s="10"/>
      <c r="AG15275" s="10"/>
      <c r="AH15275" s="10"/>
      <c r="AI15275" s="10"/>
    </row>
    <row r="15276" spans="28:35" ht="15" hidden="1" customHeight="1">
      <c r="AB15276" s="9"/>
      <c r="AC15276" s="9"/>
      <c r="AD15276" s="9"/>
      <c r="AF15276" s="10"/>
      <c r="AG15276" s="10"/>
      <c r="AH15276" s="10"/>
      <c r="AI15276" s="10"/>
    </row>
    <row r="15277" spans="28:35" ht="15" hidden="1" customHeight="1">
      <c r="AB15277" s="9"/>
      <c r="AC15277" s="9"/>
      <c r="AD15277" s="9"/>
      <c r="AF15277" s="10"/>
      <c r="AG15277" s="10"/>
      <c r="AH15277" s="10"/>
      <c r="AI15277" s="10"/>
    </row>
    <row r="15278" spans="28:35" ht="15" hidden="1" customHeight="1">
      <c r="AB15278" s="9"/>
      <c r="AC15278" s="9"/>
      <c r="AD15278" s="9"/>
      <c r="AF15278" s="10"/>
      <c r="AG15278" s="10"/>
      <c r="AH15278" s="10"/>
      <c r="AI15278" s="10"/>
    </row>
    <row r="15279" spans="28:35" ht="15" hidden="1" customHeight="1">
      <c r="AB15279" s="9"/>
      <c r="AC15279" s="9"/>
      <c r="AD15279" s="9"/>
      <c r="AF15279" s="10"/>
      <c r="AG15279" s="10"/>
      <c r="AH15279" s="10"/>
      <c r="AI15279" s="10"/>
    </row>
    <row r="15280" spans="28:35" ht="15" hidden="1" customHeight="1">
      <c r="AB15280" s="9"/>
      <c r="AC15280" s="9"/>
      <c r="AD15280" s="9"/>
      <c r="AF15280" s="10"/>
      <c r="AG15280" s="10"/>
      <c r="AH15280" s="10"/>
      <c r="AI15280" s="10"/>
    </row>
    <row r="15281" spans="28:35" ht="15" hidden="1" customHeight="1">
      <c r="AB15281" s="9"/>
      <c r="AC15281" s="9"/>
      <c r="AD15281" s="9"/>
      <c r="AF15281" s="10"/>
      <c r="AG15281" s="10"/>
      <c r="AH15281" s="10"/>
      <c r="AI15281" s="10"/>
    </row>
    <row r="15282" spans="28:35" ht="15" hidden="1" customHeight="1">
      <c r="AB15282" s="9"/>
      <c r="AC15282" s="9"/>
      <c r="AD15282" s="9"/>
      <c r="AF15282" s="10"/>
      <c r="AG15282" s="10"/>
      <c r="AH15282" s="10"/>
      <c r="AI15282" s="10"/>
    </row>
    <row r="15283" spans="28:35" ht="15" hidden="1" customHeight="1">
      <c r="AB15283" s="9"/>
      <c r="AC15283" s="9"/>
      <c r="AD15283" s="9"/>
      <c r="AF15283" s="10"/>
      <c r="AG15283" s="10"/>
      <c r="AH15283" s="10"/>
      <c r="AI15283" s="10"/>
    </row>
    <row r="15284" spans="28:35" ht="15" hidden="1" customHeight="1">
      <c r="AB15284" s="9"/>
      <c r="AC15284" s="9"/>
      <c r="AD15284" s="9"/>
      <c r="AF15284" s="10"/>
      <c r="AG15284" s="10"/>
      <c r="AH15284" s="10"/>
      <c r="AI15284" s="10"/>
    </row>
    <row r="15285" spans="28:35" ht="15" hidden="1" customHeight="1">
      <c r="AB15285" s="9"/>
      <c r="AC15285" s="9"/>
      <c r="AD15285" s="9"/>
      <c r="AF15285" s="10"/>
      <c r="AG15285" s="10"/>
      <c r="AH15285" s="10"/>
      <c r="AI15285" s="10"/>
    </row>
    <row r="15286" spans="28:35" ht="15" hidden="1" customHeight="1">
      <c r="AB15286" s="9"/>
      <c r="AC15286" s="9"/>
      <c r="AD15286" s="9"/>
      <c r="AF15286" s="10"/>
      <c r="AG15286" s="10"/>
      <c r="AH15286" s="10"/>
      <c r="AI15286" s="10"/>
    </row>
    <row r="15287" spans="28:35" ht="15" hidden="1" customHeight="1">
      <c r="AB15287" s="9"/>
      <c r="AC15287" s="9"/>
      <c r="AD15287" s="9"/>
      <c r="AF15287" s="10"/>
      <c r="AG15287" s="10"/>
      <c r="AH15287" s="10"/>
      <c r="AI15287" s="10"/>
    </row>
    <row r="15288" spans="28:35" ht="15" hidden="1" customHeight="1">
      <c r="AB15288" s="9"/>
      <c r="AC15288" s="9"/>
      <c r="AD15288" s="9"/>
      <c r="AF15288" s="10"/>
      <c r="AG15288" s="10"/>
      <c r="AH15288" s="10"/>
      <c r="AI15288" s="10"/>
    </row>
    <row r="15289" spans="28:35" ht="15" hidden="1" customHeight="1">
      <c r="AB15289" s="9"/>
      <c r="AC15289" s="9"/>
      <c r="AD15289" s="9"/>
      <c r="AF15289" s="10"/>
      <c r="AG15289" s="10"/>
      <c r="AH15289" s="10"/>
      <c r="AI15289" s="10"/>
    </row>
    <row r="15290" spans="28:35" ht="15" hidden="1" customHeight="1">
      <c r="AB15290" s="9"/>
      <c r="AC15290" s="9"/>
      <c r="AD15290" s="9"/>
      <c r="AF15290" s="10"/>
      <c r="AG15290" s="10"/>
      <c r="AH15290" s="10"/>
      <c r="AI15290" s="10"/>
    </row>
    <row r="15291" spans="28:35" ht="15" hidden="1" customHeight="1">
      <c r="AB15291" s="9"/>
      <c r="AC15291" s="9"/>
      <c r="AD15291" s="9"/>
      <c r="AF15291" s="10"/>
      <c r="AG15291" s="10"/>
      <c r="AH15291" s="10"/>
      <c r="AI15291" s="10"/>
    </row>
    <row r="15292" spans="28:35" ht="15" hidden="1" customHeight="1">
      <c r="AB15292" s="9"/>
      <c r="AC15292" s="9"/>
      <c r="AD15292" s="9"/>
      <c r="AF15292" s="10"/>
      <c r="AG15292" s="10"/>
      <c r="AH15292" s="10"/>
      <c r="AI15292" s="10"/>
    </row>
    <row r="15293" spans="28:35" ht="15" hidden="1" customHeight="1">
      <c r="AB15293" s="9"/>
      <c r="AC15293" s="9"/>
      <c r="AD15293" s="9"/>
      <c r="AF15293" s="10"/>
      <c r="AG15293" s="10"/>
      <c r="AH15293" s="10"/>
      <c r="AI15293" s="10"/>
    </row>
    <row r="15294" spans="28:35" ht="15" hidden="1" customHeight="1">
      <c r="AB15294" s="9"/>
      <c r="AC15294" s="9"/>
      <c r="AD15294" s="9"/>
      <c r="AF15294" s="10"/>
      <c r="AG15294" s="10"/>
      <c r="AH15294" s="10"/>
      <c r="AI15294" s="10"/>
    </row>
    <row r="15295" spans="28:35" ht="15" hidden="1" customHeight="1">
      <c r="AB15295" s="9"/>
      <c r="AC15295" s="9"/>
      <c r="AD15295" s="9"/>
      <c r="AF15295" s="10"/>
      <c r="AG15295" s="10"/>
      <c r="AH15295" s="10"/>
      <c r="AI15295" s="10"/>
    </row>
    <row r="15296" spans="28:35" ht="15" hidden="1" customHeight="1">
      <c r="AB15296" s="9"/>
      <c r="AC15296" s="9"/>
      <c r="AD15296" s="9"/>
      <c r="AF15296" s="10"/>
      <c r="AG15296" s="10"/>
      <c r="AH15296" s="10"/>
      <c r="AI15296" s="10"/>
    </row>
    <row r="15297" spans="28:35" ht="15" hidden="1" customHeight="1">
      <c r="AB15297" s="9"/>
      <c r="AC15297" s="9"/>
      <c r="AD15297" s="9"/>
      <c r="AF15297" s="10"/>
      <c r="AG15297" s="10"/>
      <c r="AH15297" s="10"/>
      <c r="AI15297" s="10"/>
    </row>
    <row r="15298" spans="28:35" ht="15" hidden="1" customHeight="1">
      <c r="AB15298" s="9"/>
      <c r="AC15298" s="9"/>
      <c r="AD15298" s="9"/>
      <c r="AF15298" s="10"/>
      <c r="AG15298" s="10"/>
      <c r="AH15298" s="10"/>
      <c r="AI15298" s="10"/>
    </row>
    <row r="15299" spans="28:35" ht="15" hidden="1" customHeight="1">
      <c r="AB15299" s="9"/>
      <c r="AC15299" s="9"/>
      <c r="AD15299" s="9"/>
      <c r="AF15299" s="10"/>
      <c r="AG15299" s="10"/>
      <c r="AH15299" s="10"/>
      <c r="AI15299" s="10"/>
    </row>
    <row r="15300" spans="28:35" ht="15" hidden="1" customHeight="1">
      <c r="AB15300" s="9"/>
      <c r="AC15300" s="9"/>
      <c r="AD15300" s="9"/>
      <c r="AF15300" s="10"/>
      <c r="AG15300" s="10"/>
      <c r="AH15300" s="10"/>
      <c r="AI15300" s="10"/>
    </row>
    <row r="15301" spans="28:35" ht="15" hidden="1" customHeight="1">
      <c r="AB15301" s="9"/>
      <c r="AC15301" s="9"/>
      <c r="AD15301" s="9"/>
      <c r="AF15301" s="10"/>
      <c r="AG15301" s="10"/>
      <c r="AH15301" s="10"/>
      <c r="AI15301" s="10"/>
    </row>
    <row r="15302" spans="28:35" ht="15" hidden="1" customHeight="1">
      <c r="AB15302" s="9"/>
      <c r="AC15302" s="9"/>
      <c r="AD15302" s="9"/>
      <c r="AF15302" s="10"/>
      <c r="AG15302" s="10"/>
      <c r="AH15302" s="10"/>
      <c r="AI15302" s="10"/>
    </row>
    <row r="15303" spans="28:35" ht="15" hidden="1" customHeight="1">
      <c r="AB15303" s="9"/>
      <c r="AC15303" s="9"/>
      <c r="AD15303" s="9"/>
      <c r="AF15303" s="10"/>
      <c r="AG15303" s="10"/>
      <c r="AH15303" s="10"/>
      <c r="AI15303" s="10"/>
    </row>
    <row r="15304" spans="28:35" ht="15" hidden="1" customHeight="1">
      <c r="AB15304" s="9"/>
      <c r="AC15304" s="9"/>
      <c r="AD15304" s="9"/>
      <c r="AF15304" s="10"/>
      <c r="AG15304" s="10"/>
      <c r="AH15304" s="10"/>
      <c r="AI15304" s="10"/>
    </row>
    <row r="15305" spans="28:35" ht="15" hidden="1" customHeight="1">
      <c r="AB15305" s="9"/>
      <c r="AC15305" s="9"/>
      <c r="AD15305" s="9"/>
      <c r="AF15305" s="10"/>
      <c r="AG15305" s="10"/>
      <c r="AH15305" s="10"/>
      <c r="AI15305" s="10"/>
    </row>
    <row r="15306" spans="28:35" ht="15" hidden="1" customHeight="1">
      <c r="AB15306" s="9"/>
      <c r="AC15306" s="9"/>
      <c r="AD15306" s="9"/>
      <c r="AF15306" s="10"/>
      <c r="AG15306" s="10"/>
      <c r="AH15306" s="10"/>
      <c r="AI15306" s="10"/>
    </row>
    <row r="15307" spans="28:35" ht="15" hidden="1" customHeight="1">
      <c r="AB15307" s="9"/>
      <c r="AC15307" s="9"/>
      <c r="AD15307" s="9"/>
      <c r="AF15307" s="10"/>
      <c r="AG15307" s="10"/>
      <c r="AH15307" s="10"/>
      <c r="AI15307" s="10"/>
    </row>
    <row r="15308" spans="28:35" ht="15" hidden="1" customHeight="1">
      <c r="AB15308" s="9"/>
      <c r="AC15308" s="9"/>
      <c r="AD15308" s="9"/>
      <c r="AF15308" s="10"/>
      <c r="AG15308" s="10"/>
      <c r="AH15308" s="10"/>
      <c r="AI15308" s="10"/>
    </row>
    <row r="15309" spans="28:35" ht="15" hidden="1" customHeight="1">
      <c r="AB15309" s="9"/>
      <c r="AC15309" s="9"/>
      <c r="AD15309" s="9"/>
      <c r="AF15309" s="10"/>
      <c r="AG15309" s="10"/>
      <c r="AH15309" s="10"/>
      <c r="AI15309" s="10"/>
    </row>
    <row r="15310" spans="28:35" ht="15" hidden="1" customHeight="1">
      <c r="AB15310" s="9"/>
      <c r="AC15310" s="9"/>
      <c r="AD15310" s="9"/>
      <c r="AF15310" s="10"/>
      <c r="AG15310" s="10"/>
      <c r="AH15310" s="10"/>
      <c r="AI15310" s="10"/>
    </row>
    <row r="15311" spans="28:35" ht="15" hidden="1" customHeight="1">
      <c r="AB15311" s="9"/>
      <c r="AC15311" s="9"/>
      <c r="AD15311" s="9"/>
      <c r="AF15311" s="10"/>
      <c r="AG15311" s="10"/>
      <c r="AH15311" s="10"/>
      <c r="AI15311" s="10"/>
    </row>
    <row r="15312" spans="28:35" ht="15" hidden="1" customHeight="1">
      <c r="AB15312" s="9"/>
      <c r="AC15312" s="9"/>
      <c r="AD15312" s="9"/>
      <c r="AF15312" s="10"/>
      <c r="AG15312" s="10"/>
      <c r="AH15312" s="10"/>
      <c r="AI15312" s="10"/>
    </row>
    <row r="15313" spans="28:35" ht="15" hidden="1" customHeight="1">
      <c r="AB15313" s="9"/>
      <c r="AC15313" s="9"/>
      <c r="AD15313" s="9"/>
      <c r="AF15313" s="10"/>
      <c r="AG15313" s="10"/>
      <c r="AH15313" s="10"/>
      <c r="AI15313" s="10"/>
    </row>
    <row r="15314" spans="28:35" ht="15" hidden="1" customHeight="1">
      <c r="AB15314" s="9"/>
      <c r="AC15314" s="9"/>
      <c r="AD15314" s="9"/>
      <c r="AF15314" s="10"/>
      <c r="AG15314" s="10"/>
      <c r="AH15314" s="10"/>
      <c r="AI15314" s="10"/>
    </row>
    <row r="15315" spans="28:35" ht="15" hidden="1" customHeight="1">
      <c r="AB15315" s="9"/>
      <c r="AC15315" s="9"/>
      <c r="AD15315" s="9"/>
      <c r="AF15315" s="10"/>
      <c r="AG15315" s="10"/>
      <c r="AH15315" s="10"/>
      <c r="AI15315" s="10"/>
    </row>
    <row r="15316" spans="28:35" ht="15" hidden="1" customHeight="1">
      <c r="AB15316" s="9"/>
      <c r="AC15316" s="9"/>
      <c r="AD15316" s="9"/>
      <c r="AF15316" s="10"/>
      <c r="AG15316" s="10"/>
      <c r="AH15316" s="10"/>
      <c r="AI15316" s="10"/>
    </row>
    <row r="15317" spans="28:35" ht="15" hidden="1" customHeight="1">
      <c r="AB15317" s="9"/>
      <c r="AC15317" s="9"/>
      <c r="AD15317" s="9"/>
      <c r="AF15317" s="10"/>
      <c r="AG15317" s="10"/>
      <c r="AH15317" s="10"/>
      <c r="AI15317" s="10"/>
    </row>
    <row r="15318" spans="28:35" ht="15" hidden="1" customHeight="1">
      <c r="AB15318" s="9"/>
      <c r="AC15318" s="9"/>
      <c r="AD15318" s="9"/>
      <c r="AF15318" s="10"/>
      <c r="AG15318" s="10"/>
      <c r="AH15318" s="10"/>
      <c r="AI15318" s="10"/>
    </row>
    <row r="15319" spans="28:35" ht="15" hidden="1" customHeight="1">
      <c r="AB15319" s="9"/>
      <c r="AC15319" s="9"/>
      <c r="AD15319" s="9"/>
      <c r="AF15319" s="10"/>
      <c r="AG15319" s="10"/>
      <c r="AH15319" s="10"/>
      <c r="AI15319" s="10"/>
    </row>
    <row r="15320" spans="28:35" ht="15" hidden="1" customHeight="1">
      <c r="AB15320" s="9"/>
      <c r="AC15320" s="9"/>
      <c r="AD15320" s="9"/>
      <c r="AF15320" s="10"/>
      <c r="AG15320" s="10"/>
      <c r="AH15320" s="10"/>
      <c r="AI15320" s="10"/>
    </row>
    <row r="15321" spans="28:35" ht="15" hidden="1" customHeight="1">
      <c r="AB15321" s="9"/>
      <c r="AC15321" s="9"/>
      <c r="AD15321" s="9"/>
      <c r="AF15321" s="10"/>
      <c r="AG15321" s="10"/>
      <c r="AH15321" s="10"/>
      <c r="AI15321" s="10"/>
    </row>
    <row r="15322" spans="28:35" ht="15" hidden="1" customHeight="1">
      <c r="AB15322" s="9"/>
      <c r="AC15322" s="9"/>
      <c r="AD15322" s="9"/>
      <c r="AF15322" s="10"/>
      <c r="AG15322" s="10"/>
      <c r="AH15322" s="10"/>
      <c r="AI15322" s="10"/>
    </row>
    <row r="15323" spans="28:35" ht="15" hidden="1" customHeight="1">
      <c r="AB15323" s="9"/>
      <c r="AC15323" s="9"/>
      <c r="AD15323" s="9"/>
      <c r="AF15323" s="10"/>
      <c r="AG15323" s="10"/>
      <c r="AH15323" s="10"/>
      <c r="AI15323" s="10"/>
    </row>
    <row r="15324" spans="28:35" ht="15" hidden="1" customHeight="1">
      <c r="AB15324" s="9"/>
      <c r="AC15324" s="9"/>
      <c r="AD15324" s="9"/>
      <c r="AF15324" s="10"/>
      <c r="AG15324" s="10"/>
      <c r="AH15324" s="10"/>
      <c r="AI15324" s="10"/>
    </row>
    <row r="15325" spans="28:35" ht="15" hidden="1" customHeight="1">
      <c r="AB15325" s="9"/>
      <c r="AC15325" s="9"/>
      <c r="AD15325" s="9"/>
      <c r="AF15325" s="10"/>
      <c r="AG15325" s="10"/>
      <c r="AH15325" s="10"/>
      <c r="AI15325" s="10"/>
    </row>
    <row r="15326" spans="28:35" ht="15" hidden="1" customHeight="1">
      <c r="AB15326" s="9"/>
      <c r="AC15326" s="9"/>
      <c r="AD15326" s="9"/>
      <c r="AF15326" s="10"/>
      <c r="AG15326" s="10"/>
      <c r="AH15326" s="10"/>
      <c r="AI15326" s="10"/>
    </row>
    <row r="15327" spans="28:35" ht="15" hidden="1" customHeight="1">
      <c r="AB15327" s="9"/>
      <c r="AC15327" s="9"/>
      <c r="AD15327" s="9"/>
      <c r="AF15327" s="10"/>
      <c r="AG15327" s="10"/>
      <c r="AH15327" s="10"/>
      <c r="AI15327" s="10"/>
    </row>
    <row r="15328" spans="28:35" ht="15" hidden="1" customHeight="1">
      <c r="AB15328" s="9"/>
      <c r="AC15328" s="9"/>
      <c r="AD15328" s="9"/>
      <c r="AF15328" s="10"/>
      <c r="AG15328" s="10"/>
      <c r="AH15328" s="10"/>
      <c r="AI15328" s="10"/>
    </row>
    <row r="15329" spans="28:35" ht="15" hidden="1" customHeight="1">
      <c r="AB15329" s="9"/>
      <c r="AC15329" s="9"/>
      <c r="AD15329" s="9"/>
      <c r="AF15329" s="10"/>
      <c r="AG15329" s="10"/>
      <c r="AH15329" s="10"/>
      <c r="AI15329" s="10"/>
    </row>
    <row r="15330" spans="28:35" ht="15" hidden="1" customHeight="1">
      <c r="AB15330" s="9"/>
      <c r="AC15330" s="9"/>
      <c r="AD15330" s="9"/>
      <c r="AF15330" s="10"/>
      <c r="AG15330" s="10"/>
      <c r="AH15330" s="10"/>
      <c r="AI15330" s="10"/>
    </row>
    <row r="15331" spans="28:35" ht="15" hidden="1" customHeight="1">
      <c r="AB15331" s="9"/>
      <c r="AC15331" s="9"/>
      <c r="AD15331" s="9"/>
      <c r="AF15331" s="10"/>
      <c r="AG15331" s="10"/>
      <c r="AH15331" s="10"/>
      <c r="AI15331" s="10"/>
    </row>
    <row r="15332" spans="28:35" ht="15" hidden="1" customHeight="1">
      <c r="AB15332" s="9"/>
      <c r="AC15332" s="9"/>
      <c r="AD15332" s="9"/>
      <c r="AF15332" s="10"/>
      <c r="AG15332" s="10"/>
      <c r="AH15332" s="10"/>
      <c r="AI15332" s="10"/>
    </row>
    <row r="15333" spans="28:35" ht="15" hidden="1" customHeight="1">
      <c r="AB15333" s="9"/>
      <c r="AC15333" s="9"/>
      <c r="AD15333" s="9"/>
      <c r="AF15333" s="10"/>
      <c r="AG15333" s="10"/>
      <c r="AH15333" s="10"/>
      <c r="AI15333" s="10"/>
    </row>
    <row r="15334" spans="28:35" ht="15" hidden="1" customHeight="1">
      <c r="AB15334" s="9"/>
      <c r="AC15334" s="9"/>
      <c r="AD15334" s="9"/>
      <c r="AF15334" s="10"/>
      <c r="AG15334" s="10"/>
      <c r="AH15334" s="10"/>
      <c r="AI15334" s="10"/>
    </row>
    <row r="15335" spans="28:35" ht="15" hidden="1" customHeight="1">
      <c r="AB15335" s="9"/>
      <c r="AC15335" s="9"/>
      <c r="AD15335" s="9"/>
      <c r="AF15335" s="10"/>
      <c r="AG15335" s="10"/>
      <c r="AH15335" s="10"/>
      <c r="AI15335" s="10"/>
    </row>
    <row r="15336" spans="28:35" ht="15" hidden="1" customHeight="1">
      <c r="AB15336" s="9"/>
      <c r="AC15336" s="9"/>
      <c r="AD15336" s="9"/>
      <c r="AF15336" s="10"/>
      <c r="AG15336" s="10"/>
      <c r="AH15336" s="10"/>
      <c r="AI15336" s="10"/>
    </row>
    <row r="15337" spans="28:35" ht="15" hidden="1" customHeight="1">
      <c r="AB15337" s="9"/>
      <c r="AC15337" s="9"/>
      <c r="AD15337" s="9"/>
      <c r="AF15337" s="10"/>
      <c r="AG15337" s="10"/>
      <c r="AH15337" s="10"/>
      <c r="AI15337" s="10"/>
    </row>
    <row r="15338" spans="28:35" ht="15" hidden="1" customHeight="1">
      <c r="AB15338" s="9"/>
      <c r="AC15338" s="9"/>
      <c r="AD15338" s="9"/>
      <c r="AF15338" s="10"/>
      <c r="AG15338" s="10"/>
      <c r="AH15338" s="10"/>
      <c r="AI15338" s="10"/>
    </row>
    <row r="15339" spans="28:35" ht="15" hidden="1" customHeight="1">
      <c r="AB15339" s="9"/>
      <c r="AC15339" s="9"/>
      <c r="AD15339" s="9"/>
      <c r="AF15339" s="10"/>
      <c r="AG15339" s="10"/>
      <c r="AH15339" s="10"/>
      <c r="AI15339" s="10"/>
    </row>
    <row r="15340" spans="28:35" ht="15" hidden="1" customHeight="1">
      <c r="AB15340" s="9"/>
      <c r="AC15340" s="9"/>
      <c r="AD15340" s="9"/>
      <c r="AF15340" s="10"/>
      <c r="AG15340" s="10"/>
      <c r="AH15340" s="10"/>
      <c r="AI15340" s="10"/>
    </row>
    <row r="15341" spans="28:35" ht="15" hidden="1" customHeight="1">
      <c r="AB15341" s="9"/>
      <c r="AC15341" s="9"/>
      <c r="AD15341" s="9"/>
      <c r="AF15341" s="10"/>
      <c r="AG15341" s="10"/>
      <c r="AH15341" s="10"/>
      <c r="AI15341" s="10"/>
    </row>
    <row r="15342" spans="28:35" ht="15" hidden="1" customHeight="1">
      <c r="AB15342" s="9"/>
      <c r="AC15342" s="9"/>
      <c r="AD15342" s="9"/>
      <c r="AF15342" s="10"/>
      <c r="AG15342" s="10"/>
      <c r="AH15342" s="10"/>
      <c r="AI15342" s="10"/>
    </row>
    <row r="15343" spans="28:35" ht="15" hidden="1" customHeight="1">
      <c r="AB15343" s="9"/>
      <c r="AC15343" s="9"/>
      <c r="AD15343" s="9"/>
      <c r="AF15343" s="10"/>
      <c r="AG15343" s="10"/>
      <c r="AH15343" s="10"/>
      <c r="AI15343" s="10"/>
    </row>
    <row r="15344" spans="28:35" ht="15" hidden="1" customHeight="1">
      <c r="AB15344" s="9"/>
      <c r="AC15344" s="9"/>
      <c r="AD15344" s="9"/>
      <c r="AF15344" s="10"/>
      <c r="AG15344" s="10"/>
      <c r="AH15344" s="10"/>
      <c r="AI15344" s="10"/>
    </row>
    <row r="15345" spans="28:35" ht="15" hidden="1" customHeight="1">
      <c r="AB15345" s="9"/>
      <c r="AC15345" s="9"/>
      <c r="AD15345" s="9"/>
      <c r="AF15345" s="10"/>
      <c r="AG15345" s="10"/>
      <c r="AH15345" s="10"/>
      <c r="AI15345" s="10"/>
    </row>
    <row r="15346" spans="28:35" ht="15" hidden="1" customHeight="1">
      <c r="AB15346" s="9"/>
      <c r="AC15346" s="9"/>
      <c r="AD15346" s="9"/>
      <c r="AF15346" s="10"/>
      <c r="AG15346" s="10"/>
      <c r="AH15346" s="10"/>
      <c r="AI15346" s="10"/>
    </row>
    <row r="15347" spans="28:35" ht="15" hidden="1" customHeight="1">
      <c r="AB15347" s="9"/>
      <c r="AC15347" s="9"/>
      <c r="AD15347" s="9"/>
      <c r="AF15347" s="10"/>
      <c r="AG15347" s="10"/>
      <c r="AH15347" s="10"/>
      <c r="AI15347" s="10"/>
    </row>
    <row r="15348" spans="28:35" ht="15" hidden="1" customHeight="1">
      <c r="AB15348" s="9"/>
      <c r="AC15348" s="9"/>
      <c r="AD15348" s="9"/>
      <c r="AF15348" s="10"/>
      <c r="AG15348" s="10"/>
      <c r="AH15348" s="10"/>
      <c r="AI15348" s="10"/>
    </row>
    <row r="15349" spans="28:35" ht="15" hidden="1" customHeight="1">
      <c r="AB15349" s="9"/>
      <c r="AC15349" s="9"/>
      <c r="AD15349" s="9"/>
      <c r="AF15349" s="10"/>
      <c r="AG15349" s="10"/>
      <c r="AH15349" s="10"/>
      <c r="AI15349" s="10"/>
    </row>
    <row r="15350" spans="28:35" ht="15" hidden="1" customHeight="1">
      <c r="AB15350" s="9"/>
      <c r="AC15350" s="9"/>
      <c r="AD15350" s="9"/>
      <c r="AF15350" s="10"/>
      <c r="AG15350" s="10"/>
      <c r="AH15350" s="10"/>
      <c r="AI15350" s="10"/>
    </row>
    <row r="15351" spans="28:35" ht="15" hidden="1" customHeight="1">
      <c r="AB15351" s="9"/>
      <c r="AC15351" s="9"/>
      <c r="AD15351" s="9"/>
      <c r="AF15351" s="10"/>
      <c r="AG15351" s="10"/>
      <c r="AH15351" s="10"/>
      <c r="AI15351" s="10"/>
    </row>
    <row r="15352" spans="28:35" ht="15" hidden="1" customHeight="1">
      <c r="AB15352" s="9"/>
      <c r="AC15352" s="9"/>
      <c r="AD15352" s="9"/>
      <c r="AF15352" s="10"/>
      <c r="AG15352" s="10"/>
      <c r="AH15352" s="10"/>
      <c r="AI15352" s="10"/>
    </row>
    <row r="15353" spans="28:35" ht="15" hidden="1" customHeight="1">
      <c r="AB15353" s="9"/>
      <c r="AC15353" s="9"/>
      <c r="AD15353" s="9"/>
      <c r="AF15353" s="10"/>
      <c r="AG15353" s="10"/>
      <c r="AH15353" s="10"/>
      <c r="AI15353" s="10"/>
    </row>
    <row r="15354" spans="28:35" ht="15" hidden="1" customHeight="1">
      <c r="AB15354" s="9"/>
      <c r="AC15354" s="9"/>
      <c r="AD15354" s="9"/>
      <c r="AF15354" s="10"/>
      <c r="AG15354" s="10"/>
      <c r="AH15354" s="10"/>
      <c r="AI15354" s="10"/>
    </row>
    <row r="15355" spans="28:35" ht="15" hidden="1" customHeight="1">
      <c r="AB15355" s="9"/>
      <c r="AC15355" s="9"/>
      <c r="AD15355" s="9"/>
      <c r="AF15355" s="10"/>
      <c r="AG15355" s="10"/>
      <c r="AH15355" s="10"/>
      <c r="AI15355" s="10"/>
    </row>
    <row r="15356" spans="28:35" ht="15" hidden="1" customHeight="1">
      <c r="AB15356" s="9"/>
      <c r="AC15356" s="9"/>
      <c r="AD15356" s="9"/>
      <c r="AF15356" s="10"/>
      <c r="AG15356" s="10"/>
      <c r="AH15356" s="10"/>
      <c r="AI15356" s="10"/>
    </row>
    <row r="15357" spans="28:35" ht="15" hidden="1" customHeight="1">
      <c r="AB15357" s="9"/>
      <c r="AC15357" s="9"/>
      <c r="AD15357" s="9"/>
      <c r="AF15357" s="10"/>
      <c r="AG15357" s="10"/>
      <c r="AH15357" s="10"/>
      <c r="AI15357" s="10"/>
    </row>
    <row r="15358" spans="28:35" ht="15" hidden="1" customHeight="1">
      <c r="AB15358" s="9"/>
      <c r="AC15358" s="9"/>
      <c r="AD15358" s="9"/>
      <c r="AF15358" s="10"/>
      <c r="AG15358" s="10"/>
      <c r="AH15358" s="10"/>
      <c r="AI15358" s="10"/>
    </row>
    <row r="15359" spans="28:35" ht="15" hidden="1" customHeight="1">
      <c r="AB15359" s="9"/>
      <c r="AC15359" s="9"/>
      <c r="AD15359" s="9"/>
      <c r="AF15359" s="10"/>
      <c r="AG15359" s="10"/>
      <c r="AH15359" s="10"/>
      <c r="AI15359" s="10"/>
    </row>
    <row r="15360" spans="28:35" ht="15" hidden="1" customHeight="1">
      <c r="AB15360" s="9"/>
      <c r="AC15360" s="9"/>
      <c r="AD15360" s="9"/>
      <c r="AF15360" s="10"/>
      <c r="AG15360" s="10"/>
      <c r="AH15360" s="10"/>
      <c r="AI15360" s="10"/>
    </row>
    <row r="15361" spans="28:35" ht="15" hidden="1" customHeight="1">
      <c r="AB15361" s="9"/>
      <c r="AC15361" s="9"/>
      <c r="AD15361" s="9"/>
      <c r="AF15361" s="10"/>
      <c r="AG15361" s="10"/>
      <c r="AH15361" s="10"/>
      <c r="AI15361" s="10"/>
    </row>
    <row r="15362" spans="28:35" ht="15" hidden="1" customHeight="1">
      <c r="AB15362" s="9"/>
      <c r="AC15362" s="9"/>
      <c r="AD15362" s="9"/>
      <c r="AF15362" s="10"/>
      <c r="AG15362" s="10"/>
      <c r="AH15362" s="10"/>
      <c r="AI15362" s="10"/>
    </row>
    <row r="15363" spans="28:35" ht="15" hidden="1" customHeight="1">
      <c r="AB15363" s="9"/>
      <c r="AC15363" s="9"/>
      <c r="AD15363" s="9"/>
      <c r="AF15363" s="10"/>
      <c r="AG15363" s="10"/>
      <c r="AH15363" s="10"/>
      <c r="AI15363" s="10"/>
    </row>
    <row r="15364" spans="28:35" ht="15" hidden="1" customHeight="1">
      <c r="AB15364" s="9"/>
      <c r="AC15364" s="9"/>
      <c r="AD15364" s="9"/>
      <c r="AF15364" s="10"/>
      <c r="AG15364" s="10"/>
      <c r="AH15364" s="10"/>
      <c r="AI15364" s="10"/>
    </row>
    <row r="15365" spans="28:35" ht="15" hidden="1" customHeight="1">
      <c r="AB15365" s="9"/>
      <c r="AC15365" s="9"/>
      <c r="AD15365" s="9"/>
      <c r="AF15365" s="10"/>
      <c r="AG15365" s="10"/>
      <c r="AH15365" s="10"/>
      <c r="AI15365" s="10"/>
    </row>
    <row r="15366" spans="28:35" ht="15" hidden="1" customHeight="1">
      <c r="AB15366" s="9"/>
      <c r="AC15366" s="9"/>
      <c r="AD15366" s="9"/>
      <c r="AF15366" s="10"/>
      <c r="AG15366" s="10"/>
      <c r="AH15366" s="10"/>
      <c r="AI15366" s="10"/>
    </row>
    <row r="15367" spans="28:35" ht="15" hidden="1" customHeight="1">
      <c r="AB15367" s="9"/>
      <c r="AC15367" s="9"/>
      <c r="AD15367" s="9"/>
      <c r="AF15367" s="10"/>
      <c r="AG15367" s="10"/>
      <c r="AH15367" s="10"/>
      <c r="AI15367" s="10"/>
    </row>
    <row r="15368" spans="28:35" ht="15" hidden="1" customHeight="1">
      <c r="AB15368" s="9"/>
      <c r="AC15368" s="9"/>
      <c r="AD15368" s="9"/>
      <c r="AF15368" s="10"/>
      <c r="AG15368" s="10"/>
      <c r="AH15368" s="10"/>
      <c r="AI15368" s="10"/>
    </row>
    <row r="15369" spans="28:35" ht="15" hidden="1" customHeight="1">
      <c r="AB15369" s="9"/>
      <c r="AC15369" s="9"/>
      <c r="AD15369" s="9"/>
      <c r="AF15369" s="10"/>
      <c r="AG15369" s="10"/>
      <c r="AH15369" s="10"/>
      <c r="AI15369" s="10"/>
    </row>
    <row r="15370" spans="28:35" ht="15" hidden="1" customHeight="1">
      <c r="AB15370" s="9"/>
      <c r="AC15370" s="9"/>
      <c r="AD15370" s="9"/>
      <c r="AF15370" s="10"/>
      <c r="AG15370" s="10"/>
      <c r="AH15370" s="10"/>
      <c r="AI15370" s="10"/>
    </row>
    <row r="15371" spans="28:35" ht="15" hidden="1" customHeight="1">
      <c r="AB15371" s="9"/>
      <c r="AC15371" s="9"/>
      <c r="AD15371" s="9"/>
      <c r="AF15371" s="10"/>
      <c r="AG15371" s="10"/>
      <c r="AH15371" s="10"/>
      <c r="AI15371" s="10"/>
    </row>
    <row r="15372" spans="28:35" ht="15" hidden="1" customHeight="1">
      <c r="AB15372" s="9"/>
      <c r="AC15372" s="9"/>
      <c r="AD15372" s="9"/>
      <c r="AF15372" s="10"/>
      <c r="AG15372" s="10"/>
      <c r="AH15372" s="10"/>
      <c r="AI15372" s="10"/>
    </row>
    <row r="15373" spans="28:35" ht="15" hidden="1" customHeight="1">
      <c r="AB15373" s="9"/>
      <c r="AC15373" s="9"/>
      <c r="AD15373" s="9"/>
      <c r="AF15373" s="10"/>
      <c r="AG15373" s="10"/>
      <c r="AH15373" s="10"/>
      <c r="AI15373" s="10"/>
    </row>
    <row r="15374" spans="28:35" ht="15" hidden="1" customHeight="1">
      <c r="AB15374" s="9"/>
      <c r="AC15374" s="9"/>
      <c r="AD15374" s="9"/>
      <c r="AF15374" s="10"/>
      <c r="AG15374" s="10"/>
      <c r="AH15374" s="10"/>
      <c r="AI15374" s="10"/>
    </row>
    <row r="15375" spans="28:35" ht="15" hidden="1" customHeight="1">
      <c r="AB15375" s="9"/>
      <c r="AC15375" s="9"/>
      <c r="AD15375" s="9"/>
      <c r="AF15375" s="10"/>
      <c r="AG15375" s="10"/>
      <c r="AH15375" s="10"/>
      <c r="AI15375" s="10"/>
    </row>
    <row r="15376" spans="28:35" ht="15" hidden="1" customHeight="1">
      <c r="AB15376" s="9"/>
      <c r="AC15376" s="9"/>
      <c r="AD15376" s="9"/>
      <c r="AF15376" s="10"/>
      <c r="AG15376" s="10"/>
      <c r="AH15376" s="10"/>
      <c r="AI15376" s="10"/>
    </row>
    <row r="15377" spans="28:35" ht="15" hidden="1" customHeight="1">
      <c r="AB15377" s="9"/>
      <c r="AC15377" s="9"/>
      <c r="AD15377" s="9"/>
      <c r="AF15377" s="10"/>
      <c r="AG15377" s="10"/>
      <c r="AH15377" s="10"/>
      <c r="AI15377" s="10"/>
    </row>
    <row r="15378" spans="28:35" ht="15" hidden="1" customHeight="1">
      <c r="AB15378" s="9"/>
      <c r="AC15378" s="9"/>
      <c r="AD15378" s="9"/>
      <c r="AF15378" s="10"/>
      <c r="AG15378" s="10"/>
      <c r="AH15378" s="10"/>
      <c r="AI15378" s="10"/>
    </row>
    <row r="15379" spans="28:35" ht="15" hidden="1" customHeight="1">
      <c r="AB15379" s="9"/>
      <c r="AC15379" s="9"/>
      <c r="AD15379" s="9"/>
      <c r="AF15379" s="10"/>
      <c r="AG15379" s="10"/>
      <c r="AH15379" s="10"/>
      <c r="AI15379" s="10"/>
    </row>
    <row r="15380" spans="28:35" ht="15" hidden="1" customHeight="1">
      <c r="AB15380" s="9"/>
      <c r="AC15380" s="9"/>
      <c r="AD15380" s="9"/>
      <c r="AF15380" s="10"/>
      <c r="AG15380" s="10"/>
      <c r="AH15380" s="10"/>
      <c r="AI15380" s="10"/>
    </row>
    <row r="15381" spans="28:35" ht="15" hidden="1" customHeight="1">
      <c r="AB15381" s="9"/>
      <c r="AC15381" s="9"/>
      <c r="AD15381" s="9"/>
      <c r="AF15381" s="10"/>
      <c r="AG15381" s="10"/>
      <c r="AH15381" s="10"/>
      <c r="AI15381" s="10"/>
    </row>
    <row r="15382" spans="28:35" ht="15" hidden="1" customHeight="1">
      <c r="AB15382" s="9"/>
      <c r="AC15382" s="9"/>
      <c r="AD15382" s="9"/>
      <c r="AF15382" s="10"/>
      <c r="AG15382" s="10"/>
      <c r="AH15382" s="10"/>
      <c r="AI15382" s="10"/>
    </row>
    <row r="15383" spans="28:35" ht="15" hidden="1" customHeight="1">
      <c r="AB15383" s="9"/>
      <c r="AC15383" s="9"/>
      <c r="AD15383" s="9"/>
      <c r="AF15383" s="10"/>
      <c r="AG15383" s="10"/>
      <c r="AH15383" s="10"/>
      <c r="AI15383" s="10"/>
    </row>
    <row r="15384" spans="28:35" ht="15" hidden="1" customHeight="1">
      <c r="AB15384" s="9"/>
      <c r="AC15384" s="9"/>
      <c r="AD15384" s="9"/>
      <c r="AF15384" s="10"/>
      <c r="AG15384" s="10"/>
      <c r="AH15384" s="10"/>
      <c r="AI15384" s="10"/>
    </row>
    <row r="15385" spans="28:35" ht="15" hidden="1" customHeight="1">
      <c r="AB15385" s="9"/>
      <c r="AC15385" s="9"/>
      <c r="AD15385" s="9"/>
      <c r="AF15385" s="10"/>
      <c r="AG15385" s="10"/>
      <c r="AH15385" s="10"/>
      <c r="AI15385" s="10"/>
    </row>
    <row r="15386" spans="28:35" ht="15" hidden="1" customHeight="1">
      <c r="AB15386" s="9"/>
      <c r="AC15386" s="9"/>
      <c r="AD15386" s="9"/>
      <c r="AF15386" s="10"/>
      <c r="AG15386" s="10"/>
      <c r="AH15386" s="10"/>
      <c r="AI15386" s="10"/>
    </row>
    <row r="15387" spans="28:35" ht="15" hidden="1" customHeight="1">
      <c r="AB15387" s="9"/>
      <c r="AC15387" s="9"/>
      <c r="AD15387" s="9"/>
      <c r="AF15387" s="10"/>
      <c r="AG15387" s="10"/>
      <c r="AH15387" s="10"/>
      <c r="AI15387" s="10"/>
    </row>
    <row r="15388" spans="28:35" ht="15" hidden="1" customHeight="1">
      <c r="AB15388" s="9"/>
      <c r="AC15388" s="9"/>
      <c r="AD15388" s="9"/>
      <c r="AF15388" s="10"/>
      <c r="AG15388" s="10"/>
      <c r="AH15388" s="10"/>
      <c r="AI15388" s="10"/>
    </row>
    <row r="15389" spans="28:35" ht="15" hidden="1" customHeight="1">
      <c r="AB15389" s="9"/>
      <c r="AC15389" s="9"/>
      <c r="AD15389" s="9"/>
      <c r="AF15389" s="10"/>
      <c r="AG15389" s="10"/>
      <c r="AH15389" s="10"/>
      <c r="AI15389" s="10"/>
    </row>
    <row r="15390" spans="28:35" ht="15" hidden="1" customHeight="1">
      <c r="AB15390" s="9"/>
      <c r="AC15390" s="9"/>
      <c r="AD15390" s="9"/>
      <c r="AF15390" s="10"/>
      <c r="AG15390" s="10"/>
      <c r="AH15390" s="10"/>
      <c r="AI15390" s="10"/>
    </row>
    <row r="15391" spans="28:35" ht="15" hidden="1" customHeight="1">
      <c r="AB15391" s="9"/>
      <c r="AC15391" s="9"/>
      <c r="AD15391" s="9"/>
      <c r="AF15391" s="10"/>
      <c r="AG15391" s="10"/>
      <c r="AH15391" s="10"/>
      <c r="AI15391" s="10"/>
    </row>
    <row r="15392" spans="28:35" ht="15" hidden="1" customHeight="1">
      <c r="AB15392" s="9"/>
      <c r="AC15392" s="9"/>
      <c r="AD15392" s="9"/>
      <c r="AF15392" s="10"/>
      <c r="AG15392" s="10"/>
      <c r="AH15392" s="10"/>
      <c r="AI15392" s="10"/>
    </row>
    <row r="15393" spans="28:35" ht="15" hidden="1" customHeight="1">
      <c r="AB15393" s="9"/>
      <c r="AC15393" s="9"/>
      <c r="AD15393" s="9"/>
      <c r="AF15393" s="10"/>
      <c r="AG15393" s="10"/>
      <c r="AH15393" s="10"/>
      <c r="AI15393" s="10"/>
    </row>
    <row r="15394" spans="28:35" ht="15" hidden="1" customHeight="1">
      <c r="AB15394" s="9"/>
      <c r="AC15394" s="9"/>
      <c r="AD15394" s="9"/>
      <c r="AF15394" s="10"/>
      <c r="AG15394" s="10"/>
      <c r="AH15394" s="10"/>
      <c r="AI15394" s="10"/>
    </row>
    <row r="15395" spans="28:35" ht="15" hidden="1" customHeight="1">
      <c r="AB15395" s="9"/>
      <c r="AC15395" s="9"/>
      <c r="AD15395" s="9"/>
      <c r="AF15395" s="10"/>
      <c r="AG15395" s="10"/>
      <c r="AH15395" s="10"/>
      <c r="AI15395" s="10"/>
    </row>
    <row r="15396" spans="28:35" ht="15" hidden="1" customHeight="1">
      <c r="AB15396" s="9"/>
      <c r="AC15396" s="9"/>
      <c r="AD15396" s="9"/>
      <c r="AF15396" s="10"/>
      <c r="AG15396" s="10"/>
      <c r="AH15396" s="10"/>
      <c r="AI15396" s="10"/>
    </row>
    <row r="15397" spans="28:35" ht="15" hidden="1" customHeight="1">
      <c r="AB15397" s="9"/>
      <c r="AC15397" s="9"/>
      <c r="AD15397" s="9"/>
      <c r="AF15397" s="10"/>
      <c r="AG15397" s="10"/>
      <c r="AH15397" s="10"/>
      <c r="AI15397" s="10"/>
    </row>
    <row r="15398" spans="28:35" ht="15" hidden="1" customHeight="1">
      <c r="AB15398" s="9"/>
      <c r="AC15398" s="9"/>
      <c r="AD15398" s="9"/>
      <c r="AF15398" s="10"/>
      <c r="AG15398" s="10"/>
      <c r="AH15398" s="10"/>
      <c r="AI15398" s="10"/>
    </row>
    <row r="15399" spans="28:35" ht="15" hidden="1" customHeight="1">
      <c r="AB15399" s="9"/>
      <c r="AC15399" s="9"/>
      <c r="AD15399" s="9"/>
      <c r="AF15399" s="10"/>
      <c r="AG15399" s="10"/>
      <c r="AH15399" s="10"/>
      <c r="AI15399" s="10"/>
    </row>
    <row r="15400" spans="28:35" ht="15" hidden="1" customHeight="1">
      <c r="AB15400" s="9"/>
      <c r="AC15400" s="9"/>
      <c r="AD15400" s="9"/>
      <c r="AF15400" s="10"/>
      <c r="AG15400" s="10"/>
      <c r="AH15400" s="10"/>
      <c r="AI15400" s="10"/>
    </row>
    <row r="15401" spans="28:35" ht="15" hidden="1" customHeight="1">
      <c r="AB15401" s="9"/>
      <c r="AC15401" s="9"/>
      <c r="AD15401" s="9"/>
      <c r="AF15401" s="10"/>
      <c r="AG15401" s="10"/>
      <c r="AH15401" s="10"/>
      <c r="AI15401" s="10"/>
    </row>
    <row r="15402" spans="28:35" ht="15" hidden="1" customHeight="1">
      <c r="AB15402" s="9"/>
      <c r="AC15402" s="9"/>
      <c r="AD15402" s="9"/>
      <c r="AF15402" s="10"/>
      <c r="AG15402" s="10"/>
      <c r="AH15402" s="10"/>
      <c r="AI15402" s="10"/>
    </row>
    <row r="15403" spans="28:35" ht="15" hidden="1" customHeight="1">
      <c r="AB15403" s="9"/>
      <c r="AC15403" s="9"/>
      <c r="AD15403" s="9"/>
      <c r="AF15403" s="10"/>
      <c r="AG15403" s="10"/>
      <c r="AH15403" s="10"/>
      <c r="AI15403" s="10"/>
    </row>
    <row r="15404" spans="28:35" ht="15" hidden="1" customHeight="1">
      <c r="AB15404" s="9"/>
      <c r="AC15404" s="9"/>
      <c r="AD15404" s="9"/>
      <c r="AF15404" s="10"/>
      <c r="AG15404" s="10"/>
      <c r="AH15404" s="10"/>
      <c r="AI15404" s="10"/>
    </row>
    <row r="15405" spans="28:35" ht="15" hidden="1" customHeight="1">
      <c r="AB15405" s="9"/>
      <c r="AC15405" s="9"/>
      <c r="AD15405" s="9"/>
      <c r="AF15405" s="10"/>
      <c r="AG15405" s="10"/>
      <c r="AH15405" s="10"/>
      <c r="AI15405" s="10"/>
    </row>
    <row r="15406" spans="28:35" ht="15" hidden="1" customHeight="1">
      <c r="AB15406" s="9"/>
      <c r="AC15406" s="9"/>
      <c r="AD15406" s="9"/>
      <c r="AF15406" s="10"/>
      <c r="AG15406" s="10"/>
      <c r="AH15406" s="10"/>
      <c r="AI15406" s="10"/>
    </row>
    <row r="15407" spans="28:35" ht="15" hidden="1" customHeight="1">
      <c r="AB15407" s="9"/>
      <c r="AC15407" s="9"/>
      <c r="AD15407" s="9"/>
      <c r="AF15407" s="10"/>
      <c r="AG15407" s="10"/>
      <c r="AH15407" s="10"/>
      <c r="AI15407" s="10"/>
    </row>
    <row r="15408" spans="28:35" ht="15" hidden="1" customHeight="1">
      <c r="AB15408" s="9"/>
      <c r="AC15408" s="9"/>
      <c r="AD15408" s="9"/>
      <c r="AF15408" s="10"/>
      <c r="AG15408" s="10"/>
      <c r="AH15408" s="10"/>
      <c r="AI15408" s="10"/>
    </row>
    <row r="15409" spans="28:35" ht="15" hidden="1" customHeight="1">
      <c r="AB15409" s="9"/>
      <c r="AC15409" s="9"/>
      <c r="AD15409" s="9"/>
      <c r="AF15409" s="10"/>
      <c r="AG15409" s="10"/>
      <c r="AH15409" s="10"/>
      <c r="AI15409" s="10"/>
    </row>
    <row r="15410" spans="28:35" ht="15" hidden="1" customHeight="1">
      <c r="AB15410" s="9"/>
      <c r="AC15410" s="9"/>
      <c r="AD15410" s="9"/>
      <c r="AF15410" s="10"/>
      <c r="AG15410" s="10"/>
      <c r="AH15410" s="10"/>
      <c r="AI15410" s="10"/>
    </row>
    <row r="15411" spans="28:35" ht="15" hidden="1" customHeight="1">
      <c r="AB15411" s="9"/>
      <c r="AC15411" s="9"/>
      <c r="AD15411" s="9"/>
      <c r="AF15411" s="10"/>
      <c r="AG15411" s="10"/>
      <c r="AH15411" s="10"/>
      <c r="AI15411" s="10"/>
    </row>
    <row r="15412" spans="28:35" ht="15" hidden="1" customHeight="1">
      <c r="AB15412" s="9"/>
      <c r="AC15412" s="9"/>
      <c r="AD15412" s="9"/>
      <c r="AF15412" s="10"/>
      <c r="AG15412" s="10"/>
      <c r="AH15412" s="10"/>
      <c r="AI15412" s="10"/>
    </row>
    <row r="15413" spans="28:35" ht="15" hidden="1" customHeight="1">
      <c r="AB15413" s="9"/>
      <c r="AC15413" s="9"/>
      <c r="AD15413" s="9"/>
      <c r="AF15413" s="10"/>
      <c r="AG15413" s="10"/>
      <c r="AH15413" s="10"/>
      <c r="AI15413" s="10"/>
    </row>
    <row r="15414" spans="28:35" ht="15" hidden="1" customHeight="1">
      <c r="AB15414" s="9"/>
      <c r="AC15414" s="9"/>
      <c r="AD15414" s="9"/>
      <c r="AF15414" s="10"/>
      <c r="AG15414" s="10"/>
      <c r="AH15414" s="10"/>
      <c r="AI15414" s="10"/>
    </row>
    <row r="15415" spans="28:35" ht="15" hidden="1" customHeight="1">
      <c r="AB15415" s="9"/>
      <c r="AC15415" s="9"/>
      <c r="AD15415" s="9"/>
      <c r="AF15415" s="10"/>
      <c r="AG15415" s="10"/>
      <c r="AH15415" s="10"/>
      <c r="AI15415" s="10"/>
    </row>
    <row r="15416" spans="28:35" ht="15" hidden="1" customHeight="1">
      <c r="AB15416" s="9"/>
      <c r="AC15416" s="9"/>
      <c r="AD15416" s="9"/>
      <c r="AF15416" s="10"/>
      <c r="AG15416" s="10"/>
      <c r="AH15416" s="10"/>
      <c r="AI15416" s="10"/>
    </row>
    <row r="15417" spans="28:35" ht="15" hidden="1" customHeight="1">
      <c r="AB15417" s="9"/>
      <c r="AC15417" s="9"/>
      <c r="AD15417" s="9"/>
      <c r="AF15417" s="10"/>
      <c r="AG15417" s="10"/>
      <c r="AH15417" s="10"/>
      <c r="AI15417" s="10"/>
    </row>
    <row r="15418" spans="28:35" ht="15" hidden="1" customHeight="1">
      <c r="AB15418" s="9"/>
      <c r="AC15418" s="9"/>
      <c r="AD15418" s="9"/>
      <c r="AF15418" s="10"/>
      <c r="AG15418" s="10"/>
      <c r="AH15418" s="10"/>
      <c r="AI15418" s="10"/>
    </row>
    <row r="15419" spans="28:35" ht="15" hidden="1" customHeight="1">
      <c r="AB15419" s="9"/>
      <c r="AC15419" s="9"/>
      <c r="AD15419" s="9"/>
      <c r="AF15419" s="10"/>
      <c r="AG15419" s="10"/>
      <c r="AH15419" s="10"/>
      <c r="AI15419" s="10"/>
    </row>
    <row r="15420" spans="28:35" ht="15" hidden="1" customHeight="1">
      <c r="AB15420" s="9"/>
      <c r="AC15420" s="9"/>
      <c r="AD15420" s="9"/>
      <c r="AF15420" s="10"/>
      <c r="AG15420" s="10"/>
      <c r="AH15420" s="10"/>
      <c r="AI15420" s="10"/>
    </row>
    <row r="15421" spans="28:35" ht="15" hidden="1" customHeight="1">
      <c r="AB15421" s="9"/>
      <c r="AC15421" s="9"/>
      <c r="AD15421" s="9"/>
      <c r="AF15421" s="10"/>
      <c r="AG15421" s="10"/>
      <c r="AH15421" s="10"/>
      <c r="AI15421" s="10"/>
    </row>
    <row r="15422" spans="28:35" ht="15" hidden="1" customHeight="1">
      <c r="AB15422" s="9"/>
      <c r="AC15422" s="9"/>
      <c r="AD15422" s="9"/>
      <c r="AF15422" s="10"/>
      <c r="AG15422" s="10"/>
      <c r="AH15422" s="10"/>
      <c r="AI15422" s="10"/>
    </row>
    <row r="15423" spans="28:35" ht="15" hidden="1" customHeight="1">
      <c r="AB15423" s="9"/>
      <c r="AC15423" s="9"/>
      <c r="AD15423" s="9"/>
      <c r="AF15423" s="10"/>
      <c r="AG15423" s="10"/>
      <c r="AH15423" s="10"/>
      <c r="AI15423" s="10"/>
    </row>
    <row r="15424" spans="28:35" ht="15" hidden="1" customHeight="1">
      <c r="AB15424" s="9"/>
      <c r="AC15424" s="9"/>
      <c r="AD15424" s="9"/>
      <c r="AF15424" s="10"/>
      <c r="AG15424" s="10"/>
      <c r="AH15424" s="10"/>
      <c r="AI15424" s="10"/>
    </row>
    <row r="15425" spans="28:35" ht="15" hidden="1" customHeight="1">
      <c r="AB15425" s="9"/>
      <c r="AC15425" s="9"/>
      <c r="AD15425" s="9"/>
      <c r="AF15425" s="10"/>
      <c r="AG15425" s="10"/>
      <c r="AH15425" s="10"/>
      <c r="AI15425" s="10"/>
    </row>
    <row r="15426" spans="28:35" ht="15" hidden="1" customHeight="1">
      <c r="AB15426" s="9"/>
      <c r="AC15426" s="9"/>
      <c r="AD15426" s="9"/>
      <c r="AF15426" s="10"/>
      <c r="AG15426" s="10"/>
      <c r="AH15426" s="10"/>
      <c r="AI15426" s="10"/>
    </row>
    <row r="15427" spans="28:35" ht="15" hidden="1" customHeight="1">
      <c r="AB15427" s="9"/>
      <c r="AC15427" s="9"/>
      <c r="AD15427" s="9"/>
      <c r="AF15427" s="10"/>
      <c r="AG15427" s="10"/>
      <c r="AH15427" s="10"/>
      <c r="AI15427" s="10"/>
    </row>
    <row r="15428" spans="28:35" ht="15" hidden="1" customHeight="1">
      <c r="AB15428" s="9"/>
      <c r="AC15428" s="9"/>
      <c r="AD15428" s="9"/>
      <c r="AF15428" s="10"/>
      <c r="AG15428" s="10"/>
      <c r="AH15428" s="10"/>
      <c r="AI15428" s="10"/>
    </row>
    <row r="15429" spans="28:35" ht="15" hidden="1" customHeight="1">
      <c r="AB15429" s="9"/>
      <c r="AC15429" s="9"/>
      <c r="AD15429" s="9"/>
      <c r="AF15429" s="10"/>
      <c r="AG15429" s="10"/>
      <c r="AH15429" s="10"/>
      <c r="AI15429" s="10"/>
    </row>
    <row r="15430" spans="28:35" ht="15" hidden="1" customHeight="1">
      <c r="AB15430" s="9"/>
      <c r="AC15430" s="9"/>
      <c r="AD15430" s="9"/>
      <c r="AF15430" s="10"/>
      <c r="AG15430" s="10"/>
      <c r="AH15430" s="10"/>
      <c r="AI15430" s="10"/>
    </row>
    <row r="15431" spans="28:35" ht="15" hidden="1" customHeight="1">
      <c r="AB15431" s="9"/>
      <c r="AC15431" s="9"/>
      <c r="AD15431" s="9"/>
      <c r="AF15431" s="10"/>
      <c r="AG15431" s="10"/>
      <c r="AH15431" s="10"/>
      <c r="AI15431" s="10"/>
    </row>
    <row r="15432" spans="28:35" ht="15" hidden="1" customHeight="1">
      <c r="AB15432" s="9"/>
      <c r="AC15432" s="9"/>
      <c r="AD15432" s="9"/>
      <c r="AF15432" s="10"/>
      <c r="AG15432" s="10"/>
      <c r="AH15432" s="10"/>
      <c r="AI15432" s="10"/>
    </row>
    <row r="15433" spans="28:35" ht="15" hidden="1" customHeight="1">
      <c r="AB15433" s="9"/>
      <c r="AC15433" s="9"/>
      <c r="AD15433" s="9"/>
      <c r="AF15433" s="10"/>
      <c r="AG15433" s="10"/>
      <c r="AH15433" s="10"/>
      <c r="AI15433" s="10"/>
    </row>
    <row r="15434" spans="28:35" ht="15" hidden="1" customHeight="1">
      <c r="AB15434" s="9"/>
      <c r="AC15434" s="9"/>
      <c r="AD15434" s="9"/>
      <c r="AF15434" s="10"/>
      <c r="AG15434" s="10"/>
      <c r="AH15434" s="10"/>
      <c r="AI15434" s="10"/>
    </row>
    <row r="15435" spans="28:35" ht="15" hidden="1" customHeight="1">
      <c r="AB15435" s="9"/>
      <c r="AC15435" s="9"/>
      <c r="AD15435" s="9"/>
      <c r="AF15435" s="10"/>
      <c r="AG15435" s="10"/>
      <c r="AH15435" s="10"/>
      <c r="AI15435" s="10"/>
    </row>
    <row r="15436" spans="28:35" ht="15" hidden="1" customHeight="1">
      <c r="AB15436" s="9"/>
      <c r="AC15436" s="9"/>
      <c r="AD15436" s="9"/>
      <c r="AF15436" s="10"/>
      <c r="AG15436" s="10"/>
      <c r="AH15436" s="10"/>
      <c r="AI15436" s="10"/>
    </row>
    <row r="15437" spans="28:35" ht="15" hidden="1" customHeight="1">
      <c r="AB15437" s="9"/>
      <c r="AC15437" s="9"/>
      <c r="AD15437" s="9"/>
      <c r="AF15437" s="10"/>
      <c r="AG15437" s="10"/>
      <c r="AH15437" s="10"/>
      <c r="AI15437" s="10"/>
    </row>
    <row r="15438" spans="28:35" ht="15" hidden="1" customHeight="1">
      <c r="AB15438" s="9"/>
      <c r="AC15438" s="9"/>
      <c r="AD15438" s="9"/>
      <c r="AF15438" s="10"/>
      <c r="AG15438" s="10"/>
      <c r="AH15438" s="10"/>
      <c r="AI15438" s="10"/>
    </row>
    <row r="15439" spans="28:35" ht="15" hidden="1" customHeight="1">
      <c r="AB15439" s="9"/>
      <c r="AC15439" s="9"/>
      <c r="AD15439" s="9"/>
      <c r="AF15439" s="10"/>
      <c r="AG15439" s="10"/>
      <c r="AH15439" s="10"/>
      <c r="AI15439" s="10"/>
    </row>
    <row r="15440" spans="28:35" ht="15" hidden="1" customHeight="1">
      <c r="AB15440" s="9"/>
      <c r="AC15440" s="9"/>
      <c r="AD15440" s="9"/>
      <c r="AF15440" s="10"/>
      <c r="AG15440" s="10"/>
      <c r="AH15440" s="10"/>
      <c r="AI15440" s="10"/>
    </row>
    <row r="15441" spans="28:35" ht="15" hidden="1" customHeight="1">
      <c r="AB15441" s="9"/>
      <c r="AC15441" s="9"/>
      <c r="AD15441" s="9"/>
      <c r="AF15441" s="10"/>
      <c r="AG15441" s="10"/>
      <c r="AH15441" s="10"/>
      <c r="AI15441" s="10"/>
    </row>
    <row r="15442" spans="28:35" ht="15" hidden="1" customHeight="1">
      <c r="AB15442" s="9"/>
      <c r="AC15442" s="9"/>
      <c r="AD15442" s="9"/>
      <c r="AF15442" s="10"/>
      <c r="AG15442" s="10"/>
      <c r="AH15442" s="10"/>
      <c r="AI15442" s="10"/>
    </row>
    <row r="15443" spans="28:35" ht="15" hidden="1" customHeight="1">
      <c r="AB15443" s="9"/>
      <c r="AC15443" s="9"/>
      <c r="AD15443" s="9"/>
      <c r="AF15443" s="10"/>
      <c r="AG15443" s="10"/>
      <c r="AH15443" s="10"/>
      <c r="AI15443" s="10"/>
    </row>
    <row r="15444" spans="28:35" ht="15" hidden="1" customHeight="1">
      <c r="AB15444" s="9"/>
      <c r="AC15444" s="9"/>
      <c r="AD15444" s="9"/>
      <c r="AF15444" s="10"/>
      <c r="AG15444" s="10"/>
      <c r="AH15444" s="10"/>
      <c r="AI15444" s="10"/>
    </row>
    <row r="15445" spans="28:35" ht="15" hidden="1" customHeight="1">
      <c r="AB15445" s="9"/>
      <c r="AC15445" s="9"/>
      <c r="AD15445" s="9"/>
      <c r="AF15445" s="10"/>
      <c r="AG15445" s="10"/>
      <c r="AH15445" s="10"/>
      <c r="AI15445" s="10"/>
    </row>
    <row r="15446" spans="28:35" ht="15" hidden="1" customHeight="1">
      <c r="AB15446" s="9"/>
      <c r="AC15446" s="9"/>
      <c r="AD15446" s="9"/>
      <c r="AF15446" s="10"/>
      <c r="AG15446" s="10"/>
      <c r="AH15446" s="10"/>
      <c r="AI15446" s="10"/>
    </row>
    <row r="15447" spans="28:35" ht="15" hidden="1" customHeight="1">
      <c r="AB15447" s="9"/>
      <c r="AC15447" s="9"/>
      <c r="AD15447" s="9"/>
      <c r="AF15447" s="10"/>
      <c r="AG15447" s="10"/>
      <c r="AH15447" s="10"/>
      <c r="AI15447" s="10"/>
    </row>
    <row r="15448" spans="28:35" ht="15" hidden="1" customHeight="1">
      <c r="AB15448" s="9"/>
      <c r="AC15448" s="9"/>
      <c r="AD15448" s="9"/>
      <c r="AF15448" s="10"/>
      <c r="AG15448" s="10"/>
      <c r="AH15448" s="10"/>
      <c r="AI15448" s="10"/>
    </row>
    <row r="15449" spans="28:35" ht="15" hidden="1" customHeight="1">
      <c r="AB15449" s="9"/>
      <c r="AC15449" s="9"/>
      <c r="AD15449" s="9"/>
      <c r="AF15449" s="10"/>
      <c r="AG15449" s="10"/>
      <c r="AH15449" s="10"/>
      <c r="AI15449" s="10"/>
    </row>
    <row r="15450" spans="28:35" ht="15" hidden="1" customHeight="1">
      <c r="AB15450" s="9"/>
      <c r="AC15450" s="9"/>
      <c r="AD15450" s="9"/>
      <c r="AF15450" s="10"/>
      <c r="AG15450" s="10"/>
      <c r="AH15450" s="10"/>
      <c r="AI15450" s="10"/>
    </row>
    <row r="15451" spans="28:35" ht="15" hidden="1" customHeight="1">
      <c r="AB15451" s="9"/>
      <c r="AC15451" s="9"/>
      <c r="AD15451" s="9"/>
      <c r="AF15451" s="10"/>
      <c r="AG15451" s="10"/>
      <c r="AH15451" s="10"/>
      <c r="AI15451" s="10"/>
    </row>
    <row r="15452" spans="28:35" ht="15" hidden="1" customHeight="1">
      <c r="AB15452" s="9"/>
      <c r="AC15452" s="9"/>
      <c r="AD15452" s="9"/>
      <c r="AF15452" s="10"/>
      <c r="AG15452" s="10"/>
      <c r="AH15452" s="10"/>
      <c r="AI15452" s="10"/>
    </row>
    <row r="15453" spans="28:35" ht="15" hidden="1" customHeight="1">
      <c r="AB15453" s="9"/>
      <c r="AC15453" s="9"/>
      <c r="AD15453" s="9"/>
      <c r="AF15453" s="10"/>
      <c r="AG15453" s="10"/>
      <c r="AH15453" s="10"/>
      <c r="AI15453" s="10"/>
    </row>
    <row r="15454" spans="28:35" ht="15" hidden="1" customHeight="1">
      <c r="AB15454" s="9"/>
      <c r="AC15454" s="9"/>
      <c r="AD15454" s="9"/>
      <c r="AF15454" s="10"/>
      <c r="AG15454" s="10"/>
      <c r="AH15454" s="10"/>
      <c r="AI15454" s="10"/>
    </row>
    <row r="15455" spans="28:35" ht="15" hidden="1" customHeight="1">
      <c r="AB15455" s="9"/>
      <c r="AC15455" s="9"/>
      <c r="AD15455" s="9"/>
      <c r="AF15455" s="10"/>
      <c r="AG15455" s="10"/>
      <c r="AH15455" s="10"/>
      <c r="AI15455" s="10"/>
    </row>
    <row r="15456" spans="28:35" ht="15" hidden="1" customHeight="1">
      <c r="AB15456" s="9"/>
      <c r="AC15456" s="9"/>
      <c r="AD15456" s="9"/>
      <c r="AF15456" s="10"/>
      <c r="AG15456" s="10"/>
      <c r="AH15456" s="10"/>
      <c r="AI15456" s="10"/>
    </row>
    <row r="15457" spans="28:35" ht="15" hidden="1" customHeight="1">
      <c r="AB15457" s="9"/>
      <c r="AC15457" s="9"/>
      <c r="AD15457" s="9"/>
      <c r="AF15457" s="10"/>
      <c r="AG15457" s="10"/>
      <c r="AH15457" s="10"/>
      <c r="AI15457" s="10"/>
    </row>
    <row r="15458" spans="28:35" ht="15" hidden="1" customHeight="1">
      <c r="AB15458" s="9"/>
      <c r="AC15458" s="9"/>
      <c r="AD15458" s="9"/>
      <c r="AF15458" s="10"/>
      <c r="AG15458" s="10"/>
      <c r="AH15458" s="10"/>
      <c r="AI15458" s="10"/>
    </row>
    <row r="15459" spans="28:35" ht="15" hidden="1" customHeight="1">
      <c r="AB15459" s="9"/>
      <c r="AC15459" s="9"/>
      <c r="AD15459" s="9"/>
      <c r="AF15459" s="10"/>
      <c r="AG15459" s="10"/>
      <c r="AH15459" s="10"/>
      <c r="AI15459" s="10"/>
    </row>
    <row r="15460" spans="28:35" ht="15" hidden="1" customHeight="1">
      <c r="AB15460" s="9"/>
      <c r="AC15460" s="9"/>
      <c r="AD15460" s="9"/>
      <c r="AF15460" s="10"/>
      <c r="AG15460" s="10"/>
      <c r="AH15460" s="10"/>
      <c r="AI15460" s="10"/>
    </row>
    <row r="15461" spans="28:35" ht="15" hidden="1" customHeight="1">
      <c r="AB15461" s="9"/>
      <c r="AC15461" s="9"/>
      <c r="AD15461" s="9"/>
      <c r="AF15461" s="10"/>
      <c r="AG15461" s="10"/>
      <c r="AH15461" s="10"/>
      <c r="AI15461" s="10"/>
    </row>
    <row r="15462" spans="28:35" ht="15" hidden="1" customHeight="1">
      <c r="AB15462" s="9"/>
      <c r="AC15462" s="9"/>
      <c r="AD15462" s="9"/>
      <c r="AF15462" s="10"/>
      <c r="AG15462" s="10"/>
      <c r="AH15462" s="10"/>
      <c r="AI15462" s="10"/>
    </row>
    <row r="15463" spans="28:35" ht="15" hidden="1" customHeight="1">
      <c r="AB15463" s="9"/>
      <c r="AC15463" s="9"/>
      <c r="AD15463" s="9"/>
      <c r="AF15463" s="10"/>
      <c r="AG15463" s="10"/>
      <c r="AH15463" s="10"/>
      <c r="AI15463" s="10"/>
    </row>
    <row r="15464" spans="28:35" ht="15" hidden="1" customHeight="1">
      <c r="AB15464" s="9"/>
      <c r="AC15464" s="9"/>
      <c r="AD15464" s="9"/>
      <c r="AF15464" s="10"/>
      <c r="AG15464" s="10"/>
      <c r="AH15464" s="10"/>
      <c r="AI15464" s="10"/>
    </row>
    <row r="15465" spans="28:35" ht="15" hidden="1" customHeight="1">
      <c r="AB15465" s="9"/>
      <c r="AC15465" s="9"/>
      <c r="AD15465" s="9"/>
      <c r="AF15465" s="10"/>
      <c r="AG15465" s="10"/>
      <c r="AH15465" s="10"/>
      <c r="AI15465" s="10"/>
    </row>
    <row r="15466" spans="28:35" ht="15" hidden="1" customHeight="1">
      <c r="AB15466" s="9"/>
      <c r="AC15466" s="9"/>
      <c r="AD15466" s="9"/>
      <c r="AF15466" s="10"/>
      <c r="AG15466" s="10"/>
      <c r="AH15466" s="10"/>
      <c r="AI15466" s="10"/>
    </row>
    <row r="15467" spans="28:35" ht="15" hidden="1" customHeight="1">
      <c r="AB15467" s="9"/>
      <c r="AC15467" s="9"/>
      <c r="AD15467" s="9"/>
      <c r="AF15467" s="10"/>
      <c r="AG15467" s="10"/>
      <c r="AH15467" s="10"/>
      <c r="AI15467" s="10"/>
    </row>
    <row r="15468" spans="28:35" ht="15" hidden="1" customHeight="1">
      <c r="AB15468" s="9"/>
      <c r="AC15468" s="9"/>
      <c r="AD15468" s="9"/>
      <c r="AF15468" s="10"/>
      <c r="AG15468" s="10"/>
      <c r="AH15468" s="10"/>
      <c r="AI15468" s="10"/>
    </row>
    <row r="15469" spans="28:35" ht="15" hidden="1" customHeight="1">
      <c r="AB15469" s="9"/>
      <c r="AC15469" s="9"/>
      <c r="AD15469" s="9"/>
      <c r="AF15469" s="10"/>
      <c r="AG15469" s="10"/>
      <c r="AH15469" s="10"/>
      <c r="AI15469" s="10"/>
    </row>
    <row r="15470" spans="28:35" ht="15" hidden="1" customHeight="1">
      <c r="AB15470" s="9"/>
      <c r="AC15470" s="9"/>
      <c r="AD15470" s="9"/>
      <c r="AF15470" s="10"/>
      <c r="AG15470" s="10"/>
      <c r="AH15470" s="10"/>
      <c r="AI15470" s="10"/>
    </row>
    <row r="15471" spans="28:35" ht="15" hidden="1" customHeight="1">
      <c r="AB15471" s="9"/>
      <c r="AC15471" s="9"/>
      <c r="AD15471" s="9"/>
      <c r="AF15471" s="10"/>
      <c r="AG15471" s="10"/>
      <c r="AH15471" s="10"/>
      <c r="AI15471" s="10"/>
    </row>
    <row r="15472" spans="28:35" ht="15" hidden="1" customHeight="1">
      <c r="AB15472" s="9"/>
      <c r="AC15472" s="9"/>
      <c r="AD15472" s="9"/>
      <c r="AF15472" s="10"/>
      <c r="AG15472" s="10"/>
      <c r="AH15472" s="10"/>
      <c r="AI15472" s="10"/>
    </row>
    <row r="15473" spans="28:35" ht="15" hidden="1" customHeight="1">
      <c r="AB15473" s="9"/>
      <c r="AC15473" s="9"/>
      <c r="AD15473" s="9"/>
      <c r="AF15473" s="10"/>
      <c r="AG15473" s="10"/>
      <c r="AH15473" s="10"/>
      <c r="AI15473" s="10"/>
    </row>
    <row r="15474" spans="28:35" ht="15" hidden="1" customHeight="1">
      <c r="AB15474" s="9"/>
      <c r="AC15474" s="9"/>
      <c r="AD15474" s="9"/>
      <c r="AF15474" s="10"/>
      <c r="AG15474" s="10"/>
      <c r="AH15474" s="10"/>
      <c r="AI15474" s="10"/>
    </row>
    <row r="15475" spans="28:35" ht="15" hidden="1" customHeight="1">
      <c r="AB15475" s="9"/>
      <c r="AC15475" s="9"/>
      <c r="AD15475" s="9"/>
      <c r="AF15475" s="10"/>
      <c r="AG15475" s="10"/>
      <c r="AH15475" s="10"/>
      <c r="AI15475" s="10"/>
    </row>
    <row r="15476" spans="28:35" ht="15" hidden="1" customHeight="1">
      <c r="AB15476" s="9"/>
      <c r="AC15476" s="9"/>
      <c r="AD15476" s="9"/>
      <c r="AF15476" s="10"/>
      <c r="AG15476" s="10"/>
      <c r="AH15476" s="10"/>
      <c r="AI15476" s="10"/>
    </row>
    <row r="15477" spans="28:35" ht="15" hidden="1" customHeight="1">
      <c r="AB15477" s="9"/>
      <c r="AC15477" s="9"/>
      <c r="AD15477" s="9"/>
      <c r="AF15477" s="10"/>
      <c r="AG15477" s="10"/>
      <c r="AH15477" s="10"/>
      <c r="AI15477" s="10"/>
    </row>
    <row r="15478" spans="28:35" ht="15" hidden="1" customHeight="1">
      <c r="AB15478" s="9"/>
      <c r="AC15478" s="9"/>
      <c r="AD15478" s="9"/>
      <c r="AF15478" s="10"/>
      <c r="AG15478" s="10"/>
      <c r="AH15478" s="10"/>
      <c r="AI15478" s="10"/>
    </row>
    <row r="15479" spans="28:35" ht="15" hidden="1" customHeight="1">
      <c r="AB15479" s="9"/>
      <c r="AC15479" s="9"/>
      <c r="AD15479" s="9"/>
      <c r="AF15479" s="10"/>
      <c r="AG15479" s="10"/>
      <c r="AH15479" s="10"/>
      <c r="AI15479" s="10"/>
    </row>
    <row r="15480" spans="28:35" ht="15" hidden="1" customHeight="1">
      <c r="AB15480" s="9"/>
      <c r="AC15480" s="9"/>
      <c r="AD15480" s="9"/>
      <c r="AF15480" s="10"/>
      <c r="AG15480" s="10"/>
      <c r="AH15480" s="10"/>
      <c r="AI15480" s="10"/>
    </row>
    <row r="15481" spans="28:35" ht="15" hidden="1" customHeight="1">
      <c r="AB15481" s="9"/>
      <c r="AC15481" s="9"/>
      <c r="AD15481" s="9"/>
      <c r="AF15481" s="10"/>
      <c r="AG15481" s="10"/>
      <c r="AH15481" s="10"/>
      <c r="AI15481" s="10"/>
    </row>
    <row r="15482" spans="28:35" ht="15" hidden="1" customHeight="1">
      <c r="AB15482" s="9"/>
      <c r="AC15482" s="9"/>
      <c r="AD15482" s="9"/>
      <c r="AF15482" s="10"/>
      <c r="AG15482" s="10"/>
      <c r="AH15482" s="10"/>
      <c r="AI15482" s="10"/>
    </row>
    <row r="15483" spans="28:35" ht="15" hidden="1" customHeight="1">
      <c r="AB15483" s="9"/>
      <c r="AC15483" s="9"/>
      <c r="AD15483" s="9"/>
      <c r="AF15483" s="10"/>
      <c r="AG15483" s="10"/>
      <c r="AH15483" s="10"/>
      <c r="AI15483" s="10"/>
    </row>
    <row r="15484" spans="28:35" ht="15" hidden="1" customHeight="1">
      <c r="AB15484" s="9"/>
      <c r="AC15484" s="9"/>
      <c r="AD15484" s="9"/>
      <c r="AF15484" s="10"/>
      <c r="AG15484" s="10"/>
      <c r="AH15484" s="10"/>
      <c r="AI15484" s="10"/>
    </row>
    <row r="15485" spans="28:35" ht="15" hidden="1" customHeight="1">
      <c r="AB15485" s="9"/>
      <c r="AC15485" s="9"/>
      <c r="AD15485" s="9"/>
      <c r="AF15485" s="10"/>
      <c r="AG15485" s="10"/>
      <c r="AH15485" s="10"/>
      <c r="AI15485" s="10"/>
    </row>
    <row r="15486" spans="28:35" ht="15" hidden="1" customHeight="1">
      <c r="AB15486" s="9"/>
      <c r="AC15486" s="9"/>
      <c r="AD15486" s="9"/>
      <c r="AF15486" s="10"/>
      <c r="AG15486" s="10"/>
      <c r="AH15486" s="10"/>
      <c r="AI15486" s="10"/>
    </row>
    <row r="15487" spans="28:35" ht="15" hidden="1" customHeight="1">
      <c r="AB15487" s="9"/>
      <c r="AC15487" s="9"/>
      <c r="AD15487" s="9"/>
      <c r="AF15487" s="10"/>
      <c r="AG15487" s="10"/>
      <c r="AH15487" s="10"/>
      <c r="AI15487" s="10"/>
    </row>
    <row r="15488" spans="28:35" ht="15" hidden="1" customHeight="1">
      <c r="AB15488" s="9"/>
      <c r="AC15488" s="9"/>
      <c r="AD15488" s="9"/>
      <c r="AF15488" s="10"/>
      <c r="AG15488" s="10"/>
      <c r="AH15488" s="10"/>
      <c r="AI15488" s="10"/>
    </row>
    <row r="15489" spans="28:35" ht="15" hidden="1" customHeight="1">
      <c r="AB15489" s="9"/>
      <c r="AC15489" s="9"/>
      <c r="AD15489" s="9"/>
      <c r="AF15489" s="10"/>
      <c r="AG15489" s="10"/>
      <c r="AH15489" s="10"/>
      <c r="AI15489" s="10"/>
    </row>
    <row r="15490" spans="28:35" ht="15" hidden="1" customHeight="1">
      <c r="AB15490" s="9"/>
      <c r="AC15490" s="9"/>
      <c r="AD15490" s="9"/>
      <c r="AF15490" s="10"/>
      <c r="AG15490" s="10"/>
      <c r="AH15490" s="10"/>
      <c r="AI15490" s="10"/>
    </row>
    <row r="15491" spans="28:35" ht="15" hidden="1" customHeight="1">
      <c r="AB15491" s="9"/>
      <c r="AC15491" s="9"/>
      <c r="AD15491" s="9"/>
      <c r="AF15491" s="10"/>
      <c r="AG15491" s="10"/>
      <c r="AH15491" s="10"/>
      <c r="AI15491" s="10"/>
    </row>
    <row r="15492" spans="28:35" ht="15" hidden="1" customHeight="1">
      <c r="AB15492" s="9"/>
      <c r="AC15492" s="9"/>
      <c r="AD15492" s="9"/>
      <c r="AF15492" s="10"/>
      <c r="AG15492" s="10"/>
      <c r="AH15492" s="10"/>
      <c r="AI15492" s="10"/>
    </row>
    <row r="15493" spans="28:35" ht="15" hidden="1" customHeight="1">
      <c r="AB15493" s="9"/>
      <c r="AC15493" s="9"/>
      <c r="AD15493" s="9"/>
      <c r="AF15493" s="10"/>
      <c r="AG15493" s="10"/>
      <c r="AH15493" s="10"/>
      <c r="AI15493" s="10"/>
    </row>
    <row r="15494" spans="28:35" ht="15" hidden="1" customHeight="1">
      <c r="AB15494" s="9"/>
      <c r="AC15494" s="9"/>
      <c r="AD15494" s="9"/>
      <c r="AF15494" s="10"/>
      <c r="AG15494" s="10"/>
      <c r="AH15494" s="10"/>
      <c r="AI15494" s="10"/>
    </row>
    <row r="15495" spans="28:35" ht="15" hidden="1" customHeight="1">
      <c r="AB15495" s="9"/>
      <c r="AC15495" s="9"/>
      <c r="AD15495" s="9"/>
      <c r="AF15495" s="10"/>
      <c r="AG15495" s="10"/>
      <c r="AH15495" s="10"/>
      <c r="AI15495" s="10"/>
    </row>
    <row r="15496" spans="28:35" ht="15" hidden="1" customHeight="1">
      <c r="AB15496" s="9"/>
      <c r="AC15496" s="9"/>
      <c r="AD15496" s="9"/>
      <c r="AF15496" s="10"/>
      <c r="AG15496" s="10"/>
      <c r="AH15496" s="10"/>
      <c r="AI15496" s="10"/>
    </row>
    <row r="15497" spans="28:35" ht="15" hidden="1" customHeight="1">
      <c r="AB15497" s="9"/>
      <c r="AC15497" s="9"/>
      <c r="AD15497" s="9"/>
      <c r="AF15497" s="10"/>
      <c r="AG15497" s="10"/>
      <c r="AH15497" s="10"/>
      <c r="AI15497" s="10"/>
    </row>
    <row r="15498" spans="28:35" ht="15" hidden="1" customHeight="1">
      <c r="AB15498" s="9"/>
      <c r="AC15498" s="9"/>
      <c r="AD15498" s="9"/>
      <c r="AF15498" s="10"/>
      <c r="AG15498" s="10"/>
      <c r="AH15498" s="10"/>
      <c r="AI15498" s="10"/>
    </row>
    <row r="15499" spans="28:35" ht="15" hidden="1" customHeight="1">
      <c r="AB15499" s="9"/>
      <c r="AC15499" s="9"/>
      <c r="AD15499" s="9"/>
      <c r="AF15499" s="10"/>
      <c r="AG15499" s="10"/>
      <c r="AH15499" s="10"/>
      <c r="AI15499" s="10"/>
    </row>
    <row r="15500" spans="28:35" ht="15" hidden="1" customHeight="1">
      <c r="AB15500" s="9"/>
      <c r="AC15500" s="9"/>
      <c r="AD15500" s="9"/>
      <c r="AF15500" s="10"/>
      <c r="AG15500" s="10"/>
      <c r="AH15500" s="10"/>
      <c r="AI15500" s="10"/>
    </row>
    <row r="15501" spans="28:35" ht="15" hidden="1" customHeight="1">
      <c r="AB15501" s="9"/>
      <c r="AC15501" s="9"/>
      <c r="AD15501" s="9"/>
      <c r="AF15501" s="10"/>
      <c r="AG15501" s="10"/>
      <c r="AH15501" s="10"/>
      <c r="AI15501" s="10"/>
    </row>
    <row r="15502" spans="28:35" ht="15" hidden="1" customHeight="1">
      <c r="AB15502" s="9"/>
      <c r="AC15502" s="9"/>
      <c r="AD15502" s="9"/>
      <c r="AF15502" s="10"/>
      <c r="AG15502" s="10"/>
      <c r="AH15502" s="10"/>
      <c r="AI15502" s="10"/>
    </row>
    <row r="15503" spans="28:35" ht="15" hidden="1" customHeight="1">
      <c r="AB15503" s="9"/>
      <c r="AC15503" s="9"/>
      <c r="AD15503" s="9"/>
      <c r="AF15503" s="10"/>
      <c r="AG15503" s="10"/>
      <c r="AH15503" s="10"/>
      <c r="AI15503" s="10"/>
    </row>
    <row r="15504" spans="28:35" ht="15" hidden="1" customHeight="1">
      <c r="AB15504" s="9"/>
      <c r="AC15504" s="9"/>
      <c r="AD15504" s="9"/>
      <c r="AF15504" s="10"/>
      <c r="AG15504" s="10"/>
      <c r="AH15504" s="10"/>
      <c r="AI15504" s="10"/>
    </row>
    <row r="15505" spans="28:35" ht="15" hidden="1" customHeight="1">
      <c r="AB15505" s="9"/>
      <c r="AC15505" s="9"/>
      <c r="AD15505" s="9"/>
      <c r="AF15505" s="10"/>
      <c r="AG15505" s="10"/>
      <c r="AH15505" s="10"/>
      <c r="AI15505" s="10"/>
    </row>
    <row r="15506" spans="28:35" ht="15" hidden="1" customHeight="1">
      <c r="AB15506" s="9"/>
      <c r="AC15506" s="9"/>
      <c r="AD15506" s="9"/>
      <c r="AF15506" s="10"/>
      <c r="AG15506" s="10"/>
      <c r="AH15506" s="10"/>
      <c r="AI15506" s="10"/>
    </row>
    <row r="15507" spans="28:35" ht="15" hidden="1" customHeight="1">
      <c r="AB15507" s="9"/>
      <c r="AC15507" s="9"/>
      <c r="AD15507" s="9"/>
      <c r="AF15507" s="10"/>
      <c r="AG15507" s="10"/>
      <c r="AH15507" s="10"/>
      <c r="AI15507" s="10"/>
    </row>
    <row r="15508" spans="28:35" ht="15" hidden="1" customHeight="1">
      <c r="AB15508" s="9"/>
      <c r="AC15508" s="9"/>
      <c r="AD15508" s="9"/>
      <c r="AF15508" s="10"/>
      <c r="AG15508" s="10"/>
      <c r="AH15508" s="10"/>
      <c r="AI15508" s="10"/>
    </row>
    <row r="15509" spans="28:35" ht="15" hidden="1" customHeight="1">
      <c r="AB15509" s="9"/>
      <c r="AC15509" s="9"/>
      <c r="AD15509" s="9"/>
      <c r="AF15509" s="10"/>
      <c r="AG15509" s="10"/>
      <c r="AH15509" s="10"/>
      <c r="AI15509" s="10"/>
    </row>
    <row r="15510" spans="28:35" ht="15" hidden="1" customHeight="1">
      <c r="AB15510" s="9"/>
      <c r="AC15510" s="9"/>
      <c r="AD15510" s="9"/>
      <c r="AF15510" s="10"/>
      <c r="AG15510" s="10"/>
      <c r="AH15510" s="10"/>
      <c r="AI15510" s="10"/>
    </row>
    <row r="15511" spans="28:35" ht="15" hidden="1" customHeight="1">
      <c r="AB15511" s="9"/>
      <c r="AC15511" s="9"/>
      <c r="AD15511" s="9"/>
      <c r="AF15511" s="10"/>
      <c r="AG15511" s="10"/>
      <c r="AH15511" s="10"/>
      <c r="AI15511" s="10"/>
    </row>
    <row r="15512" spans="28:35" ht="15" hidden="1" customHeight="1">
      <c r="AB15512" s="9"/>
      <c r="AC15512" s="9"/>
      <c r="AD15512" s="9"/>
      <c r="AF15512" s="10"/>
      <c r="AG15512" s="10"/>
      <c r="AH15512" s="10"/>
      <c r="AI15512" s="10"/>
    </row>
    <row r="15513" spans="28:35" ht="15" hidden="1" customHeight="1">
      <c r="AB15513" s="9"/>
      <c r="AC15513" s="9"/>
      <c r="AD15513" s="9"/>
      <c r="AF15513" s="10"/>
      <c r="AG15513" s="10"/>
      <c r="AH15513" s="10"/>
      <c r="AI15513" s="10"/>
    </row>
    <row r="15514" spans="28:35" ht="15" hidden="1" customHeight="1">
      <c r="AB15514" s="9"/>
      <c r="AC15514" s="9"/>
      <c r="AD15514" s="9"/>
      <c r="AF15514" s="10"/>
      <c r="AG15514" s="10"/>
      <c r="AH15514" s="10"/>
      <c r="AI15514" s="10"/>
    </row>
    <row r="15515" spans="28:35" ht="15" hidden="1" customHeight="1">
      <c r="AB15515" s="9"/>
      <c r="AC15515" s="9"/>
      <c r="AD15515" s="9"/>
      <c r="AF15515" s="10"/>
      <c r="AG15515" s="10"/>
      <c r="AH15515" s="10"/>
      <c r="AI15515" s="10"/>
    </row>
    <row r="15516" spans="28:35" ht="15" hidden="1" customHeight="1">
      <c r="AB15516" s="9"/>
      <c r="AC15516" s="9"/>
      <c r="AD15516" s="9"/>
      <c r="AF15516" s="10"/>
      <c r="AG15516" s="10"/>
      <c r="AH15516" s="10"/>
      <c r="AI15516" s="10"/>
    </row>
    <row r="15517" spans="28:35" ht="15" hidden="1" customHeight="1">
      <c r="AB15517" s="9"/>
      <c r="AC15517" s="9"/>
      <c r="AD15517" s="9"/>
      <c r="AF15517" s="10"/>
      <c r="AG15517" s="10"/>
      <c r="AH15517" s="10"/>
      <c r="AI15517" s="10"/>
    </row>
    <row r="15518" spans="28:35" ht="15" hidden="1" customHeight="1">
      <c r="AB15518" s="9"/>
      <c r="AC15518" s="9"/>
      <c r="AD15518" s="9"/>
      <c r="AF15518" s="10"/>
      <c r="AG15518" s="10"/>
      <c r="AH15518" s="10"/>
      <c r="AI15518" s="10"/>
    </row>
    <row r="15519" spans="28:35" ht="15" hidden="1" customHeight="1">
      <c r="AB15519" s="9"/>
      <c r="AC15519" s="9"/>
      <c r="AD15519" s="9"/>
      <c r="AF15519" s="10"/>
      <c r="AG15519" s="10"/>
      <c r="AH15519" s="10"/>
      <c r="AI15519" s="10"/>
    </row>
    <row r="15520" spans="28:35" ht="15" hidden="1" customHeight="1">
      <c r="AB15520" s="9"/>
      <c r="AC15520" s="9"/>
      <c r="AD15520" s="9"/>
      <c r="AF15520" s="10"/>
      <c r="AG15520" s="10"/>
      <c r="AH15520" s="10"/>
      <c r="AI15520" s="10"/>
    </row>
    <row r="15521" spans="28:35" ht="15" hidden="1" customHeight="1">
      <c r="AB15521" s="9"/>
      <c r="AC15521" s="9"/>
      <c r="AD15521" s="9"/>
      <c r="AF15521" s="10"/>
      <c r="AG15521" s="10"/>
      <c r="AH15521" s="10"/>
      <c r="AI15521" s="10"/>
    </row>
    <row r="15522" spans="28:35" ht="15" hidden="1" customHeight="1">
      <c r="AB15522" s="9"/>
      <c r="AC15522" s="9"/>
      <c r="AD15522" s="9"/>
      <c r="AF15522" s="10"/>
      <c r="AG15522" s="10"/>
      <c r="AH15522" s="10"/>
      <c r="AI15522" s="10"/>
    </row>
    <row r="15523" spans="28:35" ht="15" hidden="1" customHeight="1">
      <c r="AB15523" s="9"/>
      <c r="AC15523" s="9"/>
      <c r="AD15523" s="9"/>
      <c r="AF15523" s="10"/>
      <c r="AG15523" s="10"/>
      <c r="AH15523" s="10"/>
      <c r="AI15523" s="10"/>
    </row>
    <row r="15524" spans="28:35" ht="15" hidden="1" customHeight="1">
      <c r="AB15524" s="9"/>
      <c r="AC15524" s="9"/>
      <c r="AD15524" s="9"/>
      <c r="AF15524" s="10"/>
      <c r="AG15524" s="10"/>
      <c r="AH15524" s="10"/>
      <c r="AI15524" s="10"/>
    </row>
    <row r="15525" spans="28:35" ht="15" hidden="1" customHeight="1">
      <c r="AB15525" s="9"/>
      <c r="AC15525" s="9"/>
      <c r="AD15525" s="9"/>
      <c r="AF15525" s="10"/>
      <c r="AG15525" s="10"/>
      <c r="AH15525" s="10"/>
      <c r="AI15525" s="10"/>
    </row>
    <row r="15526" spans="28:35" ht="15" hidden="1" customHeight="1">
      <c r="AB15526" s="9"/>
      <c r="AC15526" s="9"/>
      <c r="AD15526" s="9"/>
      <c r="AF15526" s="10"/>
      <c r="AG15526" s="10"/>
      <c r="AH15526" s="10"/>
      <c r="AI15526" s="10"/>
    </row>
    <row r="15527" spans="28:35" ht="15" hidden="1" customHeight="1">
      <c r="AB15527" s="9"/>
      <c r="AC15527" s="9"/>
      <c r="AD15527" s="9"/>
      <c r="AF15527" s="10"/>
      <c r="AG15527" s="10"/>
      <c r="AH15527" s="10"/>
      <c r="AI15527" s="10"/>
    </row>
    <row r="15528" spans="28:35" ht="15" hidden="1" customHeight="1">
      <c r="AB15528" s="9"/>
      <c r="AC15528" s="9"/>
      <c r="AD15528" s="9"/>
      <c r="AF15528" s="10"/>
      <c r="AG15528" s="10"/>
      <c r="AH15528" s="10"/>
      <c r="AI15528" s="10"/>
    </row>
    <row r="15529" spans="28:35" ht="15" hidden="1" customHeight="1">
      <c r="AB15529" s="9"/>
      <c r="AC15529" s="9"/>
      <c r="AD15529" s="9"/>
      <c r="AF15529" s="10"/>
      <c r="AG15529" s="10"/>
      <c r="AH15529" s="10"/>
      <c r="AI15529" s="10"/>
    </row>
    <row r="15530" spans="28:35" ht="15" hidden="1" customHeight="1">
      <c r="AB15530" s="9"/>
      <c r="AC15530" s="9"/>
      <c r="AD15530" s="9"/>
      <c r="AF15530" s="10"/>
      <c r="AG15530" s="10"/>
      <c r="AH15530" s="10"/>
      <c r="AI15530" s="10"/>
    </row>
    <row r="15531" spans="28:35" ht="15" hidden="1" customHeight="1">
      <c r="AB15531" s="9"/>
      <c r="AC15531" s="9"/>
      <c r="AD15531" s="9"/>
      <c r="AF15531" s="10"/>
      <c r="AG15531" s="10"/>
      <c r="AH15531" s="10"/>
      <c r="AI15531" s="10"/>
    </row>
    <row r="15532" spans="28:35" ht="15" hidden="1" customHeight="1">
      <c r="AB15532" s="9"/>
      <c r="AC15532" s="9"/>
      <c r="AD15532" s="9"/>
      <c r="AF15532" s="10"/>
      <c r="AG15532" s="10"/>
      <c r="AH15532" s="10"/>
      <c r="AI15532" s="10"/>
    </row>
    <row r="15533" spans="28:35" ht="15" hidden="1" customHeight="1">
      <c r="AB15533" s="9"/>
      <c r="AC15533" s="9"/>
      <c r="AD15533" s="9"/>
      <c r="AF15533" s="10"/>
      <c r="AG15533" s="10"/>
      <c r="AH15533" s="10"/>
      <c r="AI15533" s="10"/>
    </row>
    <row r="15534" spans="28:35" ht="15" hidden="1" customHeight="1">
      <c r="AB15534" s="9"/>
      <c r="AC15534" s="9"/>
      <c r="AD15534" s="9"/>
      <c r="AF15534" s="10"/>
      <c r="AG15534" s="10"/>
      <c r="AH15534" s="10"/>
      <c r="AI15534" s="10"/>
    </row>
    <row r="15535" spans="28:35" ht="15" hidden="1" customHeight="1">
      <c r="AB15535" s="9"/>
      <c r="AC15535" s="9"/>
      <c r="AD15535" s="9"/>
      <c r="AF15535" s="10"/>
      <c r="AG15535" s="10"/>
      <c r="AH15535" s="10"/>
      <c r="AI15535" s="10"/>
    </row>
    <row r="15536" spans="28:35" ht="15" hidden="1" customHeight="1">
      <c r="AB15536" s="9"/>
      <c r="AC15536" s="9"/>
      <c r="AD15536" s="9"/>
      <c r="AF15536" s="10"/>
      <c r="AG15536" s="10"/>
      <c r="AH15536" s="10"/>
      <c r="AI15536" s="10"/>
    </row>
    <row r="15537" spans="28:35" ht="15" hidden="1" customHeight="1">
      <c r="AB15537" s="9"/>
      <c r="AC15537" s="9"/>
      <c r="AD15537" s="9"/>
      <c r="AF15537" s="10"/>
      <c r="AG15537" s="10"/>
      <c r="AH15537" s="10"/>
      <c r="AI15537" s="10"/>
    </row>
    <row r="15538" spans="28:35" ht="15" hidden="1" customHeight="1">
      <c r="AB15538" s="9"/>
      <c r="AC15538" s="9"/>
      <c r="AD15538" s="9"/>
      <c r="AF15538" s="10"/>
      <c r="AG15538" s="10"/>
      <c r="AH15538" s="10"/>
      <c r="AI15538" s="10"/>
    </row>
    <row r="15539" spans="28:35" ht="15" hidden="1" customHeight="1">
      <c r="AB15539" s="9"/>
      <c r="AC15539" s="9"/>
      <c r="AD15539" s="9"/>
      <c r="AF15539" s="10"/>
      <c r="AG15539" s="10"/>
      <c r="AH15539" s="10"/>
      <c r="AI15539" s="10"/>
    </row>
    <row r="15540" spans="28:35" ht="15" hidden="1" customHeight="1">
      <c r="AB15540" s="9"/>
      <c r="AC15540" s="9"/>
      <c r="AD15540" s="9"/>
      <c r="AF15540" s="10"/>
      <c r="AG15540" s="10"/>
      <c r="AH15540" s="10"/>
      <c r="AI15540" s="10"/>
    </row>
    <row r="15541" spans="28:35" ht="15" hidden="1" customHeight="1">
      <c r="AB15541" s="9"/>
      <c r="AC15541" s="9"/>
      <c r="AD15541" s="9"/>
      <c r="AF15541" s="10"/>
      <c r="AG15541" s="10"/>
      <c r="AH15541" s="10"/>
      <c r="AI15541" s="10"/>
    </row>
    <row r="15542" spans="28:35" ht="15" hidden="1" customHeight="1">
      <c r="AB15542" s="9"/>
      <c r="AC15542" s="9"/>
      <c r="AD15542" s="9"/>
      <c r="AF15542" s="10"/>
      <c r="AG15542" s="10"/>
      <c r="AH15542" s="10"/>
      <c r="AI15542" s="10"/>
    </row>
    <row r="15543" spans="28:35" ht="15" hidden="1" customHeight="1">
      <c r="AB15543" s="9"/>
      <c r="AC15543" s="9"/>
      <c r="AD15543" s="9"/>
      <c r="AF15543" s="10"/>
      <c r="AG15543" s="10"/>
      <c r="AH15543" s="10"/>
      <c r="AI15543" s="10"/>
    </row>
    <row r="15544" spans="28:35" ht="15" hidden="1" customHeight="1">
      <c r="AB15544" s="9"/>
      <c r="AC15544" s="9"/>
      <c r="AD15544" s="9"/>
      <c r="AF15544" s="10"/>
      <c r="AG15544" s="10"/>
      <c r="AH15544" s="10"/>
      <c r="AI15544" s="10"/>
    </row>
    <row r="15545" spans="28:35" ht="15" hidden="1" customHeight="1">
      <c r="AB15545" s="9"/>
      <c r="AC15545" s="9"/>
      <c r="AD15545" s="9"/>
      <c r="AF15545" s="10"/>
      <c r="AG15545" s="10"/>
      <c r="AH15545" s="10"/>
      <c r="AI15545" s="10"/>
    </row>
    <row r="15546" spans="28:35" ht="15" hidden="1" customHeight="1">
      <c r="AB15546" s="9"/>
      <c r="AC15546" s="9"/>
      <c r="AD15546" s="9"/>
      <c r="AF15546" s="10"/>
      <c r="AG15546" s="10"/>
      <c r="AH15546" s="10"/>
      <c r="AI15546" s="10"/>
    </row>
    <row r="15547" spans="28:35" ht="15" hidden="1" customHeight="1">
      <c r="AB15547" s="9"/>
      <c r="AC15547" s="9"/>
      <c r="AD15547" s="9"/>
      <c r="AF15547" s="10"/>
      <c r="AG15547" s="10"/>
      <c r="AH15547" s="10"/>
      <c r="AI15547" s="10"/>
    </row>
    <row r="15548" spans="28:35" ht="15" hidden="1" customHeight="1">
      <c r="AB15548" s="9"/>
      <c r="AC15548" s="9"/>
      <c r="AD15548" s="9"/>
      <c r="AF15548" s="10"/>
      <c r="AG15548" s="10"/>
      <c r="AH15548" s="10"/>
      <c r="AI15548" s="10"/>
    </row>
    <row r="15549" spans="28:35" ht="15" hidden="1" customHeight="1">
      <c r="AB15549" s="9"/>
      <c r="AC15549" s="9"/>
      <c r="AD15549" s="9"/>
      <c r="AF15549" s="10"/>
      <c r="AG15549" s="10"/>
      <c r="AH15549" s="10"/>
      <c r="AI15549" s="10"/>
    </row>
    <row r="15550" spans="28:35" ht="15" hidden="1" customHeight="1">
      <c r="AB15550" s="9"/>
      <c r="AC15550" s="9"/>
      <c r="AD15550" s="9"/>
      <c r="AF15550" s="10"/>
      <c r="AG15550" s="10"/>
      <c r="AH15550" s="10"/>
      <c r="AI15550" s="10"/>
    </row>
    <row r="15551" spans="28:35" ht="15" hidden="1" customHeight="1">
      <c r="AB15551" s="9"/>
      <c r="AC15551" s="9"/>
      <c r="AD15551" s="9"/>
      <c r="AF15551" s="10"/>
      <c r="AG15551" s="10"/>
      <c r="AH15551" s="10"/>
      <c r="AI15551" s="10"/>
    </row>
    <row r="15552" spans="28:35" ht="15" hidden="1" customHeight="1">
      <c r="AB15552" s="9"/>
      <c r="AC15552" s="9"/>
      <c r="AD15552" s="9"/>
      <c r="AF15552" s="10"/>
      <c r="AG15552" s="10"/>
      <c r="AH15552" s="10"/>
      <c r="AI15552" s="10"/>
    </row>
    <row r="15553" spans="28:35" ht="15" hidden="1" customHeight="1">
      <c r="AB15553" s="9"/>
      <c r="AC15553" s="9"/>
      <c r="AD15553" s="9"/>
      <c r="AF15553" s="10"/>
      <c r="AG15553" s="10"/>
      <c r="AH15553" s="10"/>
      <c r="AI15553" s="10"/>
    </row>
    <row r="15554" spans="28:35" ht="15" hidden="1" customHeight="1">
      <c r="AB15554" s="9"/>
      <c r="AC15554" s="9"/>
      <c r="AD15554" s="9"/>
      <c r="AF15554" s="10"/>
      <c r="AG15554" s="10"/>
      <c r="AH15554" s="10"/>
      <c r="AI15554" s="10"/>
    </row>
    <row r="15555" spans="28:35" ht="15" hidden="1" customHeight="1">
      <c r="AB15555" s="9"/>
      <c r="AC15555" s="9"/>
      <c r="AD15555" s="9"/>
      <c r="AF15555" s="10"/>
      <c r="AG15555" s="10"/>
      <c r="AH15555" s="10"/>
      <c r="AI15555" s="10"/>
    </row>
    <row r="15556" spans="28:35" ht="15" hidden="1" customHeight="1">
      <c r="AB15556" s="9"/>
      <c r="AC15556" s="9"/>
      <c r="AD15556" s="9"/>
      <c r="AF15556" s="10"/>
      <c r="AG15556" s="10"/>
      <c r="AH15556" s="10"/>
      <c r="AI15556" s="10"/>
    </row>
    <row r="15557" spans="28:35" ht="15" hidden="1" customHeight="1">
      <c r="AB15557" s="9"/>
      <c r="AC15557" s="9"/>
      <c r="AD15557" s="9"/>
      <c r="AF15557" s="10"/>
      <c r="AG15557" s="10"/>
      <c r="AH15557" s="10"/>
      <c r="AI15557" s="10"/>
    </row>
    <row r="15558" spans="28:35" ht="15" hidden="1" customHeight="1">
      <c r="AB15558" s="9"/>
      <c r="AC15558" s="9"/>
      <c r="AD15558" s="9"/>
      <c r="AF15558" s="10"/>
      <c r="AG15558" s="10"/>
      <c r="AH15558" s="10"/>
      <c r="AI15558" s="10"/>
    </row>
    <row r="15559" spans="28:35" ht="15" hidden="1" customHeight="1">
      <c r="AB15559" s="9"/>
      <c r="AC15559" s="9"/>
      <c r="AD15559" s="9"/>
      <c r="AF15559" s="10"/>
      <c r="AG15559" s="10"/>
      <c r="AH15559" s="10"/>
      <c r="AI15559" s="10"/>
    </row>
    <row r="15560" spans="28:35" ht="15" hidden="1" customHeight="1">
      <c r="AB15560" s="9"/>
      <c r="AC15560" s="9"/>
      <c r="AD15560" s="9"/>
      <c r="AF15560" s="10"/>
      <c r="AG15560" s="10"/>
      <c r="AH15560" s="10"/>
      <c r="AI15560" s="10"/>
    </row>
    <row r="15561" spans="28:35" ht="15" hidden="1" customHeight="1">
      <c r="AB15561" s="9"/>
      <c r="AC15561" s="9"/>
      <c r="AD15561" s="9"/>
      <c r="AF15561" s="10"/>
      <c r="AG15561" s="10"/>
      <c r="AH15561" s="10"/>
      <c r="AI15561" s="10"/>
    </row>
    <row r="15562" spans="28:35" ht="15" hidden="1" customHeight="1">
      <c r="AB15562" s="9"/>
      <c r="AC15562" s="9"/>
      <c r="AD15562" s="9"/>
      <c r="AF15562" s="10"/>
      <c r="AG15562" s="10"/>
      <c r="AH15562" s="10"/>
      <c r="AI15562" s="10"/>
    </row>
    <row r="15563" spans="28:35" ht="15" hidden="1" customHeight="1">
      <c r="AB15563" s="9"/>
      <c r="AC15563" s="9"/>
      <c r="AD15563" s="9"/>
      <c r="AF15563" s="10"/>
      <c r="AG15563" s="10"/>
      <c r="AH15563" s="10"/>
      <c r="AI15563" s="10"/>
    </row>
    <row r="15564" spans="28:35" ht="15" hidden="1" customHeight="1">
      <c r="AB15564" s="9"/>
      <c r="AC15564" s="9"/>
      <c r="AD15564" s="9"/>
      <c r="AF15564" s="10"/>
      <c r="AG15564" s="10"/>
      <c r="AH15564" s="10"/>
      <c r="AI15564" s="10"/>
    </row>
    <row r="15565" spans="28:35" ht="15" hidden="1" customHeight="1">
      <c r="AB15565" s="9"/>
      <c r="AC15565" s="9"/>
      <c r="AD15565" s="9"/>
      <c r="AF15565" s="10"/>
      <c r="AG15565" s="10"/>
      <c r="AH15565" s="10"/>
      <c r="AI15565" s="10"/>
    </row>
    <row r="15566" spans="28:35" ht="15" hidden="1" customHeight="1">
      <c r="AB15566" s="9"/>
      <c r="AC15566" s="9"/>
      <c r="AD15566" s="9"/>
      <c r="AF15566" s="10"/>
      <c r="AG15566" s="10"/>
      <c r="AH15566" s="10"/>
      <c r="AI15566" s="10"/>
    </row>
    <row r="15567" spans="28:35" ht="15" hidden="1" customHeight="1">
      <c r="AB15567" s="9"/>
      <c r="AC15567" s="9"/>
      <c r="AD15567" s="9"/>
      <c r="AF15567" s="10"/>
      <c r="AG15567" s="10"/>
      <c r="AH15567" s="10"/>
      <c r="AI15567" s="10"/>
    </row>
    <row r="15568" spans="28:35" ht="15" hidden="1" customHeight="1">
      <c r="AB15568" s="9"/>
      <c r="AC15568" s="9"/>
      <c r="AD15568" s="9"/>
      <c r="AF15568" s="10"/>
      <c r="AG15568" s="10"/>
      <c r="AH15568" s="10"/>
      <c r="AI15568" s="10"/>
    </row>
    <row r="15569" spans="28:35" ht="15" hidden="1" customHeight="1">
      <c r="AB15569" s="9"/>
      <c r="AC15569" s="9"/>
      <c r="AD15569" s="9"/>
      <c r="AF15569" s="10"/>
      <c r="AG15569" s="10"/>
      <c r="AH15569" s="10"/>
      <c r="AI15569" s="10"/>
    </row>
    <row r="15570" spans="28:35" ht="15" hidden="1" customHeight="1">
      <c r="AB15570" s="9"/>
      <c r="AC15570" s="9"/>
      <c r="AD15570" s="9"/>
      <c r="AF15570" s="10"/>
      <c r="AG15570" s="10"/>
      <c r="AH15570" s="10"/>
      <c r="AI15570" s="10"/>
    </row>
    <row r="15571" spans="28:35" ht="15" hidden="1" customHeight="1">
      <c r="AB15571" s="9"/>
      <c r="AC15571" s="9"/>
      <c r="AD15571" s="9"/>
      <c r="AF15571" s="10"/>
      <c r="AG15571" s="10"/>
      <c r="AH15571" s="10"/>
      <c r="AI15571" s="10"/>
    </row>
    <row r="15572" spans="28:35" ht="15" hidden="1" customHeight="1">
      <c r="AB15572" s="9"/>
      <c r="AC15572" s="9"/>
      <c r="AD15572" s="9"/>
      <c r="AF15572" s="10"/>
      <c r="AG15572" s="10"/>
      <c r="AH15572" s="10"/>
      <c r="AI15572" s="10"/>
    </row>
    <row r="15573" spans="28:35" ht="15" hidden="1" customHeight="1">
      <c r="AB15573" s="9"/>
      <c r="AC15573" s="9"/>
      <c r="AD15573" s="9"/>
      <c r="AF15573" s="10"/>
      <c r="AG15573" s="10"/>
      <c r="AH15573" s="10"/>
      <c r="AI15573" s="10"/>
    </row>
    <row r="15574" spans="28:35" ht="15" hidden="1" customHeight="1">
      <c r="AB15574" s="9"/>
      <c r="AC15574" s="9"/>
      <c r="AD15574" s="9"/>
      <c r="AF15574" s="10"/>
      <c r="AG15574" s="10"/>
      <c r="AH15574" s="10"/>
      <c r="AI15574" s="10"/>
    </row>
    <row r="15575" spans="28:35" ht="15" hidden="1" customHeight="1">
      <c r="AB15575" s="9"/>
      <c r="AC15575" s="9"/>
      <c r="AD15575" s="9"/>
      <c r="AF15575" s="10"/>
      <c r="AG15575" s="10"/>
      <c r="AH15575" s="10"/>
      <c r="AI15575" s="10"/>
    </row>
    <row r="15576" spans="28:35" ht="15" hidden="1" customHeight="1">
      <c r="AB15576" s="9"/>
      <c r="AC15576" s="9"/>
      <c r="AD15576" s="9"/>
      <c r="AF15576" s="10"/>
      <c r="AG15576" s="10"/>
      <c r="AH15576" s="10"/>
      <c r="AI15576" s="10"/>
    </row>
    <row r="15577" spans="28:35" ht="15" hidden="1" customHeight="1">
      <c r="AB15577" s="9"/>
      <c r="AC15577" s="9"/>
      <c r="AD15577" s="9"/>
      <c r="AF15577" s="10"/>
      <c r="AG15577" s="10"/>
      <c r="AH15577" s="10"/>
      <c r="AI15577" s="10"/>
    </row>
    <row r="15578" spans="28:35" ht="15" hidden="1" customHeight="1">
      <c r="AB15578" s="9"/>
      <c r="AC15578" s="9"/>
      <c r="AD15578" s="9"/>
      <c r="AF15578" s="10"/>
      <c r="AG15578" s="10"/>
      <c r="AH15578" s="10"/>
      <c r="AI15578" s="10"/>
    </row>
    <row r="15579" spans="28:35" ht="15" hidden="1" customHeight="1">
      <c r="AB15579" s="9"/>
      <c r="AC15579" s="9"/>
      <c r="AD15579" s="9"/>
      <c r="AF15579" s="10"/>
      <c r="AG15579" s="10"/>
      <c r="AH15579" s="10"/>
      <c r="AI15579" s="10"/>
    </row>
    <row r="15580" spans="28:35" ht="15" hidden="1" customHeight="1">
      <c r="AB15580" s="9"/>
      <c r="AC15580" s="9"/>
      <c r="AD15580" s="9"/>
      <c r="AF15580" s="10"/>
      <c r="AG15580" s="10"/>
      <c r="AH15580" s="10"/>
      <c r="AI15580" s="10"/>
    </row>
    <row r="15581" spans="28:35" ht="15" hidden="1" customHeight="1">
      <c r="AB15581" s="9"/>
      <c r="AC15581" s="9"/>
      <c r="AD15581" s="9"/>
      <c r="AF15581" s="10"/>
      <c r="AG15581" s="10"/>
      <c r="AH15581" s="10"/>
      <c r="AI15581" s="10"/>
    </row>
    <row r="15582" spans="28:35" ht="15" hidden="1" customHeight="1">
      <c r="AB15582" s="9"/>
      <c r="AC15582" s="9"/>
      <c r="AD15582" s="9"/>
      <c r="AF15582" s="10"/>
      <c r="AG15582" s="10"/>
      <c r="AH15582" s="10"/>
      <c r="AI15582" s="10"/>
    </row>
    <row r="15583" spans="28:35" ht="15" hidden="1" customHeight="1">
      <c r="AB15583" s="9"/>
      <c r="AC15583" s="9"/>
      <c r="AD15583" s="9"/>
      <c r="AF15583" s="10"/>
      <c r="AG15583" s="10"/>
      <c r="AH15583" s="10"/>
      <c r="AI15583" s="10"/>
    </row>
    <row r="15584" spans="28:35" ht="15" hidden="1" customHeight="1">
      <c r="AB15584" s="9"/>
      <c r="AC15584" s="9"/>
      <c r="AD15584" s="9"/>
      <c r="AF15584" s="10"/>
      <c r="AG15584" s="10"/>
      <c r="AH15584" s="10"/>
      <c r="AI15584" s="10"/>
    </row>
    <row r="15585" spans="28:35" ht="15" hidden="1" customHeight="1">
      <c r="AB15585" s="9"/>
      <c r="AC15585" s="9"/>
      <c r="AD15585" s="9"/>
      <c r="AF15585" s="10"/>
      <c r="AG15585" s="10"/>
      <c r="AH15585" s="10"/>
      <c r="AI15585" s="10"/>
    </row>
    <row r="15586" spans="28:35" ht="15" hidden="1" customHeight="1">
      <c r="AB15586" s="9"/>
      <c r="AC15586" s="9"/>
      <c r="AD15586" s="9"/>
      <c r="AF15586" s="10"/>
      <c r="AG15586" s="10"/>
      <c r="AH15586" s="10"/>
      <c r="AI15586" s="10"/>
    </row>
    <row r="15587" spans="28:35" ht="15" hidden="1" customHeight="1">
      <c r="AB15587" s="9"/>
      <c r="AC15587" s="9"/>
      <c r="AD15587" s="9"/>
      <c r="AF15587" s="10"/>
      <c r="AG15587" s="10"/>
      <c r="AH15587" s="10"/>
      <c r="AI15587" s="10"/>
    </row>
    <row r="15588" spans="28:35" ht="15" hidden="1" customHeight="1">
      <c r="AB15588" s="9"/>
      <c r="AC15588" s="9"/>
      <c r="AD15588" s="9"/>
      <c r="AF15588" s="10"/>
      <c r="AG15588" s="10"/>
      <c r="AH15588" s="10"/>
      <c r="AI15588" s="10"/>
    </row>
    <row r="15589" spans="28:35" ht="15" hidden="1" customHeight="1">
      <c r="AB15589" s="9"/>
      <c r="AC15589" s="9"/>
      <c r="AD15589" s="9"/>
      <c r="AF15589" s="10"/>
      <c r="AG15589" s="10"/>
      <c r="AH15589" s="10"/>
      <c r="AI15589" s="10"/>
    </row>
    <row r="15590" spans="28:35" ht="15" hidden="1" customHeight="1">
      <c r="AB15590" s="9"/>
      <c r="AC15590" s="9"/>
      <c r="AD15590" s="9"/>
      <c r="AF15590" s="10"/>
      <c r="AG15590" s="10"/>
      <c r="AH15590" s="10"/>
      <c r="AI15590" s="10"/>
    </row>
    <row r="15591" spans="28:35" ht="15" hidden="1" customHeight="1">
      <c r="AB15591" s="9"/>
      <c r="AC15591" s="9"/>
      <c r="AD15591" s="9"/>
      <c r="AF15591" s="10"/>
      <c r="AG15591" s="10"/>
      <c r="AH15591" s="10"/>
      <c r="AI15591" s="10"/>
    </row>
    <row r="15592" spans="28:35" ht="15" hidden="1" customHeight="1">
      <c r="AB15592" s="9"/>
      <c r="AC15592" s="9"/>
      <c r="AD15592" s="9"/>
      <c r="AF15592" s="10"/>
      <c r="AG15592" s="10"/>
      <c r="AH15592" s="10"/>
      <c r="AI15592" s="10"/>
    </row>
    <row r="15593" spans="28:35" ht="15" hidden="1" customHeight="1">
      <c r="AB15593" s="9"/>
      <c r="AC15593" s="9"/>
      <c r="AD15593" s="9"/>
      <c r="AF15593" s="10"/>
      <c r="AG15593" s="10"/>
      <c r="AH15593" s="10"/>
      <c r="AI15593" s="10"/>
    </row>
    <row r="15594" spans="28:35" ht="15" hidden="1" customHeight="1">
      <c r="AB15594" s="9"/>
      <c r="AC15594" s="9"/>
      <c r="AD15594" s="9"/>
      <c r="AF15594" s="10"/>
      <c r="AG15594" s="10"/>
      <c r="AH15594" s="10"/>
      <c r="AI15594" s="10"/>
    </row>
    <row r="15595" spans="28:35" ht="15" hidden="1" customHeight="1">
      <c r="AB15595" s="9"/>
      <c r="AC15595" s="9"/>
      <c r="AD15595" s="9"/>
      <c r="AF15595" s="10"/>
      <c r="AG15595" s="10"/>
      <c r="AH15595" s="10"/>
      <c r="AI15595" s="10"/>
    </row>
    <row r="15596" spans="28:35" ht="15" hidden="1" customHeight="1">
      <c r="AB15596" s="9"/>
      <c r="AC15596" s="9"/>
      <c r="AD15596" s="9"/>
      <c r="AF15596" s="10"/>
      <c r="AG15596" s="10"/>
      <c r="AH15596" s="10"/>
      <c r="AI15596" s="10"/>
    </row>
    <row r="15597" spans="28:35" ht="15" hidden="1" customHeight="1">
      <c r="AB15597" s="9"/>
      <c r="AC15597" s="9"/>
      <c r="AD15597" s="9"/>
      <c r="AF15597" s="10"/>
      <c r="AG15597" s="10"/>
      <c r="AH15597" s="10"/>
      <c r="AI15597" s="10"/>
    </row>
    <row r="15598" spans="28:35" ht="15" hidden="1" customHeight="1">
      <c r="AB15598" s="9"/>
      <c r="AC15598" s="9"/>
      <c r="AD15598" s="9"/>
      <c r="AF15598" s="10"/>
      <c r="AG15598" s="10"/>
      <c r="AH15598" s="10"/>
      <c r="AI15598" s="10"/>
    </row>
    <row r="15599" spans="28:35" ht="15" hidden="1" customHeight="1">
      <c r="AB15599" s="9"/>
      <c r="AC15599" s="9"/>
      <c r="AD15599" s="9"/>
      <c r="AF15599" s="10"/>
      <c r="AG15599" s="10"/>
      <c r="AH15599" s="10"/>
      <c r="AI15599" s="10"/>
    </row>
    <row r="15600" spans="28:35" ht="15" hidden="1" customHeight="1">
      <c r="AB15600" s="9"/>
      <c r="AC15600" s="9"/>
      <c r="AD15600" s="9"/>
      <c r="AF15600" s="10"/>
      <c r="AG15600" s="10"/>
      <c r="AH15600" s="10"/>
      <c r="AI15600" s="10"/>
    </row>
    <row r="15601" spans="28:35" ht="15" hidden="1" customHeight="1">
      <c r="AB15601" s="9"/>
      <c r="AC15601" s="9"/>
      <c r="AD15601" s="9"/>
      <c r="AF15601" s="10"/>
      <c r="AG15601" s="10"/>
      <c r="AH15601" s="10"/>
      <c r="AI15601" s="10"/>
    </row>
    <row r="15602" spans="28:35" ht="15" hidden="1" customHeight="1">
      <c r="AB15602" s="9"/>
      <c r="AC15602" s="9"/>
      <c r="AD15602" s="9"/>
      <c r="AF15602" s="10"/>
      <c r="AG15602" s="10"/>
      <c r="AH15602" s="10"/>
      <c r="AI15602" s="10"/>
    </row>
    <row r="15603" spans="28:35" ht="15" hidden="1" customHeight="1">
      <c r="AB15603" s="9"/>
      <c r="AC15603" s="9"/>
      <c r="AD15603" s="9"/>
      <c r="AF15603" s="10"/>
      <c r="AG15603" s="10"/>
      <c r="AH15603" s="10"/>
      <c r="AI15603" s="10"/>
    </row>
    <row r="15604" spans="28:35" ht="15" hidden="1" customHeight="1">
      <c r="AB15604" s="9"/>
      <c r="AC15604" s="9"/>
      <c r="AD15604" s="9"/>
      <c r="AF15604" s="10"/>
      <c r="AG15604" s="10"/>
      <c r="AH15604" s="10"/>
      <c r="AI15604" s="10"/>
    </row>
    <row r="15605" spans="28:35" ht="15" hidden="1" customHeight="1">
      <c r="AB15605" s="9"/>
      <c r="AC15605" s="9"/>
      <c r="AD15605" s="9"/>
      <c r="AF15605" s="10"/>
      <c r="AG15605" s="10"/>
      <c r="AH15605" s="10"/>
      <c r="AI15605" s="10"/>
    </row>
    <row r="15606" spans="28:35" ht="15" hidden="1" customHeight="1">
      <c r="AB15606" s="9"/>
      <c r="AC15606" s="9"/>
      <c r="AD15606" s="9"/>
      <c r="AF15606" s="10"/>
      <c r="AG15606" s="10"/>
      <c r="AH15606" s="10"/>
      <c r="AI15606" s="10"/>
    </row>
    <row r="15607" spans="28:35" ht="15" hidden="1" customHeight="1">
      <c r="AB15607" s="9"/>
      <c r="AC15607" s="9"/>
      <c r="AD15607" s="9"/>
      <c r="AF15607" s="10"/>
      <c r="AG15607" s="10"/>
      <c r="AH15607" s="10"/>
      <c r="AI15607" s="10"/>
    </row>
    <row r="15608" spans="28:35" ht="15" hidden="1" customHeight="1">
      <c r="AB15608" s="9"/>
      <c r="AC15608" s="9"/>
      <c r="AD15608" s="9"/>
      <c r="AF15608" s="10"/>
      <c r="AG15608" s="10"/>
      <c r="AH15608" s="10"/>
      <c r="AI15608" s="10"/>
    </row>
    <row r="15609" spans="28:35" ht="15" hidden="1" customHeight="1">
      <c r="AB15609" s="9"/>
      <c r="AC15609" s="9"/>
      <c r="AD15609" s="9"/>
      <c r="AF15609" s="10"/>
      <c r="AG15609" s="10"/>
      <c r="AH15609" s="10"/>
      <c r="AI15609" s="10"/>
    </row>
    <row r="15610" spans="28:35" ht="15" hidden="1" customHeight="1">
      <c r="AB15610" s="9"/>
      <c r="AC15610" s="9"/>
      <c r="AD15610" s="9"/>
      <c r="AF15610" s="10"/>
      <c r="AG15610" s="10"/>
      <c r="AH15610" s="10"/>
      <c r="AI15610" s="10"/>
    </row>
    <row r="15611" spans="28:35" ht="15" hidden="1" customHeight="1">
      <c r="AB15611" s="9"/>
      <c r="AC15611" s="9"/>
      <c r="AD15611" s="9"/>
      <c r="AF15611" s="10"/>
      <c r="AG15611" s="10"/>
      <c r="AH15611" s="10"/>
      <c r="AI15611" s="10"/>
    </row>
    <row r="15612" spans="28:35" ht="15" hidden="1" customHeight="1">
      <c r="AB15612" s="9"/>
      <c r="AC15612" s="9"/>
      <c r="AD15612" s="9"/>
      <c r="AF15612" s="10"/>
      <c r="AG15612" s="10"/>
      <c r="AH15612" s="10"/>
      <c r="AI15612" s="10"/>
    </row>
    <row r="15613" spans="28:35" ht="15" hidden="1" customHeight="1">
      <c r="AB15613" s="9"/>
      <c r="AC15613" s="9"/>
      <c r="AD15613" s="9"/>
      <c r="AF15613" s="10"/>
      <c r="AG15613" s="10"/>
      <c r="AH15613" s="10"/>
      <c r="AI15613" s="10"/>
    </row>
    <row r="15614" spans="28:35" ht="15" hidden="1" customHeight="1">
      <c r="AB15614" s="9"/>
      <c r="AC15614" s="9"/>
      <c r="AD15614" s="9"/>
      <c r="AF15614" s="10"/>
      <c r="AG15614" s="10"/>
      <c r="AH15614" s="10"/>
      <c r="AI15614" s="10"/>
    </row>
    <row r="15615" spans="28:35" ht="15" hidden="1" customHeight="1">
      <c r="AB15615" s="9"/>
      <c r="AC15615" s="9"/>
      <c r="AD15615" s="9"/>
      <c r="AF15615" s="10"/>
      <c r="AG15615" s="10"/>
      <c r="AH15615" s="10"/>
      <c r="AI15615" s="10"/>
    </row>
    <row r="15616" spans="28:35" ht="15" hidden="1" customHeight="1">
      <c r="AB15616" s="9"/>
      <c r="AC15616" s="9"/>
      <c r="AD15616" s="9"/>
      <c r="AF15616" s="10"/>
      <c r="AG15616" s="10"/>
      <c r="AH15616" s="10"/>
      <c r="AI15616" s="10"/>
    </row>
    <row r="15617" spans="28:35" ht="15" hidden="1" customHeight="1">
      <c r="AB15617" s="9"/>
      <c r="AC15617" s="9"/>
      <c r="AD15617" s="9"/>
      <c r="AF15617" s="10"/>
      <c r="AG15617" s="10"/>
      <c r="AH15617" s="10"/>
      <c r="AI15617" s="10"/>
    </row>
    <row r="15618" spans="28:35" ht="15" hidden="1" customHeight="1">
      <c r="AB15618" s="9"/>
      <c r="AC15618" s="9"/>
      <c r="AD15618" s="9"/>
      <c r="AF15618" s="10"/>
      <c r="AG15618" s="10"/>
      <c r="AH15618" s="10"/>
      <c r="AI15618" s="10"/>
    </row>
    <row r="15619" spans="28:35" ht="15" hidden="1" customHeight="1">
      <c r="AB15619" s="9"/>
      <c r="AC15619" s="9"/>
      <c r="AD15619" s="9"/>
      <c r="AF15619" s="10"/>
      <c r="AG15619" s="10"/>
      <c r="AH15619" s="10"/>
      <c r="AI15619" s="10"/>
    </row>
    <row r="15620" spans="28:35" ht="15" hidden="1" customHeight="1">
      <c r="AB15620" s="9"/>
      <c r="AC15620" s="9"/>
      <c r="AD15620" s="9"/>
      <c r="AF15620" s="10"/>
      <c r="AG15620" s="10"/>
      <c r="AH15620" s="10"/>
      <c r="AI15620" s="10"/>
    </row>
    <row r="15621" spans="28:35" ht="15" hidden="1" customHeight="1">
      <c r="AB15621" s="9"/>
      <c r="AC15621" s="9"/>
      <c r="AD15621" s="9"/>
      <c r="AF15621" s="10"/>
      <c r="AG15621" s="10"/>
      <c r="AH15621" s="10"/>
      <c r="AI15621" s="10"/>
    </row>
    <row r="15622" spans="28:35" ht="15" hidden="1" customHeight="1">
      <c r="AB15622" s="9"/>
      <c r="AC15622" s="9"/>
      <c r="AD15622" s="9"/>
      <c r="AF15622" s="10"/>
      <c r="AG15622" s="10"/>
      <c r="AH15622" s="10"/>
      <c r="AI15622" s="10"/>
    </row>
    <row r="15623" spans="28:35" ht="15" hidden="1" customHeight="1">
      <c r="AB15623" s="9"/>
      <c r="AC15623" s="9"/>
      <c r="AD15623" s="9"/>
      <c r="AF15623" s="10"/>
      <c r="AG15623" s="10"/>
      <c r="AH15623" s="10"/>
      <c r="AI15623" s="10"/>
    </row>
    <row r="15624" spans="28:35" ht="15" hidden="1" customHeight="1">
      <c r="AB15624" s="9"/>
      <c r="AC15624" s="9"/>
      <c r="AD15624" s="9"/>
      <c r="AF15624" s="10"/>
      <c r="AG15624" s="10"/>
      <c r="AH15624" s="10"/>
      <c r="AI15624" s="10"/>
    </row>
    <row r="15625" spans="28:35" ht="15" hidden="1" customHeight="1">
      <c r="AB15625" s="9"/>
      <c r="AC15625" s="9"/>
      <c r="AD15625" s="9"/>
      <c r="AF15625" s="10"/>
      <c r="AG15625" s="10"/>
      <c r="AH15625" s="10"/>
      <c r="AI15625" s="10"/>
    </row>
    <row r="15626" spans="28:35" ht="15" hidden="1" customHeight="1">
      <c r="AB15626" s="9"/>
      <c r="AC15626" s="9"/>
      <c r="AD15626" s="9"/>
      <c r="AF15626" s="10"/>
      <c r="AG15626" s="10"/>
      <c r="AH15626" s="10"/>
      <c r="AI15626" s="10"/>
    </row>
    <row r="15627" spans="28:35" ht="15" hidden="1" customHeight="1">
      <c r="AB15627" s="9"/>
      <c r="AC15627" s="9"/>
      <c r="AD15627" s="9"/>
      <c r="AF15627" s="10"/>
      <c r="AG15627" s="10"/>
      <c r="AH15627" s="10"/>
      <c r="AI15627" s="10"/>
    </row>
    <row r="15628" spans="28:35" ht="15" hidden="1" customHeight="1">
      <c r="AB15628" s="9"/>
      <c r="AC15628" s="9"/>
      <c r="AD15628" s="9"/>
      <c r="AF15628" s="10"/>
      <c r="AG15628" s="10"/>
      <c r="AH15628" s="10"/>
      <c r="AI15628" s="10"/>
    </row>
    <row r="15629" spans="28:35" ht="15" hidden="1" customHeight="1">
      <c r="AB15629" s="9"/>
      <c r="AC15629" s="9"/>
      <c r="AD15629" s="9"/>
      <c r="AF15629" s="10"/>
      <c r="AG15629" s="10"/>
      <c r="AH15629" s="10"/>
      <c r="AI15629" s="10"/>
    </row>
    <row r="15630" spans="28:35" ht="15" hidden="1" customHeight="1">
      <c r="AB15630" s="9"/>
      <c r="AC15630" s="9"/>
      <c r="AD15630" s="9"/>
      <c r="AF15630" s="10"/>
      <c r="AG15630" s="10"/>
      <c r="AH15630" s="10"/>
      <c r="AI15630" s="10"/>
    </row>
    <row r="15631" spans="28:35" ht="15" hidden="1" customHeight="1">
      <c r="AB15631" s="9"/>
      <c r="AC15631" s="9"/>
      <c r="AD15631" s="9"/>
      <c r="AF15631" s="10"/>
      <c r="AG15631" s="10"/>
      <c r="AH15631" s="10"/>
      <c r="AI15631" s="10"/>
    </row>
    <row r="15632" spans="28:35" ht="15" hidden="1" customHeight="1">
      <c r="AB15632" s="9"/>
      <c r="AC15632" s="9"/>
      <c r="AD15632" s="9"/>
      <c r="AF15632" s="10"/>
      <c r="AG15632" s="10"/>
      <c r="AH15632" s="10"/>
      <c r="AI15632" s="10"/>
    </row>
    <row r="15633" spans="28:35" ht="15" hidden="1" customHeight="1">
      <c r="AB15633" s="9"/>
      <c r="AC15633" s="9"/>
      <c r="AD15633" s="9"/>
      <c r="AF15633" s="10"/>
      <c r="AG15633" s="10"/>
      <c r="AH15633" s="10"/>
      <c r="AI15633" s="10"/>
    </row>
    <row r="15634" spans="28:35" ht="15" hidden="1" customHeight="1">
      <c r="AB15634" s="9"/>
      <c r="AC15634" s="9"/>
      <c r="AD15634" s="9"/>
      <c r="AF15634" s="10"/>
      <c r="AG15634" s="10"/>
      <c r="AH15634" s="10"/>
      <c r="AI15634" s="10"/>
    </row>
    <row r="15635" spans="28:35" ht="15" hidden="1" customHeight="1">
      <c r="AB15635" s="9"/>
      <c r="AC15635" s="9"/>
      <c r="AD15635" s="9"/>
      <c r="AF15635" s="10"/>
      <c r="AG15635" s="10"/>
      <c r="AH15635" s="10"/>
      <c r="AI15635" s="10"/>
    </row>
    <row r="15636" spans="28:35" ht="15" hidden="1" customHeight="1">
      <c r="AB15636" s="9"/>
      <c r="AC15636" s="9"/>
      <c r="AD15636" s="9"/>
      <c r="AF15636" s="10"/>
      <c r="AG15636" s="10"/>
      <c r="AH15636" s="10"/>
      <c r="AI15636" s="10"/>
    </row>
    <row r="15637" spans="28:35" ht="15" hidden="1" customHeight="1">
      <c r="AB15637" s="9"/>
      <c r="AC15637" s="9"/>
      <c r="AD15637" s="9"/>
      <c r="AF15637" s="10"/>
      <c r="AG15637" s="10"/>
      <c r="AH15637" s="10"/>
      <c r="AI15637" s="10"/>
    </row>
    <row r="15638" spans="28:35" ht="15" hidden="1" customHeight="1">
      <c r="AB15638" s="9"/>
      <c r="AC15638" s="9"/>
      <c r="AD15638" s="9"/>
      <c r="AF15638" s="10"/>
      <c r="AG15638" s="10"/>
      <c r="AH15638" s="10"/>
      <c r="AI15638" s="10"/>
    </row>
    <row r="15639" spans="28:35" ht="15" hidden="1" customHeight="1">
      <c r="AB15639" s="9"/>
      <c r="AC15639" s="9"/>
      <c r="AD15639" s="9"/>
      <c r="AF15639" s="10"/>
      <c r="AG15639" s="10"/>
      <c r="AH15639" s="10"/>
      <c r="AI15639" s="10"/>
    </row>
    <row r="15640" spans="28:35" ht="15" hidden="1" customHeight="1">
      <c r="AB15640" s="9"/>
      <c r="AC15640" s="9"/>
      <c r="AD15640" s="9"/>
      <c r="AF15640" s="10"/>
      <c r="AG15640" s="10"/>
      <c r="AH15640" s="10"/>
      <c r="AI15640" s="10"/>
    </row>
    <row r="15641" spans="28:35" ht="15" hidden="1" customHeight="1">
      <c r="AB15641" s="9"/>
      <c r="AC15641" s="9"/>
      <c r="AD15641" s="9"/>
      <c r="AF15641" s="10"/>
      <c r="AG15641" s="10"/>
      <c r="AH15641" s="10"/>
      <c r="AI15641" s="10"/>
    </row>
    <row r="15642" spans="28:35" ht="15" hidden="1" customHeight="1">
      <c r="AB15642" s="9"/>
      <c r="AC15642" s="9"/>
      <c r="AD15642" s="9"/>
      <c r="AF15642" s="10"/>
      <c r="AG15642" s="10"/>
      <c r="AH15642" s="10"/>
      <c r="AI15642" s="10"/>
    </row>
    <row r="15643" spans="28:35" ht="15" hidden="1" customHeight="1">
      <c r="AB15643" s="9"/>
      <c r="AC15643" s="9"/>
      <c r="AD15643" s="9"/>
      <c r="AF15643" s="10"/>
      <c r="AG15643" s="10"/>
      <c r="AH15643" s="10"/>
      <c r="AI15643" s="10"/>
    </row>
    <row r="15644" spans="28:35" ht="15" hidden="1" customHeight="1">
      <c r="AB15644" s="9"/>
      <c r="AC15644" s="9"/>
      <c r="AD15644" s="9"/>
      <c r="AF15644" s="10"/>
      <c r="AG15644" s="10"/>
      <c r="AH15644" s="10"/>
      <c r="AI15644" s="10"/>
    </row>
    <row r="15645" spans="28:35" ht="15" hidden="1" customHeight="1">
      <c r="AB15645" s="9"/>
      <c r="AC15645" s="9"/>
      <c r="AD15645" s="9"/>
      <c r="AF15645" s="10"/>
      <c r="AG15645" s="10"/>
      <c r="AH15645" s="10"/>
      <c r="AI15645" s="10"/>
    </row>
    <row r="15646" spans="28:35" ht="15" hidden="1" customHeight="1">
      <c r="AB15646" s="9"/>
      <c r="AC15646" s="9"/>
      <c r="AD15646" s="9"/>
      <c r="AF15646" s="10"/>
      <c r="AG15646" s="10"/>
      <c r="AH15646" s="10"/>
      <c r="AI15646" s="10"/>
    </row>
    <row r="15647" spans="28:35" ht="15" hidden="1" customHeight="1">
      <c r="AB15647" s="9"/>
      <c r="AC15647" s="9"/>
      <c r="AD15647" s="9"/>
      <c r="AF15647" s="10"/>
      <c r="AG15647" s="10"/>
      <c r="AH15647" s="10"/>
      <c r="AI15647" s="10"/>
    </row>
    <row r="15648" spans="28:35" ht="15" hidden="1" customHeight="1">
      <c r="AB15648" s="9"/>
      <c r="AC15648" s="9"/>
      <c r="AD15648" s="9"/>
      <c r="AF15648" s="10"/>
      <c r="AG15648" s="10"/>
      <c r="AH15648" s="10"/>
      <c r="AI15648" s="10"/>
    </row>
    <row r="15649" spans="28:35" ht="15" hidden="1" customHeight="1">
      <c r="AB15649" s="9"/>
      <c r="AC15649" s="9"/>
      <c r="AD15649" s="9"/>
      <c r="AF15649" s="10"/>
      <c r="AG15649" s="10"/>
      <c r="AH15649" s="10"/>
      <c r="AI15649" s="10"/>
    </row>
    <row r="15650" spans="28:35" ht="15" hidden="1" customHeight="1">
      <c r="AB15650" s="9"/>
      <c r="AC15650" s="9"/>
      <c r="AD15650" s="9"/>
      <c r="AF15650" s="10"/>
      <c r="AG15650" s="10"/>
      <c r="AH15650" s="10"/>
      <c r="AI15650" s="10"/>
    </row>
    <row r="15651" spans="28:35" ht="15" hidden="1" customHeight="1">
      <c r="AB15651" s="9"/>
      <c r="AC15651" s="9"/>
      <c r="AD15651" s="9"/>
      <c r="AF15651" s="10"/>
      <c r="AG15651" s="10"/>
      <c r="AH15651" s="10"/>
      <c r="AI15651" s="10"/>
    </row>
    <row r="15652" spans="28:35" ht="15" hidden="1" customHeight="1">
      <c r="AB15652" s="9"/>
      <c r="AC15652" s="9"/>
      <c r="AD15652" s="9"/>
      <c r="AF15652" s="10"/>
      <c r="AG15652" s="10"/>
      <c r="AH15652" s="10"/>
      <c r="AI15652" s="10"/>
    </row>
    <row r="15653" spans="28:35" ht="15" hidden="1" customHeight="1">
      <c r="AB15653" s="9"/>
      <c r="AC15653" s="9"/>
      <c r="AD15653" s="9"/>
      <c r="AF15653" s="10"/>
      <c r="AG15653" s="10"/>
      <c r="AH15653" s="10"/>
      <c r="AI15653" s="10"/>
    </row>
    <row r="15654" spans="28:35" ht="15" hidden="1" customHeight="1">
      <c r="AB15654" s="9"/>
      <c r="AC15654" s="9"/>
      <c r="AD15654" s="9"/>
      <c r="AF15654" s="10"/>
      <c r="AG15654" s="10"/>
      <c r="AH15654" s="10"/>
      <c r="AI15654" s="10"/>
    </row>
    <row r="15655" spans="28:35" ht="15" hidden="1" customHeight="1">
      <c r="AB15655" s="9"/>
      <c r="AC15655" s="9"/>
      <c r="AD15655" s="9"/>
      <c r="AF15655" s="10"/>
      <c r="AG15655" s="10"/>
      <c r="AH15655" s="10"/>
      <c r="AI15655" s="10"/>
    </row>
    <row r="15656" spans="28:35" ht="15" hidden="1" customHeight="1">
      <c r="AB15656" s="9"/>
      <c r="AC15656" s="9"/>
      <c r="AD15656" s="9"/>
      <c r="AF15656" s="10"/>
      <c r="AG15656" s="10"/>
      <c r="AH15656" s="10"/>
      <c r="AI15656" s="10"/>
    </row>
    <row r="15657" spans="28:35" ht="15" hidden="1" customHeight="1">
      <c r="AB15657" s="9"/>
      <c r="AC15657" s="9"/>
      <c r="AD15657" s="9"/>
      <c r="AF15657" s="10"/>
      <c r="AG15657" s="10"/>
      <c r="AH15657" s="10"/>
      <c r="AI15657" s="10"/>
    </row>
    <row r="15658" spans="28:35" ht="15" hidden="1" customHeight="1">
      <c r="AB15658" s="9"/>
      <c r="AC15658" s="9"/>
      <c r="AD15658" s="9"/>
      <c r="AF15658" s="10"/>
      <c r="AG15658" s="10"/>
      <c r="AH15658" s="10"/>
      <c r="AI15658" s="10"/>
    </row>
    <row r="15659" spans="28:35" ht="15" hidden="1" customHeight="1">
      <c r="AB15659" s="9"/>
      <c r="AC15659" s="9"/>
      <c r="AD15659" s="9"/>
      <c r="AF15659" s="10"/>
      <c r="AG15659" s="10"/>
      <c r="AH15659" s="10"/>
      <c r="AI15659" s="10"/>
    </row>
    <row r="15660" spans="28:35" ht="15" hidden="1" customHeight="1">
      <c r="AB15660" s="9"/>
      <c r="AC15660" s="9"/>
      <c r="AD15660" s="9"/>
      <c r="AF15660" s="10"/>
      <c r="AG15660" s="10"/>
      <c r="AH15660" s="10"/>
      <c r="AI15660" s="10"/>
    </row>
    <row r="15661" spans="28:35" ht="15" hidden="1" customHeight="1">
      <c r="AB15661" s="9"/>
      <c r="AC15661" s="9"/>
      <c r="AD15661" s="9"/>
      <c r="AF15661" s="10"/>
      <c r="AG15661" s="10"/>
      <c r="AH15661" s="10"/>
      <c r="AI15661" s="10"/>
    </row>
    <row r="15662" spans="28:35" ht="15" hidden="1" customHeight="1">
      <c r="AB15662" s="9"/>
      <c r="AC15662" s="9"/>
      <c r="AD15662" s="9"/>
      <c r="AF15662" s="10"/>
      <c r="AG15662" s="10"/>
      <c r="AH15662" s="10"/>
      <c r="AI15662" s="10"/>
    </row>
    <row r="15663" spans="28:35" ht="15" hidden="1" customHeight="1">
      <c r="AB15663" s="9"/>
      <c r="AC15663" s="9"/>
      <c r="AD15663" s="9"/>
      <c r="AF15663" s="10"/>
      <c r="AG15663" s="10"/>
      <c r="AH15663" s="10"/>
      <c r="AI15663" s="10"/>
    </row>
    <row r="15664" spans="28:35" ht="15" hidden="1" customHeight="1">
      <c r="AB15664" s="9"/>
      <c r="AC15664" s="9"/>
      <c r="AD15664" s="9"/>
      <c r="AF15664" s="10"/>
      <c r="AG15664" s="10"/>
      <c r="AH15664" s="10"/>
      <c r="AI15664" s="10"/>
    </row>
    <row r="15665" spans="28:35" ht="15" hidden="1" customHeight="1">
      <c r="AB15665" s="9"/>
      <c r="AC15665" s="9"/>
      <c r="AD15665" s="9"/>
      <c r="AF15665" s="10"/>
      <c r="AG15665" s="10"/>
      <c r="AH15665" s="10"/>
      <c r="AI15665" s="10"/>
    </row>
    <row r="15666" spans="28:35" ht="15" hidden="1" customHeight="1">
      <c r="AB15666" s="9"/>
      <c r="AC15666" s="9"/>
      <c r="AD15666" s="9"/>
      <c r="AF15666" s="10"/>
      <c r="AG15666" s="10"/>
      <c r="AH15666" s="10"/>
      <c r="AI15666" s="10"/>
    </row>
    <row r="15667" spans="28:35" ht="15" hidden="1" customHeight="1">
      <c r="AB15667" s="9"/>
      <c r="AC15667" s="9"/>
      <c r="AD15667" s="9"/>
      <c r="AF15667" s="10"/>
      <c r="AG15667" s="10"/>
      <c r="AH15667" s="10"/>
      <c r="AI15667" s="10"/>
    </row>
    <row r="15668" spans="28:35" ht="15" hidden="1" customHeight="1">
      <c r="AB15668" s="9"/>
      <c r="AC15668" s="9"/>
      <c r="AD15668" s="9"/>
      <c r="AF15668" s="10"/>
      <c r="AG15668" s="10"/>
      <c r="AH15668" s="10"/>
      <c r="AI15668" s="10"/>
    </row>
    <row r="15669" spans="28:35" ht="15" hidden="1" customHeight="1">
      <c r="AB15669" s="9"/>
      <c r="AC15669" s="9"/>
      <c r="AD15669" s="9"/>
      <c r="AF15669" s="10"/>
      <c r="AG15669" s="10"/>
      <c r="AH15669" s="10"/>
      <c r="AI15669" s="10"/>
    </row>
    <row r="15670" spans="28:35" ht="15" hidden="1" customHeight="1">
      <c r="AB15670" s="9"/>
      <c r="AC15670" s="9"/>
      <c r="AD15670" s="9"/>
      <c r="AF15670" s="10"/>
      <c r="AG15670" s="10"/>
      <c r="AH15670" s="10"/>
      <c r="AI15670" s="10"/>
    </row>
    <row r="15671" spans="28:35" ht="15" hidden="1" customHeight="1">
      <c r="AB15671" s="9"/>
      <c r="AC15671" s="9"/>
      <c r="AD15671" s="9"/>
      <c r="AF15671" s="10"/>
      <c r="AG15671" s="10"/>
      <c r="AH15671" s="10"/>
      <c r="AI15671" s="10"/>
    </row>
    <row r="15672" spans="28:35" ht="15" hidden="1" customHeight="1">
      <c r="AB15672" s="9"/>
      <c r="AC15672" s="9"/>
      <c r="AD15672" s="9"/>
      <c r="AF15672" s="10"/>
      <c r="AG15672" s="10"/>
      <c r="AH15672" s="10"/>
      <c r="AI15672" s="10"/>
    </row>
    <row r="15673" spans="28:35" ht="15" hidden="1" customHeight="1">
      <c r="AB15673" s="9"/>
      <c r="AC15673" s="9"/>
      <c r="AD15673" s="9"/>
      <c r="AF15673" s="10"/>
      <c r="AG15673" s="10"/>
      <c r="AH15673" s="10"/>
      <c r="AI15673" s="10"/>
    </row>
    <row r="15674" spans="28:35" ht="15" hidden="1" customHeight="1">
      <c r="AB15674" s="9"/>
      <c r="AC15674" s="9"/>
      <c r="AD15674" s="9"/>
      <c r="AF15674" s="10"/>
      <c r="AG15674" s="10"/>
      <c r="AH15674" s="10"/>
      <c r="AI15674" s="10"/>
    </row>
    <row r="15675" spans="28:35" ht="15" hidden="1" customHeight="1">
      <c r="AB15675" s="9"/>
      <c r="AC15675" s="9"/>
      <c r="AD15675" s="9"/>
      <c r="AF15675" s="10"/>
      <c r="AG15675" s="10"/>
      <c r="AH15675" s="10"/>
      <c r="AI15675" s="10"/>
    </row>
    <row r="15676" spans="28:35" ht="15" hidden="1" customHeight="1">
      <c r="AB15676" s="9"/>
      <c r="AC15676" s="9"/>
      <c r="AD15676" s="9"/>
      <c r="AF15676" s="10"/>
      <c r="AG15676" s="10"/>
      <c r="AH15676" s="10"/>
      <c r="AI15676" s="10"/>
    </row>
    <row r="15677" spans="28:35" ht="15" hidden="1" customHeight="1">
      <c r="AB15677" s="9"/>
      <c r="AC15677" s="9"/>
      <c r="AD15677" s="9"/>
      <c r="AF15677" s="10"/>
      <c r="AG15677" s="10"/>
      <c r="AH15677" s="10"/>
      <c r="AI15677" s="10"/>
    </row>
    <row r="15678" spans="28:35" ht="15" hidden="1" customHeight="1">
      <c r="AB15678" s="9"/>
      <c r="AC15678" s="9"/>
      <c r="AD15678" s="9"/>
      <c r="AF15678" s="10"/>
      <c r="AG15678" s="10"/>
      <c r="AH15678" s="10"/>
      <c r="AI15678" s="10"/>
    </row>
    <row r="15679" spans="28:35" ht="15" hidden="1" customHeight="1">
      <c r="AB15679" s="9"/>
      <c r="AC15679" s="9"/>
      <c r="AD15679" s="9"/>
      <c r="AF15679" s="10"/>
      <c r="AG15679" s="10"/>
      <c r="AH15679" s="10"/>
      <c r="AI15679" s="10"/>
    </row>
    <row r="15680" spans="28:35" ht="15" hidden="1" customHeight="1">
      <c r="AB15680" s="9"/>
      <c r="AC15680" s="9"/>
      <c r="AD15680" s="9"/>
      <c r="AF15680" s="10"/>
      <c r="AG15680" s="10"/>
      <c r="AH15680" s="10"/>
      <c r="AI15680" s="10"/>
    </row>
    <row r="15681" spans="28:35" ht="15" hidden="1" customHeight="1">
      <c r="AB15681" s="9"/>
      <c r="AC15681" s="9"/>
      <c r="AD15681" s="9"/>
      <c r="AF15681" s="10"/>
      <c r="AG15681" s="10"/>
      <c r="AH15681" s="10"/>
      <c r="AI15681" s="10"/>
    </row>
    <row r="15682" spans="28:35" ht="15" hidden="1" customHeight="1">
      <c r="AB15682" s="9"/>
      <c r="AC15682" s="9"/>
      <c r="AD15682" s="9"/>
      <c r="AF15682" s="10"/>
      <c r="AG15682" s="10"/>
      <c r="AH15682" s="10"/>
      <c r="AI15682" s="10"/>
    </row>
    <row r="15683" spans="28:35" ht="15" hidden="1" customHeight="1">
      <c r="AB15683" s="9"/>
      <c r="AC15683" s="9"/>
      <c r="AD15683" s="9"/>
      <c r="AF15683" s="10"/>
      <c r="AG15683" s="10"/>
      <c r="AH15683" s="10"/>
      <c r="AI15683" s="10"/>
    </row>
    <row r="15684" spans="28:35" ht="15" hidden="1" customHeight="1">
      <c r="AB15684" s="9"/>
      <c r="AC15684" s="9"/>
      <c r="AD15684" s="9"/>
      <c r="AF15684" s="10"/>
      <c r="AG15684" s="10"/>
      <c r="AH15684" s="10"/>
      <c r="AI15684" s="10"/>
    </row>
    <row r="15685" spans="28:35" ht="15" hidden="1" customHeight="1">
      <c r="AB15685" s="9"/>
      <c r="AC15685" s="9"/>
      <c r="AD15685" s="9"/>
      <c r="AF15685" s="10"/>
      <c r="AG15685" s="10"/>
      <c r="AH15685" s="10"/>
      <c r="AI15685" s="10"/>
    </row>
    <row r="15686" spans="28:35" ht="15" hidden="1" customHeight="1">
      <c r="AB15686" s="9"/>
      <c r="AC15686" s="9"/>
      <c r="AD15686" s="9"/>
      <c r="AF15686" s="10"/>
      <c r="AG15686" s="10"/>
      <c r="AH15686" s="10"/>
      <c r="AI15686" s="10"/>
    </row>
    <row r="15687" spans="28:35" ht="15" hidden="1" customHeight="1">
      <c r="AB15687" s="9"/>
      <c r="AC15687" s="9"/>
      <c r="AD15687" s="9"/>
      <c r="AF15687" s="10"/>
      <c r="AG15687" s="10"/>
      <c r="AH15687" s="10"/>
      <c r="AI15687" s="10"/>
    </row>
    <row r="15688" spans="28:35" ht="15" hidden="1" customHeight="1">
      <c r="AB15688" s="9"/>
      <c r="AC15688" s="9"/>
      <c r="AD15688" s="9"/>
      <c r="AF15688" s="10"/>
      <c r="AG15688" s="10"/>
      <c r="AH15688" s="10"/>
      <c r="AI15688" s="10"/>
    </row>
    <row r="15689" spans="28:35" ht="15" hidden="1" customHeight="1">
      <c r="AB15689" s="9"/>
      <c r="AC15689" s="9"/>
      <c r="AD15689" s="9"/>
      <c r="AF15689" s="10"/>
      <c r="AG15689" s="10"/>
      <c r="AH15689" s="10"/>
      <c r="AI15689" s="10"/>
    </row>
    <row r="15690" spans="28:35" ht="15" hidden="1" customHeight="1">
      <c r="AB15690" s="9"/>
      <c r="AC15690" s="9"/>
      <c r="AD15690" s="9"/>
      <c r="AF15690" s="10"/>
      <c r="AG15690" s="10"/>
      <c r="AH15690" s="10"/>
      <c r="AI15690" s="10"/>
    </row>
    <row r="15691" spans="28:35" ht="15" hidden="1" customHeight="1">
      <c r="AB15691" s="9"/>
      <c r="AC15691" s="9"/>
      <c r="AD15691" s="9"/>
      <c r="AF15691" s="10"/>
      <c r="AG15691" s="10"/>
      <c r="AH15691" s="10"/>
      <c r="AI15691" s="10"/>
    </row>
    <row r="15692" spans="28:35" ht="15" hidden="1" customHeight="1">
      <c r="AB15692" s="9"/>
      <c r="AC15692" s="9"/>
      <c r="AD15692" s="9"/>
      <c r="AF15692" s="10"/>
      <c r="AG15692" s="10"/>
      <c r="AH15692" s="10"/>
      <c r="AI15692" s="10"/>
    </row>
    <row r="15693" spans="28:35" ht="15" hidden="1" customHeight="1">
      <c r="AB15693" s="9"/>
      <c r="AC15693" s="9"/>
      <c r="AD15693" s="9"/>
      <c r="AF15693" s="10"/>
      <c r="AG15693" s="10"/>
      <c r="AH15693" s="10"/>
      <c r="AI15693" s="10"/>
    </row>
    <row r="15694" spans="28:35" ht="15" hidden="1" customHeight="1">
      <c r="AB15694" s="9"/>
      <c r="AC15694" s="9"/>
      <c r="AD15694" s="9"/>
      <c r="AF15694" s="10"/>
      <c r="AG15694" s="10"/>
      <c r="AH15694" s="10"/>
      <c r="AI15694" s="10"/>
    </row>
    <row r="15695" spans="28:35" ht="15" hidden="1" customHeight="1">
      <c r="AB15695" s="9"/>
      <c r="AC15695" s="9"/>
      <c r="AD15695" s="9"/>
      <c r="AF15695" s="10"/>
      <c r="AG15695" s="10"/>
      <c r="AH15695" s="10"/>
      <c r="AI15695" s="10"/>
    </row>
    <row r="15696" spans="28:35" ht="15" hidden="1" customHeight="1">
      <c r="AB15696" s="9"/>
      <c r="AC15696" s="9"/>
      <c r="AD15696" s="9"/>
      <c r="AF15696" s="10"/>
      <c r="AG15696" s="10"/>
      <c r="AH15696" s="10"/>
      <c r="AI15696" s="10"/>
    </row>
    <row r="15697" spans="28:35" ht="15" hidden="1" customHeight="1">
      <c r="AB15697" s="9"/>
      <c r="AC15697" s="9"/>
      <c r="AD15697" s="9"/>
      <c r="AF15697" s="10"/>
      <c r="AG15697" s="10"/>
      <c r="AH15697" s="10"/>
      <c r="AI15697" s="10"/>
    </row>
    <row r="15698" spans="28:35" ht="15" hidden="1" customHeight="1">
      <c r="AB15698" s="9"/>
      <c r="AC15698" s="9"/>
      <c r="AD15698" s="9"/>
      <c r="AF15698" s="10"/>
      <c r="AG15698" s="10"/>
      <c r="AH15698" s="10"/>
      <c r="AI15698" s="10"/>
    </row>
    <row r="15699" spans="28:35" ht="15" hidden="1" customHeight="1">
      <c r="AB15699" s="9"/>
      <c r="AC15699" s="9"/>
      <c r="AD15699" s="9"/>
      <c r="AF15699" s="10"/>
      <c r="AG15699" s="10"/>
      <c r="AH15699" s="10"/>
      <c r="AI15699" s="10"/>
    </row>
    <row r="15700" spans="28:35" ht="15" hidden="1" customHeight="1">
      <c r="AB15700" s="9"/>
      <c r="AC15700" s="9"/>
      <c r="AD15700" s="9"/>
      <c r="AF15700" s="10"/>
      <c r="AG15700" s="10"/>
      <c r="AH15700" s="10"/>
      <c r="AI15700" s="10"/>
    </row>
    <row r="15701" spans="28:35" ht="15" hidden="1" customHeight="1">
      <c r="AB15701" s="9"/>
      <c r="AC15701" s="9"/>
      <c r="AD15701" s="9"/>
      <c r="AF15701" s="10"/>
      <c r="AG15701" s="10"/>
      <c r="AH15701" s="10"/>
      <c r="AI15701" s="10"/>
    </row>
    <row r="15702" spans="28:35" ht="15" hidden="1" customHeight="1">
      <c r="AB15702" s="9"/>
      <c r="AC15702" s="9"/>
      <c r="AD15702" s="9"/>
      <c r="AF15702" s="10"/>
      <c r="AG15702" s="10"/>
      <c r="AH15702" s="10"/>
      <c r="AI15702" s="10"/>
    </row>
    <row r="15703" spans="28:35" ht="15" hidden="1" customHeight="1">
      <c r="AB15703" s="9"/>
      <c r="AC15703" s="9"/>
      <c r="AD15703" s="9"/>
      <c r="AF15703" s="10"/>
      <c r="AG15703" s="10"/>
      <c r="AH15703" s="10"/>
      <c r="AI15703" s="10"/>
    </row>
    <row r="15704" spans="28:35" ht="15" hidden="1" customHeight="1">
      <c r="AB15704" s="9"/>
      <c r="AC15704" s="9"/>
      <c r="AD15704" s="9"/>
      <c r="AF15704" s="10"/>
      <c r="AG15704" s="10"/>
      <c r="AH15704" s="10"/>
      <c r="AI15704" s="10"/>
    </row>
    <row r="15705" spans="28:35" ht="15" hidden="1" customHeight="1">
      <c r="AB15705" s="9"/>
      <c r="AC15705" s="9"/>
      <c r="AD15705" s="9"/>
      <c r="AF15705" s="10"/>
      <c r="AG15705" s="10"/>
      <c r="AH15705" s="10"/>
      <c r="AI15705" s="10"/>
    </row>
    <row r="15706" spans="28:35" ht="15" hidden="1" customHeight="1">
      <c r="AB15706" s="9"/>
      <c r="AC15706" s="9"/>
      <c r="AD15706" s="9"/>
      <c r="AF15706" s="10"/>
      <c r="AG15706" s="10"/>
      <c r="AH15706" s="10"/>
      <c r="AI15706" s="10"/>
    </row>
    <row r="15707" spans="28:35" ht="15" hidden="1" customHeight="1">
      <c r="AB15707" s="9"/>
      <c r="AC15707" s="9"/>
      <c r="AD15707" s="9"/>
      <c r="AF15707" s="10"/>
      <c r="AG15707" s="10"/>
      <c r="AH15707" s="10"/>
      <c r="AI15707" s="10"/>
    </row>
    <row r="15708" spans="28:35" ht="15" hidden="1" customHeight="1">
      <c r="AB15708" s="9"/>
      <c r="AC15708" s="9"/>
      <c r="AD15708" s="9"/>
      <c r="AF15708" s="10"/>
      <c r="AG15708" s="10"/>
      <c r="AH15708" s="10"/>
      <c r="AI15708" s="10"/>
    </row>
    <row r="15709" spans="28:35" ht="15" hidden="1" customHeight="1">
      <c r="AB15709" s="9"/>
      <c r="AC15709" s="9"/>
      <c r="AD15709" s="9"/>
      <c r="AF15709" s="10"/>
      <c r="AG15709" s="10"/>
      <c r="AH15709" s="10"/>
      <c r="AI15709" s="10"/>
    </row>
    <row r="15710" spans="28:35" ht="15" hidden="1" customHeight="1">
      <c r="AB15710" s="9"/>
      <c r="AC15710" s="9"/>
      <c r="AD15710" s="9"/>
      <c r="AF15710" s="10"/>
      <c r="AG15710" s="10"/>
      <c r="AH15710" s="10"/>
      <c r="AI15710" s="10"/>
    </row>
    <row r="15711" spans="28:35" ht="15" hidden="1" customHeight="1">
      <c r="AB15711" s="9"/>
      <c r="AC15711" s="9"/>
      <c r="AD15711" s="9"/>
      <c r="AF15711" s="10"/>
      <c r="AG15711" s="10"/>
      <c r="AH15711" s="10"/>
      <c r="AI15711" s="10"/>
    </row>
    <row r="15712" spans="28:35" ht="15" hidden="1" customHeight="1">
      <c r="AB15712" s="9"/>
      <c r="AC15712" s="9"/>
      <c r="AD15712" s="9"/>
      <c r="AF15712" s="10"/>
      <c r="AG15712" s="10"/>
      <c r="AH15712" s="10"/>
      <c r="AI15712" s="10"/>
    </row>
    <row r="15713" spans="28:35" ht="15" hidden="1" customHeight="1">
      <c r="AB15713" s="9"/>
      <c r="AC15713" s="9"/>
      <c r="AD15713" s="9"/>
      <c r="AF15713" s="10"/>
      <c r="AG15713" s="10"/>
      <c r="AH15713" s="10"/>
      <c r="AI15713" s="10"/>
    </row>
    <row r="15714" spans="28:35" ht="15" hidden="1" customHeight="1">
      <c r="AB15714" s="9"/>
      <c r="AC15714" s="9"/>
      <c r="AD15714" s="9"/>
      <c r="AF15714" s="10"/>
      <c r="AG15714" s="10"/>
      <c r="AH15714" s="10"/>
      <c r="AI15714" s="10"/>
    </row>
    <row r="15715" spans="28:35" ht="15" hidden="1" customHeight="1">
      <c r="AB15715" s="9"/>
      <c r="AC15715" s="9"/>
      <c r="AD15715" s="9"/>
      <c r="AF15715" s="10"/>
      <c r="AG15715" s="10"/>
      <c r="AH15715" s="10"/>
      <c r="AI15715" s="10"/>
    </row>
    <row r="15716" spans="28:35" ht="15" hidden="1" customHeight="1">
      <c r="AB15716" s="9"/>
      <c r="AC15716" s="9"/>
      <c r="AD15716" s="9"/>
      <c r="AF15716" s="10"/>
      <c r="AG15716" s="10"/>
      <c r="AH15716" s="10"/>
      <c r="AI15716" s="10"/>
    </row>
    <row r="15717" spans="28:35" ht="15" hidden="1" customHeight="1">
      <c r="AB15717" s="9"/>
      <c r="AC15717" s="9"/>
      <c r="AD15717" s="9"/>
      <c r="AF15717" s="10"/>
      <c r="AG15717" s="10"/>
      <c r="AH15717" s="10"/>
      <c r="AI15717" s="10"/>
    </row>
    <row r="15718" spans="28:35" ht="15" hidden="1" customHeight="1">
      <c r="AB15718" s="9"/>
      <c r="AC15718" s="9"/>
      <c r="AD15718" s="9"/>
      <c r="AF15718" s="10"/>
      <c r="AG15718" s="10"/>
      <c r="AH15718" s="10"/>
      <c r="AI15718" s="10"/>
    </row>
    <row r="15719" spans="28:35" ht="15" hidden="1" customHeight="1">
      <c r="AB15719" s="9"/>
      <c r="AC15719" s="9"/>
      <c r="AD15719" s="9"/>
      <c r="AF15719" s="10"/>
      <c r="AG15719" s="10"/>
      <c r="AH15719" s="10"/>
      <c r="AI15719" s="10"/>
    </row>
    <row r="15720" spans="28:35" ht="15" hidden="1" customHeight="1">
      <c r="AB15720" s="9"/>
      <c r="AC15720" s="9"/>
      <c r="AD15720" s="9"/>
      <c r="AF15720" s="10"/>
      <c r="AG15720" s="10"/>
      <c r="AH15720" s="10"/>
      <c r="AI15720" s="10"/>
    </row>
    <row r="15721" spans="28:35" ht="15" hidden="1" customHeight="1">
      <c r="AB15721" s="9"/>
      <c r="AC15721" s="9"/>
      <c r="AD15721" s="9"/>
      <c r="AF15721" s="10"/>
      <c r="AG15721" s="10"/>
      <c r="AH15721" s="10"/>
      <c r="AI15721" s="10"/>
    </row>
    <row r="15722" spans="28:35" ht="15" hidden="1" customHeight="1">
      <c r="AB15722" s="9"/>
      <c r="AC15722" s="9"/>
      <c r="AD15722" s="9"/>
      <c r="AF15722" s="10"/>
      <c r="AG15722" s="10"/>
      <c r="AH15722" s="10"/>
      <c r="AI15722" s="10"/>
    </row>
    <row r="15723" spans="28:35" ht="15" hidden="1" customHeight="1">
      <c r="AB15723" s="9"/>
      <c r="AC15723" s="9"/>
      <c r="AD15723" s="9"/>
      <c r="AF15723" s="10"/>
      <c r="AG15723" s="10"/>
      <c r="AH15723" s="10"/>
      <c r="AI15723" s="10"/>
    </row>
    <row r="15724" spans="28:35" ht="15" hidden="1" customHeight="1">
      <c r="AB15724" s="9"/>
      <c r="AC15724" s="9"/>
      <c r="AD15724" s="9"/>
      <c r="AF15724" s="10"/>
      <c r="AG15724" s="10"/>
      <c r="AH15724" s="10"/>
      <c r="AI15724" s="10"/>
    </row>
    <row r="15725" spans="28:35" ht="15" hidden="1" customHeight="1">
      <c r="AB15725" s="9"/>
      <c r="AC15725" s="9"/>
      <c r="AD15725" s="9"/>
      <c r="AF15725" s="10"/>
      <c r="AG15725" s="10"/>
      <c r="AH15725" s="10"/>
      <c r="AI15725" s="10"/>
    </row>
    <row r="15726" spans="28:35" ht="15" hidden="1" customHeight="1">
      <c r="AB15726" s="9"/>
      <c r="AC15726" s="9"/>
      <c r="AD15726" s="9"/>
      <c r="AF15726" s="10"/>
      <c r="AG15726" s="10"/>
      <c r="AH15726" s="10"/>
      <c r="AI15726" s="10"/>
    </row>
    <row r="15727" spans="28:35" ht="15" hidden="1" customHeight="1">
      <c r="AB15727" s="9"/>
      <c r="AC15727" s="9"/>
      <c r="AD15727" s="9"/>
      <c r="AF15727" s="10"/>
      <c r="AG15727" s="10"/>
      <c r="AH15727" s="10"/>
      <c r="AI15727" s="10"/>
    </row>
    <row r="15728" spans="28:35" ht="15" hidden="1" customHeight="1">
      <c r="AB15728" s="9"/>
      <c r="AC15728" s="9"/>
      <c r="AD15728" s="9"/>
      <c r="AF15728" s="10"/>
      <c r="AG15728" s="10"/>
      <c r="AH15728" s="10"/>
      <c r="AI15728" s="10"/>
    </row>
    <row r="15729" spans="28:35" ht="15" hidden="1" customHeight="1">
      <c r="AB15729" s="9"/>
      <c r="AC15729" s="9"/>
      <c r="AD15729" s="9"/>
      <c r="AF15729" s="10"/>
      <c r="AG15729" s="10"/>
      <c r="AH15729" s="10"/>
      <c r="AI15729" s="10"/>
    </row>
    <row r="15730" spans="28:35" ht="15" hidden="1" customHeight="1">
      <c r="AB15730" s="9"/>
      <c r="AC15730" s="9"/>
      <c r="AD15730" s="9"/>
      <c r="AF15730" s="10"/>
      <c r="AG15730" s="10"/>
      <c r="AH15730" s="10"/>
      <c r="AI15730" s="10"/>
    </row>
    <row r="15731" spans="28:35" ht="15" hidden="1" customHeight="1">
      <c r="AB15731" s="9"/>
      <c r="AC15731" s="9"/>
      <c r="AD15731" s="9"/>
      <c r="AF15731" s="10"/>
      <c r="AG15731" s="10"/>
      <c r="AH15731" s="10"/>
      <c r="AI15731" s="10"/>
    </row>
    <row r="15732" spans="28:35" ht="15" hidden="1" customHeight="1">
      <c r="AB15732" s="9"/>
      <c r="AC15732" s="9"/>
      <c r="AD15732" s="9"/>
      <c r="AF15732" s="10"/>
      <c r="AG15732" s="10"/>
      <c r="AH15732" s="10"/>
      <c r="AI15732" s="10"/>
    </row>
    <row r="15733" spans="28:35" ht="15" hidden="1" customHeight="1">
      <c r="AB15733" s="9"/>
      <c r="AC15733" s="9"/>
      <c r="AD15733" s="9"/>
      <c r="AF15733" s="10"/>
      <c r="AG15733" s="10"/>
      <c r="AH15733" s="10"/>
      <c r="AI15733" s="10"/>
    </row>
    <row r="15734" spans="28:35" ht="15" hidden="1" customHeight="1">
      <c r="AB15734" s="9"/>
      <c r="AC15734" s="9"/>
      <c r="AD15734" s="9"/>
      <c r="AF15734" s="10"/>
      <c r="AG15734" s="10"/>
      <c r="AH15734" s="10"/>
      <c r="AI15734" s="10"/>
    </row>
    <row r="15735" spans="28:35" ht="15" hidden="1" customHeight="1">
      <c r="AB15735" s="9"/>
      <c r="AC15735" s="9"/>
      <c r="AD15735" s="9"/>
      <c r="AF15735" s="10"/>
      <c r="AG15735" s="10"/>
      <c r="AH15735" s="10"/>
      <c r="AI15735" s="10"/>
    </row>
    <row r="15736" spans="28:35" ht="15" hidden="1" customHeight="1">
      <c r="AB15736" s="9"/>
      <c r="AC15736" s="9"/>
      <c r="AD15736" s="9"/>
      <c r="AF15736" s="10"/>
      <c r="AG15736" s="10"/>
      <c r="AH15736" s="10"/>
      <c r="AI15736" s="10"/>
    </row>
    <row r="15737" spans="28:35" ht="15" hidden="1" customHeight="1">
      <c r="AB15737" s="9"/>
      <c r="AC15737" s="9"/>
      <c r="AD15737" s="9"/>
      <c r="AF15737" s="10"/>
      <c r="AG15737" s="10"/>
      <c r="AH15737" s="10"/>
      <c r="AI15737" s="10"/>
    </row>
    <row r="15738" spans="28:35" ht="15" hidden="1" customHeight="1">
      <c r="AB15738" s="9"/>
      <c r="AC15738" s="9"/>
      <c r="AD15738" s="9"/>
      <c r="AF15738" s="10"/>
      <c r="AG15738" s="10"/>
      <c r="AH15738" s="10"/>
      <c r="AI15738" s="10"/>
    </row>
    <row r="15739" spans="28:35" ht="15" hidden="1" customHeight="1">
      <c r="AB15739" s="9"/>
      <c r="AC15739" s="9"/>
      <c r="AD15739" s="9"/>
      <c r="AF15739" s="10"/>
      <c r="AG15739" s="10"/>
      <c r="AH15739" s="10"/>
      <c r="AI15739" s="10"/>
    </row>
    <row r="15740" spans="28:35" ht="15" hidden="1" customHeight="1">
      <c r="AB15740" s="9"/>
      <c r="AC15740" s="9"/>
      <c r="AD15740" s="9"/>
      <c r="AF15740" s="10"/>
      <c r="AG15740" s="10"/>
      <c r="AH15740" s="10"/>
      <c r="AI15740" s="10"/>
    </row>
    <row r="15741" spans="28:35" ht="15" hidden="1" customHeight="1">
      <c r="AB15741" s="9"/>
      <c r="AC15741" s="9"/>
      <c r="AD15741" s="9"/>
      <c r="AF15741" s="10"/>
      <c r="AG15741" s="10"/>
      <c r="AH15741" s="10"/>
      <c r="AI15741" s="10"/>
    </row>
    <row r="15742" spans="28:35" ht="15" hidden="1" customHeight="1">
      <c r="AB15742" s="9"/>
      <c r="AC15742" s="9"/>
      <c r="AD15742" s="9"/>
      <c r="AF15742" s="10"/>
      <c r="AG15742" s="10"/>
      <c r="AH15742" s="10"/>
      <c r="AI15742" s="10"/>
    </row>
    <row r="15743" spans="28:35" ht="15" hidden="1" customHeight="1">
      <c r="AB15743" s="9"/>
      <c r="AC15743" s="9"/>
      <c r="AD15743" s="9"/>
      <c r="AF15743" s="10"/>
      <c r="AG15743" s="10"/>
      <c r="AH15743" s="10"/>
      <c r="AI15743" s="10"/>
    </row>
    <row r="15744" spans="28:35" ht="15" hidden="1" customHeight="1">
      <c r="AB15744" s="9"/>
      <c r="AC15744" s="9"/>
      <c r="AD15744" s="9"/>
      <c r="AF15744" s="10"/>
      <c r="AG15744" s="10"/>
      <c r="AH15744" s="10"/>
      <c r="AI15744" s="10"/>
    </row>
    <row r="15745" spans="28:35" ht="15" hidden="1" customHeight="1">
      <c r="AB15745" s="9"/>
      <c r="AC15745" s="9"/>
      <c r="AD15745" s="9"/>
      <c r="AF15745" s="10"/>
      <c r="AG15745" s="10"/>
      <c r="AH15745" s="10"/>
      <c r="AI15745" s="10"/>
    </row>
    <row r="15746" spans="28:35" ht="15" hidden="1" customHeight="1">
      <c r="AB15746" s="9"/>
      <c r="AC15746" s="9"/>
      <c r="AD15746" s="9"/>
      <c r="AF15746" s="10"/>
      <c r="AG15746" s="10"/>
      <c r="AH15746" s="10"/>
      <c r="AI15746" s="10"/>
    </row>
    <row r="15747" spans="28:35" ht="15" hidden="1" customHeight="1">
      <c r="AB15747" s="9"/>
      <c r="AC15747" s="9"/>
      <c r="AD15747" s="9"/>
      <c r="AF15747" s="10"/>
      <c r="AG15747" s="10"/>
      <c r="AH15747" s="10"/>
      <c r="AI15747" s="10"/>
    </row>
    <row r="15748" spans="28:35" ht="15" hidden="1" customHeight="1">
      <c r="AB15748" s="9"/>
      <c r="AC15748" s="9"/>
      <c r="AD15748" s="9"/>
      <c r="AF15748" s="10"/>
      <c r="AG15748" s="10"/>
      <c r="AH15748" s="10"/>
      <c r="AI15748" s="10"/>
    </row>
    <row r="15749" spans="28:35" ht="15" hidden="1" customHeight="1">
      <c r="AB15749" s="9"/>
      <c r="AC15749" s="9"/>
      <c r="AD15749" s="9"/>
      <c r="AF15749" s="10"/>
      <c r="AG15749" s="10"/>
      <c r="AH15749" s="10"/>
      <c r="AI15749" s="10"/>
    </row>
    <row r="15750" spans="28:35" ht="15" hidden="1" customHeight="1">
      <c r="AB15750" s="9"/>
      <c r="AC15750" s="9"/>
      <c r="AD15750" s="9"/>
      <c r="AF15750" s="10"/>
      <c r="AG15750" s="10"/>
      <c r="AH15750" s="10"/>
      <c r="AI15750" s="10"/>
    </row>
    <row r="15751" spans="28:35" ht="15" hidden="1" customHeight="1">
      <c r="AB15751" s="9"/>
      <c r="AC15751" s="9"/>
      <c r="AD15751" s="9"/>
      <c r="AF15751" s="10"/>
      <c r="AG15751" s="10"/>
      <c r="AH15751" s="10"/>
      <c r="AI15751" s="10"/>
    </row>
    <row r="15752" spans="28:35" ht="15" hidden="1" customHeight="1">
      <c r="AB15752" s="9"/>
      <c r="AC15752" s="9"/>
      <c r="AD15752" s="9"/>
      <c r="AF15752" s="10"/>
      <c r="AG15752" s="10"/>
      <c r="AH15752" s="10"/>
      <c r="AI15752" s="10"/>
    </row>
    <row r="15753" spans="28:35" ht="15" hidden="1" customHeight="1">
      <c r="AB15753" s="9"/>
      <c r="AC15753" s="9"/>
      <c r="AD15753" s="9"/>
      <c r="AF15753" s="10"/>
      <c r="AG15753" s="10"/>
      <c r="AH15753" s="10"/>
      <c r="AI15753" s="10"/>
    </row>
    <row r="15754" spans="28:35" ht="15" hidden="1" customHeight="1">
      <c r="AB15754" s="9"/>
      <c r="AC15754" s="9"/>
      <c r="AD15754" s="9"/>
      <c r="AF15754" s="10"/>
      <c r="AG15754" s="10"/>
      <c r="AH15754" s="10"/>
      <c r="AI15754" s="10"/>
    </row>
    <row r="15755" spans="28:35" ht="15" hidden="1" customHeight="1">
      <c r="AB15755" s="9"/>
      <c r="AC15755" s="9"/>
      <c r="AD15755" s="9"/>
      <c r="AF15755" s="10"/>
      <c r="AG15755" s="10"/>
      <c r="AH15755" s="10"/>
      <c r="AI15755" s="10"/>
    </row>
    <row r="15756" spans="28:35" ht="15" hidden="1" customHeight="1">
      <c r="AB15756" s="9"/>
      <c r="AC15756" s="9"/>
      <c r="AD15756" s="9"/>
      <c r="AF15756" s="10"/>
      <c r="AG15756" s="10"/>
      <c r="AH15756" s="10"/>
      <c r="AI15756" s="10"/>
    </row>
    <row r="15757" spans="28:35" ht="15" hidden="1" customHeight="1">
      <c r="AB15757" s="9"/>
      <c r="AC15757" s="9"/>
      <c r="AD15757" s="9"/>
      <c r="AF15757" s="10"/>
      <c r="AG15757" s="10"/>
      <c r="AH15757" s="10"/>
      <c r="AI15757" s="10"/>
    </row>
    <row r="15758" spans="28:35" ht="15" hidden="1" customHeight="1">
      <c r="AB15758" s="9"/>
      <c r="AC15758" s="9"/>
      <c r="AD15758" s="9"/>
      <c r="AF15758" s="10"/>
      <c r="AG15758" s="10"/>
      <c r="AH15758" s="10"/>
      <c r="AI15758" s="10"/>
    </row>
    <row r="15759" spans="28:35" ht="15" hidden="1" customHeight="1">
      <c r="AB15759" s="9"/>
      <c r="AC15759" s="9"/>
      <c r="AD15759" s="9"/>
      <c r="AF15759" s="10"/>
      <c r="AG15759" s="10"/>
      <c r="AH15759" s="10"/>
      <c r="AI15759" s="10"/>
    </row>
    <row r="15760" spans="28:35" ht="15" hidden="1" customHeight="1">
      <c r="AB15760" s="9"/>
      <c r="AC15760" s="9"/>
      <c r="AD15760" s="9"/>
      <c r="AF15760" s="10"/>
      <c r="AG15760" s="10"/>
      <c r="AH15760" s="10"/>
      <c r="AI15760" s="10"/>
    </row>
    <row r="15761" spans="28:35" ht="15" hidden="1" customHeight="1">
      <c r="AB15761" s="9"/>
      <c r="AC15761" s="9"/>
      <c r="AD15761" s="9"/>
      <c r="AF15761" s="10"/>
      <c r="AG15761" s="10"/>
      <c r="AH15761" s="10"/>
      <c r="AI15761" s="10"/>
    </row>
    <row r="15762" spans="28:35" ht="15" hidden="1" customHeight="1">
      <c r="AB15762" s="9"/>
      <c r="AC15762" s="9"/>
      <c r="AD15762" s="9"/>
      <c r="AF15762" s="10"/>
      <c r="AG15762" s="10"/>
      <c r="AH15762" s="10"/>
      <c r="AI15762" s="10"/>
    </row>
    <row r="15763" spans="28:35" ht="15" hidden="1" customHeight="1">
      <c r="AB15763" s="9"/>
      <c r="AC15763" s="9"/>
      <c r="AD15763" s="9"/>
      <c r="AF15763" s="10"/>
      <c r="AG15763" s="10"/>
      <c r="AH15763" s="10"/>
      <c r="AI15763" s="10"/>
    </row>
    <row r="15764" spans="28:35" ht="15" hidden="1" customHeight="1">
      <c r="AB15764" s="9"/>
      <c r="AC15764" s="9"/>
      <c r="AD15764" s="9"/>
      <c r="AF15764" s="10"/>
      <c r="AG15764" s="10"/>
      <c r="AH15764" s="10"/>
      <c r="AI15764" s="10"/>
    </row>
    <row r="15765" spans="28:35" ht="15" hidden="1" customHeight="1">
      <c r="AB15765" s="9"/>
      <c r="AC15765" s="9"/>
      <c r="AD15765" s="9"/>
      <c r="AF15765" s="10"/>
      <c r="AG15765" s="10"/>
      <c r="AH15765" s="10"/>
      <c r="AI15765" s="10"/>
    </row>
    <row r="15766" spans="28:35" ht="15" hidden="1" customHeight="1">
      <c r="AB15766" s="9"/>
      <c r="AC15766" s="9"/>
      <c r="AD15766" s="9"/>
      <c r="AF15766" s="10"/>
      <c r="AG15766" s="10"/>
      <c r="AH15766" s="10"/>
      <c r="AI15766" s="10"/>
    </row>
    <row r="15767" spans="28:35" ht="15" hidden="1" customHeight="1">
      <c r="AB15767" s="9"/>
      <c r="AC15767" s="9"/>
      <c r="AD15767" s="9"/>
      <c r="AF15767" s="10"/>
      <c r="AG15767" s="10"/>
      <c r="AH15767" s="10"/>
      <c r="AI15767" s="10"/>
    </row>
    <row r="15768" spans="28:35" ht="15" hidden="1" customHeight="1">
      <c r="AB15768" s="9"/>
      <c r="AC15768" s="9"/>
      <c r="AD15768" s="9"/>
      <c r="AF15768" s="10"/>
      <c r="AG15768" s="10"/>
      <c r="AH15768" s="10"/>
      <c r="AI15768" s="10"/>
    </row>
    <row r="15769" spans="28:35" ht="15" hidden="1" customHeight="1">
      <c r="AB15769" s="9"/>
      <c r="AC15769" s="9"/>
      <c r="AD15769" s="9"/>
      <c r="AF15769" s="10"/>
      <c r="AG15769" s="10"/>
      <c r="AH15769" s="10"/>
      <c r="AI15769" s="10"/>
    </row>
    <row r="15770" spans="28:35" ht="15" hidden="1" customHeight="1">
      <c r="AB15770" s="9"/>
      <c r="AC15770" s="9"/>
      <c r="AD15770" s="9"/>
      <c r="AF15770" s="10"/>
      <c r="AG15770" s="10"/>
      <c r="AH15770" s="10"/>
      <c r="AI15770" s="10"/>
    </row>
    <row r="15771" spans="28:35" ht="15" hidden="1" customHeight="1">
      <c r="AB15771" s="9"/>
      <c r="AC15771" s="9"/>
      <c r="AD15771" s="9"/>
      <c r="AF15771" s="10"/>
      <c r="AG15771" s="10"/>
      <c r="AH15771" s="10"/>
      <c r="AI15771" s="10"/>
    </row>
    <row r="15772" spans="28:35" ht="15" hidden="1" customHeight="1">
      <c r="AB15772" s="9"/>
      <c r="AC15772" s="9"/>
      <c r="AD15772" s="9"/>
      <c r="AF15772" s="10"/>
      <c r="AG15772" s="10"/>
      <c r="AH15772" s="10"/>
      <c r="AI15772" s="10"/>
    </row>
    <row r="15773" spans="28:35" ht="15" hidden="1" customHeight="1">
      <c r="AB15773" s="9"/>
      <c r="AC15773" s="9"/>
      <c r="AD15773" s="9"/>
      <c r="AF15773" s="10"/>
      <c r="AG15773" s="10"/>
      <c r="AH15773" s="10"/>
      <c r="AI15773" s="10"/>
    </row>
    <row r="15774" spans="28:35" ht="15" hidden="1" customHeight="1">
      <c r="AB15774" s="9"/>
      <c r="AC15774" s="9"/>
      <c r="AD15774" s="9"/>
      <c r="AF15774" s="10"/>
      <c r="AG15774" s="10"/>
      <c r="AH15774" s="10"/>
      <c r="AI15774" s="10"/>
    </row>
    <row r="15775" spans="28:35" ht="15" hidden="1" customHeight="1">
      <c r="AB15775" s="9"/>
      <c r="AC15775" s="9"/>
      <c r="AD15775" s="9"/>
      <c r="AF15775" s="10"/>
      <c r="AG15775" s="10"/>
      <c r="AH15775" s="10"/>
      <c r="AI15775" s="10"/>
    </row>
    <row r="15776" spans="28:35" ht="15" hidden="1" customHeight="1">
      <c r="AB15776" s="9"/>
      <c r="AC15776" s="9"/>
      <c r="AD15776" s="9"/>
      <c r="AF15776" s="10"/>
      <c r="AG15776" s="10"/>
      <c r="AH15776" s="10"/>
      <c r="AI15776" s="10"/>
    </row>
    <row r="15777" spans="28:35" ht="15" hidden="1" customHeight="1">
      <c r="AB15777" s="9"/>
      <c r="AC15777" s="9"/>
      <c r="AD15777" s="9"/>
      <c r="AF15777" s="10"/>
      <c r="AG15777" s="10"/>
      <c r="AH15777" s="10"/>
      <c r="AI15777" s="10"/>
    </row>
    <row r="15778" spans="28:35" ht="15" hidden="1" customHeight="1">
      <c r="AB15778" s="9"/>
      <c r="AC15778" s="9"/>
      <c r="AD15778" s="9"/>
      <c r="AF15778" s="10"/>
      <c r="AG15778" s="10"/>
      <c r="AH15778" s="10"/>
      <c r="AI15778" s="10"/>
    </row>
    <row r="15779" spans="28:35" ht="15" hidden="1" customHeight="1">
      <c r="AB15779" s="9"/>
      <c r="AC15779" s="9"/>
      <c r="AD15779" s="9"/>
      <c r="AF15779" s="10"/>
      <c r="AG15779" s="10"/>
      <c r="AH15779" s="10"/>
      <c r="AI15779" s="10"/>
    </row>
    <row r="15780" spans="28:35" ht="15" hidden="1" customHeight="1">
      <c r="AB15780" s="9"/>
      <c r="AC15780" s="9"/>
      <c r="AD15780" s="9"/>
      <c r="AF15780" s="10"/>
      <c r="AG15780" s="10"/>
      <c r="AH15780" s="10"/>
      <c r="AI15780" s="10"/>
    </row>
    <row r="15781" spans="28:35" ht="15" hidden="1" customHeight="1">
      <c r="AB15781" s="9"/>
      <c r="AC15781" s="9"/>
      <c r="AD15781" s="9"/>
      <c r="AF15781" s="10"/>
      <c r="AG15781" s="10"/>
      <c r="AH15781" s="10"/>
      <c r="AI15781" s="10"/>
    </row>
    <row r="15782" spans="28:35" ht="15" hidden="1" customHeight="1">
      <c r="AB15782" s="9"/>
      <c r="AC15782" s="9"/>
      <c r="AD15782" s="9"/>
      <c r="AF15782" s="10"/>
      <c r="AG15782" s="10"/>
      <c r="AH15782" s="10"/>
      <c r="AI15782" s="10"/>
    </row>
    <row r="15783" spans="28:35" ht="15" hidden="1" customHeight="1">
      <c r="AB15783" s="9"/>
      <c r="AC15783" s="9"/>
      <c r="AD15783" s="9"/>
      <c r="AF15783" s="10"/>
      <c r="AG15783" s="10"/>
      <c r="AH15783" s="10"/>
      <c r="AI15783" s="10"/>
    </row>
    <row r="15784" spans="28:35" ht="15" hidden="1" customHeight="1">
      <c r="AB15784" s="9"/>
      <c r="AC15784" s="9"/>
      <c r="AD15784" s="9"/>
      <c r="AF15784" s="10"/>
      <c r="AG15784" s="10"/>
      <c r="AH15784" s="10"/>
      <c r="AI15784" s="10"/>
    </row>
    <row r="15785" spans="28:35" ht="15" hidden="1" customHeight="1">
      <c r="AB15785" s="9"/>
      <c r="AC15785" s="9"/>
      <c r="AD15785" s="9"/>
      <c r="AF15785" s="10"/>
      <c r="AG15785" s="10"/>
      <c r="AH15785" s="10"/>
      <c r="AI15785" s="10"/>
    </row>
    <row r="15786" spans="28:35" ht="15" hidden="1" customHeight="1">
      <c r="AB15786" s="9"/>
      <c r="AC15786" s="9"/>
      <c r="AD15786" s="9"/>
      <c r="AF15786" s="10"/>
      <c r="AG15786" s="10"/>
      <c r="AH15786" s="10"/>
      <c r="AI15786" s="10"/>
    </row>
    <row r="15787" spans="28:35" ht="15" hidden="1" customHeight="1">
      <c r="AB15787" s="9"/>
      <c r="AC15787" s="9"/>
      <c r="AD15787" s="9"/>
      <c r="AF15787" s="10"/>
      <c r="AG15787" s="10"/>
      <c r="AH15787" s="10"/>
      <c r="AI15787" s="10"/>
    </row>
    <row r="15788" spans="28:35" ht="15" hidden="1" customHeight="1">
      <c r="AB15788" s="9"/>
      <c r="AC15788" s="9"/>
      <c r="AD15788" s="9"/>
      <c r="AF15788" s="10"/>
      <c r="AG15788" s="10"/>
      <c r="AH15788" s="10"/>
      <c r="AI15788" s="10"/>
    </row>
    <row r="15789" spans="28:35" ht="15" hidden="1" customHeight="1">
      <c r="AB15789" s="9"/>
      <c r="AC15789" s="9"/>
      <c r="AD15789" s="9"/>
      <c r="AF15789" s="10"/>
      <c r="AG15789" s="10"/>
      <c r="AH15789" s="10"/>
      <c r="AI15789" s="10"/>
    </row>
    <row r="15790" spans="28:35" ht="15" hidden="1" customHeight="1">
      <c r="AB15790" s="9"/>
      <c r="AC15790" s="9"/>
      <c r="AD15790" s="9"/>
      <c r="AF15790" s="10"/>
      <c r="AG15790" s="10"/>
      <c r="AH15790" s="10"/>
      <c r="AI15790" s="10"/>
    </row>
    <row r="15791" spans="28:35" ht="15" hidden="1" customHeight="1">
      <c r="AB15791" s="9"/>
      <c r="AC15791" s="9"/>
      <c r="AD15791" s="9"/>
      <c r="AF15791" s="10"/>
      <c r="AG15791" s="10"/>
      <c r="AH15791" s="10"/>
      <c r="AI15791" s="10"/>
    </row>
    <row r="15792" spans="28:35" ht="15" hidden="1" customHeight="1">
      <c r="AB15792" s="9"/>
      <c r="AC15792" s="9"/>
      <c r="AD15792" s="9"/>
      <c r="AF15792" s="10"/>
      <c r="AG15792" s="10"/>
      <c r="AH15792" s="10"/>
      <c r="AI15792" s="10"/>
    </row>
    <row r="15793" spans="28:35" ht="15" hidden="1" customHeight="1">
      <c r="AB15793" s="9"/>
      <c r="AC15793" s="9"/>
      <c r="AD15793" s="9"/>
      <c r="AF15793" s="10"/>
      <c r="AG15793" s="10"/>
      <c r="AH15793" s="10"/>
      <c r="AI15793" s="10"/>
    </row>
    <row r="15794" spans="28:35" ht="15" hidden="1" customHeight="1">
      <c r="AB15794" s="9"/>
      <c r="AC15794" s="9"/>
      <c r="AD15794" s="9"/>
      <c r="AF15794" s="10"/>
      <c r="AG15794" s="10"/>
      <c r="AH15794" s="10"/>
      <c r="AI15794" s="10"/>
    </row>
    <row r="15795" spans="28:35" ht="15" hidden="1" customHeight="1">
      <c r="AB15795" s="9"/>
      <c r="AC15795" s="9"/>
      <c r="AD15795" s="9"/>
      <c r="AF15795" s="10"/>
      <c r="AG15795" s="10"/>
      <c r="AH15795" s="10"/>
      <c r="AI15795" s="10"/>
    </row>
    <row r="15796" spans="28:35" ht="15" hidden="1" customHeight="1">
      <c r="AB15796" s="9"/>
      <c r="AC15796" s="9"/>
      <c r="AD15796" s="9"/>
      <c r="AF15796" s="10"/>
      <c r="AG15796" s="10"/>
      <c r="AH15796" s="10"/>
      <c r="AI15796" s="10"/>
    </row>
    <row r="15797" spans="28:35" ht="15" hidden="1" customHeight="1">
      <c r="AB15797" s="9"/>
      <c r="AC15797" s="9"/>
      <c r="AD15797" s="9"/>
      <c r="AF15797" s="10"/>
      <c r="AG15797" s="10"/>
      <c r="AH15797" s="10"/>
      <c r="AI15797" s="10"/>
    </row>
    <row r="15798" spans="28:35" ht="15" hidden="1" customHeight="1">
      <c r="AB15798" s="9"/>
      <c r="AC15798" s="9"/>
      <c r="AD15798" s="9"/>
      <c r="AF15798" s="10"/>
      <c r="AG15798" s="10"/>
      <c r="AH15798" s="10"/>
      <c r="AI15798" s="10"/>
    </row>
    <row r="15799" spans="28:35" ht="15" hidden="1" customHeight="1">
      <c r="AB15799" s="9"/>
      <c r="AC15799" s="9"/>
      <c r="AD15799" s="9"/>
      <c r="AF15799" s="10"/>
      <c r="AG15799" s="10"/>
      <c r="AH15799" s="10"/>
      <c r="AI15799" s="10"/>
    </row>
    <row r="15800" spans="28:35" ht="15" hidden="1" customHeight="1">
      <c r="AB15800" s="9"/>
      <c r="AC15800" s="9"/>
      <c r="AD15800" s="9"/>
      <c r="AF15800" s="10"/>
      <c r="AG15800" s="10"/>
      <c r="AH15800" s="10"/>
      <c r="AI15800" s="10"/>
    </row>
    <row r="15801" spans="28:35" ht="15" hidden="1" customHeight="1">
      <c r="AB15801" s="9"/>
      <c r="AC15801" s="9"/>
      <c r="AD15801" s="9"/>
      <c r="AF15801" s="10"/>
      <c r="AG15801" s="10"/>
      <c r="AH15801" s="10"/>
      <c r="AI15801" s="10"/>
    </row>
    <row r="15802" spans="28:35" ht="15" hidden="1" customHeight="1">
      <c r="AB15802" s="9"/>
      <c r="AC15802" s="9"/>
      <c r="AD15802" s="9"/>
      <c r="AF15802" s="10"/>
      <c r="AG15802" s="10"/>
      <c r="AH15802" s="10"/>
      <c r="AI15802" s="10"/>
    </row>
    <row r="15803" spans="28:35" ht="15" hidden="1" customHeight="1">
      <c r="AB15803" s="9"/>
      <c r="AC15803" s="9"/>
      <c r="AD15803" s="9"/>
      <c r="AF15803" s="10"/>
      <c r="AG15803" s="10"/>
      <c r="AH15803" s="10"/>
      <c r="AI15803" s="10"/>
    </row>
    <row r="15804" spans="28:35" ht="15" hidden="1" customHeight="1">
      <c r="AB15804" s="9"/>
      <c r="AC15804" s="9"/>
      <c r="AD15804" s="9"/>
      <c r="AF15804" s="10"/>
      <c r="AG15804" s="10"/>
      <c r="AH15804" s="10"/>
      <c r="AI15804" s="10"/>
    </row>
    <row r="15805" spans="28:35" ht="15" hidden="1" customHeight="1">
      <c r="AB15805" s="9"/>
      <c r="AC15805" s="9"/>
      <c r="AD15805" s="9"/>
      <c r="AF15805" s="10"/>
      <c r="AG15805" s="10"/>
      <c r="AH15805" s="10"/>
      <c r="AI15805" s="10"/>
    </row>
    <row r="15806" spans="28:35" ht="15" hidden="1" customHeight="1">
      <c r="AB15806" s="9"/>
      <c r="AC15806" s="9"/>
      <c r="AD15806" s="9"/>
      <c r="AF15806" s="10"/>
      <c r="AG15806" s="10"/>
      <c r="AH15806" s="10"/>
      <c r="AI15806" s="10"/>
    </row>
    <row r="15807" spans="28:35" ht="15" hidden="1" customHeight="1">
      <c r="AB15807" s="9"/>
      <c r="AC15807" s="9"/>
      <c r="AD15807" s="9"/>
      <c r="AF15807" s="10"/>
      <c r="AG15807" s="10"/>
      <c r="AH15807" s="10"/>
      <c r="AI15807" s="10"/>
    </row>
    <row r="15808" spans="28:35" ht="15" hidden="1" customHeight="1">
      <c r="AB15808" s="9"/>
      <c r="AC15808" s="9"/>
      <c r="AD15808" s="9"/>
      <c r="AF15808" s="10"/>
      <c r="AG15808" s="10"/>
      <c r="AH15808" s="10"/>
      <c r="AI15808" s="10"/>
    </row>
    <row r="15809" spans="28:35" ht="15" hidden="1" customHeight="1">
      <c r="AB15809" s="9"/>
      <c r="AC15809" s="9"/>
      <c r="AD15809" s="9"/>
      <c r="AF15809" s="10"/>
      <c r="AG15809" s="10"/>
      <c r="AH15809" s="10"/>
      <c r="AI15809" s="10"/>
    </row>
    <row r="15810" spans="28:35" ht="15" hidden="1" customHeight="1">
      <c r="AB15810" s="9"/>
      <c r="AC15810" s="9"/>
      <c r="AD15810" s="9"/>
      <c r="AF15810" s="10"/>
      <c r="AG15810" s="10"/>
      <c r="AH15810" s="10"/>
      <c r="AI15810" s="10"/>
    </row>
    <row r="15811" spans="28:35" ht="15" hidden="1" customHeight="1">
      <c r="AB15811" s="9"/>
      <c r="AC15811" s="9"/>
      <c r="AD15811" s="9"/>
      <c r="AF15811" s="10"/>
      <c r="AG15811" s="10"/>
      <c r="AH15811" s="10"/>
      <c r="AI15811" s="10"/>
    </row>
    <row r="15812" spans="28:35" ht="15" hidden="1" customHeight="1">
      <c r="AB15812" s="9"/>
      <c r="AC15812" s="9"/>
      <c r="AD15812" s="9"/>
      <c r="AF15812" s="10"/>
      <c r="AG15812" s="10"/>
      <c r="AH15812" s="10"/>
      <c r="AI15812" s="10"/>
    </row>
    <row r="15813" spans="28:35" ht="15" hidden="1" customHeight="1">
      <c r="AB15813" s="9"/>
      <c r="AC15813" s="9"/>
      <c r="AD15813" s="9"/>
      <c r="AF15813" s="10"/>
      <c r="AG15813" s="10"/>
      <c r="AH15813" s="10"/>
      <c r="AI15813" s="10"/>
    </row>
    <row r="15814" spans="28:35" ht="15" hidden="1" customHeight="1">
      <c r="AB15814" s="9"/>
      <c r="AC15814" s="9"/>
      <c r="AD15814" s="9"/>
      <c r="AF15814" s="10"/>
      <c r="AG15814" s="10"/>
      <c r="AH15814" s="10"/>
      <c r="AI15814" s="10"/>
    </row>
    <row r="15815" spans="28:35" ht="15" hidden="1" customHeight="1">
      <c r="AB15815" s="9"/>
      <c r="AC15815" s="9"/>
      <c r="AD15815" s="9"/>
      <c r="AF15815" s="10"/>
      <c r="AG15815" s="10"/>
      <c r="AH15815" s="10"/>
      <c r="AI15815" s="10"/>
    </row>
    <row r="15816" spans="28:35" ht="15" hidden="1" customHeight="1">
      <c r="AB15816" s="9"/>
      <c r="AC15816" s="9"/>
      <c r="AD15816" s="9"/>
      <c r="AF15816" s="10"/>
      <c r="AG15816" s="10"/>
      <c r="AH15816" s="10"/>
      <c r="AI15816" s="10"/>
    </row>
    <row r="15817" spans="28:35" ht="15" hidden="1" customHeight="1">
      <c r="AB15817" s="9"/>
      <c r="AC15817" s="9"/>
      <c r="AD15817" s="9"/>
      <c r="AF15817" s="10"/>
      <c r="AG15817" s="10"/>
      <c r="AH15817" s="10"/>
      <c r="AI15817" s="10"/>
    </row>
    <row r="15818" spans="28:35" ht="15" hidden="1" customHeight="1">
      <c r="AB15818" s="9"/>
      <c r="AC15818" s="9"/>
      <c r="AD15818" s="9"/>
      <c r="AF15818" s="10"/>
      <c r="AG15818" s="10"/>
      <c r="AH15818" s="10"/>
      <c r="AI15818" s="10"/>
    </row>
    <row r="15819" spans="28:35" ht="15" hidden="1" customHeight="1">
      <c r="AB15819" s="9"/>
      <c r="AC15819" s="9"/>
      <c r="AD15819" s="9"/>
      <c r="AF15819" s="10"/>
      <c r="AG15819" s="10"/>
      <c r="AH15819" s="10"/>
      <c r="AI15819" s="10"/>
    </row>
    <row r="15820" spans="28:35" ht="15" hidden="1" customHeight="1">
      <c r="AB15820" s="9"/>
      <c r="AC15820" s="9"/>
      <c r="AD15820" s="9"/>
      <c r="AF15820" s="10"/>
      <c r="AG15820" s="10"/>
      <c r="AH15820" s="10"/>
      <c r="AI15820" s="10"/>
    </row>
    <row r="15821" spans="28:35" ht="15" hidden="1" customHeight="1">
      <c r="AB15821" s="9"/>
      <c r="AC15821" s="9"/>
      <c r="AD15821" s="9"/>
      <c r="AF15821" s="10"/>
      <c r="AG15821" s="10"/>
      <c r="AH15821" s="10"/>
      <c r="AI15821" s="10"/>
    </row>
    <row r="15822" spans="28:35" ht="15" hidden="1" customHeight="1">
      <c r="AB15822" s="9"/>
      <c r="AC15822" s="9"/>
      <c r="AD15822" s="9"/>
      <c r="AF15822" s="10"/>
      <c r="AG15822" s="10"/>
      <c r="AH15822" s="10"/>
      <c r="AI15822" s="10"/>
    </row>
    <row r="15823" spans="28:35" ht="15" hidden="1" customHeight="1">
      <c r="AB15823" s="9"/>
      <c r="AC15823" s="9"/>
      <c r="AD15823" s="9"/>
      <c r="AF15823" s="10"/>
      <c r="AG15823" s="10"/>
      <c r="AH15823" s="10"/>
      <c r="AI15823" s="10"/>
    </row>
    <row r="15824" spans="28:35" ht="15" hidden="1" customHeight="1">
      <c r="AB15824" s="9"/>
      <c r="AC15824" s="9"/>
      <c r="AD15824" s="9"/>
      <c r="AF15824" s="10"/>
      <c r="AG15824" s="10"/>
      <c r="AH15824" s="10"/>
      <c r="AI15824" s="10"/>
    </row>
    <row r="15825" spans="28:35" ht="15" hidden="1" customHeight="1">
      <c r="AB15825" s="9"/>
      <c r="AC15825" s="9"/>
      <c r="AD15825" s="9"/>
      <c r="AF15825" s="10"/>
      <c r="AG15825" s="10"/>
      <c r="AH15825" s="10"/>
      <c r="AI15825" s="10"/>
    </row>
    <row r="15826" spans="28:35" ht="15" hidden="1" customHeight="1">
      <c r="AB15826" s="9"/>
      <c r="AC15826" s="9"/>
      <c r="AD15826" s="9"/>
      <c r="AF15826" s="10"/>
      <c r="AG15826" s="10"/>
      <c r="AH15826" s="10"/>
      <c r="AI15826" s="10"/>
    </row>
    <row r="15827" spans="28:35" ht="15" hidden="1" customHeight="1">
      <c r="AB15827" s="9"/>
      <c r="AC15827" s="9"/>
      <c r="AD15827" s="9"/>
      <c r="AF15827" s="10"/>
      <c r="AG15827" s="10"/>
      <c r="AH15827" s="10"/>
      <c r="AI15827" s="10"/>
    </row>
    <row r="15828" spans="28:35" ht="15" hidden="1" customHeight="1">
      <c r="AB15828" s="9"/>
      <c r="AC15828" s="9"/>
      <c r="AD15828" s="9"/>
      <c r="AF15828" s="10"/>
      <c r="AG15828" s="10"/>
      <c r="AH15828" s="10"/>
      <c r="AI15828" s="10"/>
    </row>
    <row r="15829" spans="28:35" ht="15" hidden="1" customHeight="1">
      <c r="AB15829" s="9"/>
      <c r="AC15829" s="9"/>
      <c r="AD15829" s="9"/>
      <c r="AF15829" s="10"/>
      <c r="AG15829" s="10"/>
      <c r="AH15829" s="10"/>
      <c r="AI15829" s="10"/>
    </row>
    <row r="15830" spans="28:35" ht="15" hidden="1" customHeight="1">
      <c r="AB15830" s="9"/>
      <c r="AC15830" s="9"/>
      <c r="AD15830" s="9"/>
      <c r="AF15830" s="10"/>
      <c r="AG15830" s="10"/>
      <c r="AH15830" s="10"/>
      <c r="AI15830" s="10"/>
    </row>
    <row r="15831" spans="28:35" ht="15" hidden="1" customHeight="1">
      <c r="AB15831" s="9"/>
      <c r="AC15831" s="9"/>
      <c r="AD15831" s="9"/>
      <c r="AF15831" s="10"/>
      <c r="AG15831" s="10"/>
      <c r="AH15831" s="10"/>
      <c r="AI15831" s="10"/>
    </row>
    <row r="15832" spans="28:35" ht="15" hidden="1" customHeight="1">
      <c r="AB15832" s="9"/>
      <c r="AC15832" s="9"/>
      <c r="AD15832" s="9"/>
      <c r="AF15832" s="10"/>
      <c r="AG15832" s="10"/>
      <c r="AH15832" s="10"/>
      <c r="AI15832" s="10"/>
    </row>
    <row r="15833" spans="28:35" ht="15" hidden="1" customHeight="1">
      <c r="AB15833" s="9"/>
      <c r="AC15833" s="9"/>
      <c r="AD15833" s="9"/>
      <c r="AF15833" s="10"/>
      <c r="AG15833" s="10"/>
      <c r="AH15833" s="10"/>
      <c r="AI15833" s="10"/>
    </row>
    <row r="15834" spans="28:35" ht="15" hidden="1" customHeight="1">
      <c r="AB15834" s="9"/>
      <c r="AC15834" s="9"/>
      <c r="AD15834" s="9"/>
      <c r="AF15834" s="10"/>
      <c r="AG15834" s="10"/>
      <c r="AH15834" s="10"/>
      <c r="AI15834" s="10"/>
    </row>
    <row r="15835" spans="28:35" ht="15" hidden="1" customHeight="1">
      <c r="AB15835" s="9"/>
      <c r="AC15835" s="9"/>
      <c r="AD15835" s="9"/>
      <c r="AF15835" s="10"/>
      <c r="AG15835" s="10"/>
      <c r="AH15835" s="10"/>
      <c r="AI15835" s="10"/>
    </row>
    <row r="15836" spans="28:35" ht="15" hidden="1" customHeight="1">
      <c r="AB15836" s="9"/>
      <c r="AC15836" s="9"/>
      <c r="AD15836" s="9"/>
      <c r="AF15836" s="10"/>
      <c r="AG15836" s="10"/>
      <c r="AH15836" s="10"/>
      <c r="AI15836" s="10"/>
    </row>
    <row r="15837" spans="28:35" ht="15" hidden="1" customHeight="1">
      <c r="AB15837" s="9"/>
      <c r="AC15837" s="9"/>
      <c r="AD15837" s="9"/>
      <c r="AF15837" s="10"/>
      <c r="AG15837" s="10"/>
      <c r="AH15837" s="10"/>
      <c r="AI15837" s="10"/>
    </row>
    <row r="15838" spans="28:35" ht="15" hidden="1" customHeight="1">
      <c r="AB15838" s="9"/>
      <c r="AC15838" s="9"/>
      <c r="AD15838" s="9"/>
      <c r="AF15838" s="10"/>
      <c r="AG15838" s="10"/>
      <c r="AH15838" s="10"/>
      <c r="AI15838" s="10"/>
    </row>
    <row r="15839" spans="28:35" ht="15" hidden="1" customHeight="1">
      <c r="AB15839" s="9"/>
      <c r="AC15839" s="9"/>
      <c r="AD15839" s="9"/>
      <c r="AF15839" s="10"/>
      <c r="AG15839" s="10"/>
      <c r="AH15839" s="10"/>
      <c r="AI15839" s="10"/>
    </row>
    <row r="15840" spans="28:35" ht="15" hidden="1" customHeight="1">
      <c r="AB15840" s="9"/>
      <c r="AC15840" s="9"/>
      <c r="AD15840" s="9"/>
      <c r="AF15840" s="10"/>
      <c r="AG15840" s="10"/>
      <c r="AH15840" s="10"/>
      <c r="AI15840" s="10"/>
    </row>
    <row r="15841" spans="28:35" ht="15" hidden="1" customHeight="1">
      <c r="AB15841" s="9"/>
      <c r="AC15841" s="9"/>
      <c r="AD15841" s="9"/>
      <c r="AF15841" s="10"/>
      <c r="AG15841" s="10"/>
      <c r="AH15841" s="10"/>
      <c r="AI15841" s="10"/>
    </row>
    <row r="15842" spans="28:35" ht="15" hidden="1" customHeight="1">
      <c r="AB15842" s="9"/>
      <c r="AC15842" s="9"/>
      <c r="AD15842" s="9"/>
      <c r="AF15842" s="10"/>
      <c r="AG15842" s="10"/>
      <c r="AH15842" s="10"/>
      <c r="AI15842" s="10"/>
    </row>
    <row r="15843" spans="28:35" ht="15" hidden="1" customHeight="1">
      <c r="AB15843" s="9"/>
      <c r="AC15843" s="9"/>
      <c r="AD15843" s="9"/>
      <c r="AF15843" s="10"/>
      <c r="AG15843" s="10"/>
      <c r="AH15843" s="10"/>
      <c r="AI15843" s="10"/>
    </row>
    <row r="15844" spans="28:35" ht="15" hidden="1" customHeight="1">
      <c r="AB15844" s="9"/>
      <c r="AC15844" s="9"/>
      <c r="AD15844" s="9"/>
      <c r="AF15844" s="10"/>
      <c r="AG15844" s="10"/>
      <c r="AH15844" s="10"/>
      <c r="AI15844" s="10"/>
    </row>
    <row r="15845" spans="28:35" ht="15" hidden="1" customHeight="1">
      <c r="AB15845" s="9"/>
      <c r="AC15845" s="9"/>
      <c r="AD15845" s="9"/>
      <c r="AF15845" s="10"/>
      <c r="AG15845" s="10"/>
      <c r="AH15845" s="10"/>
      <c r="AI15845" s="10"/>
    </row>
    <row r="15846" spans="28:35" ht="15" hidden="1" customHeight="1">
      <c r="AB15846" s="9"/>
      <c r="AC15846" s="9"/>
      <c r="AD15846" s="9"/>
      <c r="AF15846" s="10"/>
      <c r="AG15846" s="10"/>
      <c r="AH15846" s="10"/>
      <c r="AI15846" s="10"/>
    </row>
    <row r="15847" spans="28:35" ht="15" hidden="1" customHeight="1">
      <c r="AB15847" s="9"/>
      <c r="AC15847" s="9"/>
      <c r="AD15847" s="9"/>
      <c r="AF15847" s="10"/>
      <c r="AG15847" s="10"/>
      <c r="AH15847" s="10"/>
      <c r="AI15847" s="10"/>
    </row>
    <row r="15848" spans="28:35" ht="15" hidden="1" customHeight="1">
      <c r="AB15848" s="9"/>
      <c r="AC15848" s="9"/>
      <c r="AD15848" s="9"/>
      <c r="AF15848" s="10"/>
      <c r="AG15848" s="10"/>
      <c r="AH15848" s="10"/>
      <c r="AI15848" s="10"/>
    </row>
    <row r="15849" spans="28:35" ht="15" hidden="1" customHeight="1">
      <c r="AB15849" s="9"/>
      <c r="AC15849" s="9"/>
      <c r="AD15849" s="9"/>
      <c r="AF15849" s="10"/>
      <c r="AG15849" s="10"/>
      <c r="AH15849" s="10"/>
      <c r="AI15849" s="10"/>
    </row>
    <row r="15850" spans="28:35" ht="15" hidden="1" customHeight="1">
      <c r="AB15850" s="9"/>
      <c r="AC15850" s="9"/>
      <c r="AD15850" s="9"/>
      <c r="AF15850" s="10"/>
      <c r="AG15850" s="10"/>
      <c r="AH15850" s="10"/>
      <c r="AI15850" s="10"/>
    </row>
    <row r="15851" spans="28:35" ht="15" hidden="1" customHeight="1">
      <c r="AB15851" s="9"/>
      <c r="AC15851" s="9"/>
      <c r="AD15851" s="9"/>
      <c r="AF15851" s="10"/>
      <c r="AG15851" s="10"/>
      <c r="AH15851" s="10"/>
      <c r="AI15851" s="10"/>
    </row>
    <row r="15852" spans="28:35" ht="15" hidden="1" customHeight="1">
      <c r="AB15852" s="9"/>
      <c r="AC15852" s="9"/>
      <c r="AD15852" s="9"/>
      <c r="AF15852" s="10"/>
      <c r="AG15852" s="10"/>
      <c r="AH15852" s="10"/>
      <c r="AI15852" s="10"/>
    </row>
    <row r="15853" spans="28:35" ht="15" hidden="1" customHeight="1">
      <c r="AB15853" s="9"/>
      <c r="AC15853" s="9"/>
      <c r="AD15853" s="9"/>
      <c r="AF15853" s="10"/>
      <c r="AG15853" s="10"/>
      <c r="AH15853" s="10"/>
      <c r="AI15853" s="10"/>
    </row>
    <row r="15854" spans="28:35" ht="15" hidden="1" customHeight="1">
      <c r="AB15854" s="9"/>
      <c r="AC15854" s="9"/>
      <c r="AD15854" s="9"/>
      <c r="AF15854" s="10"/>
      <c r="AG15854" s="10"/>
      <c r="AH15854" s="10"/>
      <c r="AI15854" s="10"/>
    </row>
    <row r="15855" spans="28:35" ht="15" hidden="1" customHeight="1">
      <c r="AB15855" s="9"/>
      <c r="AC15855" s="9"/>
      <c r="AD15855" s="9"/>
      <c r="AF15855" s="10"/>
      <c r="AG15855" s="10"/>
      <c r="AH15855" s="10"/>
      <c r="AI15855" s="10"/>
    </row>
    <row r="15856" spans="28:35" ht="15" hidden="1" customHeight="1">
      <c r="AB15856" s="9"/>
      <c r="AC15856" s="9"/>
      <c r="AD15856" s="9"/>
      <c r="AF15856" s="10"/>
      <c r="AG15856" s="10"/>
      <c r="AH15856" s="10"/>
      <c r="AI15856" s="10"/>
    </row>
    <row r="15857" spans="28:35" ht="15" hidden="1" customHeight="1">
      <c r="AB15857" s="9"/>
      <c r="AC15857" s="9"/>
      <c r="AD15857" s="9"/>
      <c r="AF15857" s="10"/>
      <c r="AG15857" s="10"/>
      <c r="AH15857" s="10"/>
      <c r="AI15857" s="10"/>
    </row>
    <row r="15858" spans="28:35" ht="15" hidden="1" customHeight="1">
      <c r="AB15858" s="9"/>
      <c r="AC15858" s="9"/>
      <c r="AD15858" s="9"/>
      <c r="AF15858" s="10"/>
      <c r="AG15858" s="10"/>
      <c r="AH15858" s="10"/>
      <c r="AI15858" s="10"/>
    </row>
    <row r="15859" spans="28:35" ht="15" hidden="1" customHeight="1">
      <c r="AB15859" s="9"/>
      <c r="AC15859" s="9"/>
      <c r="AD15859" s="9"/>
      <c r="AF15859" s="10"/>
      <c r="AG15859" s="10"/>
      <c r="AH15859" s="10"/>
      <c r="AI15859" s="10"/>
    </row>
    <row r="15860" spans="28:35" ht="15" hidden="1" customHeight="1">
      <c r="AB15860" s="9"/>
      <c r="AC15860" s="9"/>
      <c r="AD15860" s="9"/>
      <c r="AF15860" s="10"/>
      <c r="AG15860" s="10"/>
      <c r="AH15860" s="10"/>
      <c r="AI15860" s="10"/>
    </row>
    <row r="15861" spans="28:35" ht="15" hidden="1" customHeight="1">
      <c r="AB15861" s="9"/>
      <c r="AC15861" s="9"/>
      <c r="AD15861" s="9"/>
      <c r="AF15861" s="10"/>
      <c r="AG15861" s="10"/>
      <c r="AH15861" s="10"/>
      <c r="AI15861" s="10"/>
    </row>
    <row r="15862" spans="28:35" ht="15" hidden="1" customHeight="1">
      <c r="AB15862" s="9"/>
      <c r="AC15862" s="9"/>
      <c r="AD15862" s="9"/>
      <c r="AF15862" s="10"/>
      <c r="AG15862" s="10"/>
      <c r="AH15862" s="10"/>
      <c r="AI15862" s="10"/>
    </row>
    <row r="15863" spans="28:35" ht="15" hidden="1" customHeight="1">
      <c r="AB15863" s="9"/>
      <c r="AC15863" s="9"/>
      <c r="AD15863" s="9"/>
      <c r="AF15863" s="10"/>
      <c r="AG15863" s="10"/>
      <c r="AH15863" s="10"/>
      <c r="AI15863" s="10"/>
    </row>
    <row r="15864" spans="28:35" ht="15" hidden="1" customHeight="1">
      <c r="AB15864" s="9"/>
      <c r="AC15864" s="9"/>
      <c r="AD15864" s="9"/>
      <c r="AF15864" s="10"/>
      <c r="AG15864" s="10"/>
      <c r="AH15864" s="10"/>
      <c r="AI15864" s="10"/>
    </row>
    <row r="15865" spans="28:35" ht="15" hidden="1" customHeight="1">
      <c r="AB15865" s="9"/>
      <c r="AC15865" s="9"/>
      <c r="AD15865" s="9"/>
      <c r="AF15865" s="10"/>
      <c r="AG15865" s="10"/>
      <c r="AH15865" s="10"/>
      <c r="AI15865" s="10"/>
    </row>
    <row r="15866" spans="28:35" ht="15" hidden="1" customHeight="1">
      <c r="AB15866" s="9"/>
      <c r="AC15866" s="9"/>
      <c r="AD15866" s="9"/>
      <c r="AF15866" s="10"/>
      <c r="AG15866" s="10"/>
      <c r="AH15866" s="10"/>
      <c r="AI15866" s="10"/>
    </row>
    <row r="15867" spans="28:35" ht="15" hidden="1" customHeight="1">
      <c r="AB15867" s="9"/>
      <c r="AC15867" s="9"/>
      <c r="AD15867" s="9"/>
      <c r="AF15867" s="10"/>
      <c r="AG15867" s="10"/>
      <c r="AH15867" s="10"/>
      <c r="AI15867" s="10"/>
    </row>
    <row r="15868" spans="28:35" ht="15" hidden="1" customHeight="1">
      <c r="AB15868" s="9"/>
      <c r="AC15868" s="9"/>
      <c r="AD15868" s="9"/>
      <c r="AF15868" s="10"/>
      <c r="AG15868" s="10"/>
      <c r="AH15868" s="10"/>
      <c r="AI15868" s="10"/>
    </row>
    <row r="15869" spans="28:35" ht="15" hidden="1" customHeight="1">
      <c r="AB15869" s="9"/>
      <c r="AC15869" s="9"/>
      <c r="AD15869" s="9"/>
      <c r="AF15869" s="10"/>
      <c r="AG15869" s="10"/>
      <c r="AH15869" s="10"/>
      <c r="AI15869" s="10"/>
    </row>
    <row r="15870" spans="28:35" ht="15" hidden="1" customHeight="1">
      <c r="AB15870" s="9"/>
      <c r="AC15870" s="9"/>
      <c r="AD15870" s="9"/>
      <c r="AF15870" s="10"/>
      <c r="AG15870" s="10"/>
      <c r="AH15870" s="10"/>
      <c r="AI15870" s="10"/>
    </row>
    <row r="15871" spans="28:35" ht="15" hidden="1" customHeight="1">
      <c r="AB15871" s="9"/>
      <c r="AC15871" s="9"/>
      <c r="AD15871" s="9"/>
      <c r="AF15871" s="10"/>
      <c r="AG15871" s="10"/>
      <c r="AH15871" s="10"/>
      <c r="AI15871" s="10"/>
    </row>
    <row r="15872" spans="28:35" ht="15" hidden="1" customHeight="1">
      <c r="AB15872" s="9"/>
      <c r="AC15872" s="9"/>
      <c r="AD15872" s="9"/>
      <c r="AF15872" s="10"/>
      <c r="AG15872" s="10"/>
      <c r="AH15872" s="10"/>
      <c r="AI15872" s="10"/>
    </row>
    <row r="15873" spans="28:35" ht="15" hidden="1" customHeight="1">
      <c r="AB15873" s="9"/>
      <c r="AC15873" s="9"/>
      <c r="AD15873" s="9"/>
      <c r="AF15873" s="10"/>
      <c r="AG15873" s="10"/>
      <c r="AH15873" s="10"/>
      <c r="AI15873" s="10"/>
    </row>
    <row r="15874" spans="28:35" ht="15" hidden="1" customHeight="1">
      <c r="AB15874" s="9"/>
      <c r="AC15874" s="9"/>
      <c r="AD15874" s="9"/>
      <c r="AF15874" s="10"/>
      <c r="AG15874" s="10"/>
      <c r="AH15874" s="10"/>
      <c r="AI15874" s="10"/>
    </row>
    <row r="15875" spans="28:35" ht="15" hidden="1" customHeight="1">
      <c r="AB15875" s="9"/>
      <c r="AC15875" s="9"/>
      <c r="AD15875" s="9"/>
      <c r="AF15875" s="10"/>
      <c r="AG15875" s="10"/>
      <c r="AH15875" s="10"/>
      <c r="AI15875" s="10"/>
    </row>
    <row r="15876" spans="28:35" ht="15" hidden="1" customHeight="1">
      <c r="AB15876" s="9"/>
      <c r="AC15876" s="9"/>
      <c r="AD15876" s="9"/>
      <c r="AF15876" s="10"/>
      <c r="AG15876" s="10"/>
      <c r="AH15876" s="10"/>
      <c r="AI15876" s="10"/>
    </row>
    <row r="15877" spans="28:35" ht="15" hidden="1" customHeight="1">
      <c r="AB15877" s="9"/>
      <c r="AC15877" s="9"/>
      <c r="AD15877" s="9"/>
      <c r="AF15877" s="10"/>
      <c r="AG15877" s="10"/>
      <c r="AH15877" s="10"/>
      <c r="AI15877" s="10"/>
    </row>
    <row r="15878" spans="28:35" ht="15" hidden="1" customHeight="1">
      <c r="AB15878" s="9"/>
      <c r="AC15878" s="9"/>
      <c r="AD15878" s="9"/>
      <c r="AF15878" s="10"/>
      <c r="AG15878" s="10"/>
      <c r="AH15878" s="10"/>
      <c r="AI15878" s="10"/>
    </row>
    <row r="15879" spans="28:35" ht="15" hidden="1" customHeight="1">
      <c r="AB15879" s="9"/>
      <c r="AC15879" s="9"/>
      <c r="AD15879" s="9"/>
      <c r="AF15879" s="10"/>
      <c r="AG15879" s="10"/>
      <c r="AH15879" s="10"/>
      <c r="AI15879" s="10"/>
    </row>
    <row r="15880" spans="28:35" ht="15" hidden="1" customHeight="1">
      <c r="AB15880" s="9"/>
      <c r="AC15880" s="9"/>
      <c r="AD15880" s="9"/>
      <c r="AF15880" s="10"/>
      <c r="AG15880" s="10"/>
      <c r="AH15880" s="10"/>
      <c r="AI15880" s="10"/>
    </row>
    <row r="15881" spans="28:35" ht="15" hidden="1" customHeight="1">
      <c r="AB15881" s="9"/>
      <c r="AC15881" s="9"/>
      <c r="AD15881" s="9"/>
      <c r="AF15881" s="10"/>
      <c r="AG15881" s="10"/>
      <c r="AH15881" s="10"/>
      <c r="AI15881" s="10"/>
    </row>
    <row r="15882" spans="28:35" ht="15" hidden="1" customHeight="1">
      <c r="AB15882" s="9"/>
      <c r="AC15882" s="9"/>
      <c r="AD15882" s="9"/>
      <c r="AF15882" s="10"/>
      <c r="AG15882" s="10"/>
      <c r="AH15882" s="10"/>
      <c r="AI15882" s="10"/>
    </row>
    <row r="15883" spans="28:35" ht="15" hidden="1" customHeight="1">
      <c r="AB15883" s="9"/>
      <c r="AC15883" s="9"/>
      <c r="AD15883" s="9"/>
      <c r="AF15883" s="10"/>
      <c r="AG15883" s="10"/>
      <c r="AH15883" s="10"/>
      <c r="AI15883" s="10"/>
    </row>
    <row r="15884" spans="28:35" ht="15" hidden="1" customHeight="1">
      <c r="AB15884" s="9"/>
      <c r="AC15884" s="9"/>
      <c r="AD15884" s="9"/>
      <c r="AF15884" s="10"/>
      <c r="AG15884" s="10"/>
      <c r="AH15884" s="10"/>
      <c r="AI15884" s="10"/>
    </row>
    <row r="15885" spans="28:35" ht="15" hidden="1" customHeight="1">
      <c r="AB15885" s="9"/>
      <c r="AC15885" s="9"/>
      <c r="AD15885" s="9"/>
      <c r="AF15885" s="10"/>
      <c r="AG15885" s="10"/>
      <c r="AH15885" s="10"/>
      <c r="AI15885" s="10"/>
    </row>
    <row r="15886" spans="28:35" ht="15" hidden="1" customHeight="1">
      <c r="AB15886" s="9"/>
      <c r="AC15886" s="9"/>
      <c r="AD15886" s="9"/>
      <c r="AF15886" s="10"/>
      <c r="AG15886" s="10"/>
      <c r="AH15886" s="10"/>
      <c r="AI15886" s="10"/>
    </row>
    <row r="15887" spans="28:35" ht="15" hidden="1" customHeight="1">
      <c r="AB15887" s="9"/>
      <c r="AC15887" s="9"/>
      <c r="AD15887" s="9"/>
      <c r="AF15887" s="10"/>
      <c r="AG15887" s="10"/>
      <c r="AH15887" s="10"/>
      <c r="AI15887" s="10"/>
    </row>
    <row r="15888" spans="28:35" ht="15" hidden="1" customHeight="1">
      <c r="AB15888" s="9"/>
      <c r="AC15888" s="9"/>
      <c r="AD15888" s="9"/>
      <c r="AF15888" s="10"/>
      <c r="AG15888" s="10"/>
      <c r="AH15888" s="10"/>
      <c r="AI15888" s="10"/>
    </row>
    <row r="15889" spans="28:35" ht="15" hidden="1" customHeight="1">
      <c r="AB15889" s="9"/>
      <c r="AC15889" s="9"/>
      <c r="AD15889" s="9"/>
      <c r="AF15889" s="10"/>
      <c r="AG15889" s="10"/>
      <c r="AH15889" s="10"/>
      <c r="AI15889" s="10"/>
    </row>
    <row r="15890" spans="28:35" ht="15" hidden="1" customHeight="1">
      <c r="AB15890" s="9"/>
      <c r="AC15890" s="9"/>
      <c r="AD15890" s="9"/>
      <c r="AF15890" s="10"/>
      <c r="AG15890" s="10"/>
      <c r="AH15890" s="10"/>
      <c r="AI15890" s="10"/>
    </row>
    <row r="15891" spans="28:35" ht="15" hidden="1" customHeight="1">
      <c r="AB15891" s="9"/>
      <c r="AC15891" s="9"/>
      <c r="AD15891" s="9"/>
      <c r="AF15891" s="10"/>
      <c r="AG15891" s="10"/>
      <c r="AH15891" s="10"/>
      <c r="AI15891" s="10"/>
    </row>
    <row r="15892" spans="28:35" ht="15" hidden="1" customHeight="1">
      <c r="AB15892" s="9"/>
      <c r="AC15892" s="9"/>
      <c r="AD15892" s="9"/>
      <c r="AF15892" s="10"/>
      <c r="AG15892" s="10"/>
      <c r="AH15892" s="10"/>
      <c r="AI15892" s="10"/>
    </row>
    <row r="15893" spans="28:35" ht="15" hidden="1" customHeight="1">
      <c r="AB15893" s="9"/>
      <c r="AC15893" s="9"/>
      <c r="AD15893" s="9"/>
      <c r="AF15893" s="10"/>
      <c r="AG15893" s="10"/>
      <c r="AH15893" s="10"/>
      <c r="AI15893" s="10"/>
    </row>
    <row r="15894" spans="28:35" ht="15" hidden="1" customHeight="1">
      <c r="AB15894" s="9"/>
      <c r="AC15894" s="9"/>
      <c r="AD15894" s="9"/>
      <c r="AF15894" s="10"/>
      <c r="AG15894" s="10"/>
      <c r="AH15894" s="10"/>
      <c r="AI15894" s="10"/>
    </row>
    <row r="15895" spans="28:35" ht="15" hidden="1" customHeight="1">
      <c r="AB15895" s="9"/>
      <c r="AC15895" s="9"/>
      <c r="AD15895" s="9"/>
      <c r="AF15895" s="10"/>
      <c r="AG15895" s="10"/>
      <c r="AH15895" s="10"/>
      <c r="AI15895" s="10"/>
    </row>
    <row r="15896" spans="28:35" ht="15" hidden="1" customHeight="1">
      <c r="AB15896" s="9"/>
      <c r="AC15896" s="9"/>
      <c r="AD15896" s="9"/>
      <c r="AF15896" s="10"/>
      <c r="AG15896" s="10"/>
      <c r="AH15896" s="10"/>
      <c r="AI15896" s="10"/>
    </row>
    <row r="15897" spans="28:35" ht="15" hidden="1" customHeight="1">
      <c r="AB15897" s="9"/>
      <c r="AC15897" s="9"/>
      <c r="AD15897" s="9"/>
      <c r="AF15897" s="10"/>
      <c r="AG15897" s="10"/>
      <c r="AH15897" s="10"/>
      <c r="AI15897" s="10"/>
    </row>
    <row r="15898" spans="28:35" ht="15" hidden="1" customHeight="1">
      <c r="AB15898" s="9"/>
      <c r="AC15898" s="9"/>
      <c r="AD15898" s="9"/>
      <c r="AF15898" s="10"/>
      <c r="AG15898" s="10"/>
      <c r="AH15898" s="10"/>
      <c r="AI15898" s="10"/>
    </row>
    <row r="15899" spans="28:35" ht="15" hidden="1" customHeight="1">
      <c r="AB15899" s="9"/>
      <c r="AC15899" s="9"/>
      <c r="AD15899" s="9"/>
      <c r="AF15899" s="10"/>
      <c r="AG15899" s="10"/>
      <c r="AH15899" s="10"/>
      <c r="AI15899" s="10"/>
    </row>
    <row r="15900" spans="28:35" ht="15" hidden="1" customHeight="1">
      <c r="AB15900" s="9"/>
      <c r="AC15900" s="9"/>
      <c r="AD15900" s="9"/>
      <c r="AF15900" s="10"/>
      <c r="AG15900" s="10"/>
      <c r="AH15900" s="10"/>
      <c r="AI15900" s="10"/>
    </row>
    <row r="15901" spans="28:35" ht="15" hidden="1" customHeight="1">
      <c r="AB15901" s="9"/>
      <c r="AC15901" s="9"/>
      <c r="AD15901" s="9"/>
      <c r="AF15901" s="10"/>
      <c r="AG15901" s="10"/>
      <c r="AH15901" s="10"/>
      <c r="AI15901" s="10"/>
    </row>
    <row r="15902" spans="28:35" ht="15" hidden="1" customHeight="1">
      <c r="AB15902" s="9"/>
      <c r="AC15902" s="9"/>
      <c r="AD15902" s="9"/>
      <c r="AF15902" s="10"/>
      <c r="AG15902" s="10"/>
      <c r="AH15902" s="10"/>
      <c r="AI15902" s="10"/>
    </row>
    <row r="15903" spans="28:35" ht="15" hidden="1" customHeight="1">
      <c r="AB15903" s="9"/>
      <c r="AC15903" s="9"/>
      <c r="AD15903" s="9"/>
      <c r="AF15903" s="10"/>
      <c r="AG15903" s="10"/>
      <c r="AH15903" s="10"/>
      <c r="AI15903" s="10"/>
    </row>
    <row r="15904" spans="28:35" ht="15" hidden="1" customHeight="1">
      <c r="AB15904" s="9"/>
      <c r="AC15904" s="9"/>
      <c r="AD15904" s="9"/>
      <c r="AF15904" s="10"/>
      <c r="AG15904" s="10"/>
      <c r="AH15904" s="10"/>
      <c r="AI15904" s="10"/>
    </row>
    <row r="15905" spans="28:35" ht="15" hidden="1" customHeight="1">
      <c r="AB15905" s="9"/>
      <c r="AC15905" s="9"/>
      <c r="AD15905" s="9"/>
      <c r="AF15905" s="10"/>
      <c r="AG15905" s="10"/>
      <c r="AH15905" s="10"/>
      <c r="AI15905" s="10"/>
    </row>
    <row r="15906" spans="28:35" ht="15" hidden="1" customHeight="1">
      <c r="AB15906" s="9"/>
      <c r="AC15906" s="9"/>
      <c r="AD15906" s="9"/>
      <c r="AF15906" s="10"/>
      <c r="AG15906" s="10"/>
      <c r="AH15906" s="10"/>
      <c r="AI15906" s="10"/>
    </row>
    <row r="15907" spans="28:35" ht="15" hidden="1" customHeight="1">
      <c r="AB15907" s="9"/>
      <c r="AC15907" s="9"/>
      <c r="AD15907" s="9"/>
      <c r="AF15907" s="10"/>
      <c r="AG15907" s="10"/>
      <c r="AH15907" s="10"/>
      <c r="AI15907" s="10"/>
    </row>
    <row r="15908" spans="28:35" ht="15" hidden="1" customHeight="1">
      <c r="AB15908" s="9"/>
      <c r="AC15908" s="9"/>
      <c r="AD15908" s="9"/>
      <c r="AF15908" s="10"/>
      <c r="AG15908" s="10"/>
      <c r="AH15908" s="10"/>
      <c r="AI15908" s="10"/>
    </row>
    <row r="15909" spans="28:35" ht="15" hidden="1" customHeight="1">
      <c r="AB15909" s="9"/>
      <c r="AC15909" s="9"/>
      <c r="AD15909" s="9"/>
      <c r="AF15909" s="10"/>
      <c r="AG15909" s="10"/>
      <c r="AH15909" s="10"/>
      <c r="AI15909" s="10"/>
    </row>
    <row r="15910" spans="28:35" ht="15" hidden="1" customHeight="1">
      <c r="AB15910" s="9"/>
      <c r="AC15910" s="9"/>
      <c r="AD15910" s="9"/>
      <c r="AF15910" s="10"/>
      <c r="AG15910" s="10"/>
      <c r="AH15910" s="10"/>
      <c r="AI15910" s="10"/>
    </row>
    <row r="15911" spans="28:35" ht="15" hidden="1" customHeight="1">
      <c r="AB15911" s="9"/>
      <c r="AC15911" s="9"/>
      <c r="AD15911" s="9"/>
      <c r="AF15911" s="10"/>
      <c r="AG15911" s="10"/>
      <c r="AH15911" s="10"/>
      <c r="AI15911" s="10"/>
    </row>
    <row r="15912" spans="28:35" ht="15" hidden="1" customHeight="1">
      <c r="AB15912" s="9"/>
      <c r="AC15912" s="9"/>
      <c r="AD15912" s="9"/>
      <c r="AF15912" s="10"/>
      <c r="AG15912" s="10"/>
      <c r="AH15912" s="10"/>
      <c r="AI15912" s="10"/>
    </row>
    <row r="15913" spans="28:35" ht="15" hidden="1" customHeight="1">
      <c r="AB15913" s="9"/>
      <c r="AC15913" s="9"/>
      <c r="AD15913" s="9"/>
      <c r="AF15913" s="10"/>
      <c r="AG15913" s="10"/>
      <c r="AH15913" s="10"/>
      <c r="AI15913" s="10"/>
    </row>
    <row r="15914" spans="28:35" ht="15" hidden="1" customHeight="1">
      <c r="AB15914" s="9"/>
      <c r="AC15914" s="9"/>
      <c r="AD15914" s="9"/>
      <c r="AF15914" s="10"/>
      <c r="AG15914" s="10"/>
      <c r="AH15914" s="10"/>
      <c r="AI15914" s="10"/>
    </row>
    <row r="15915" spans="28:35" ht="15" hidden="1" customHeight="1">
      <c r="AB15915" s="9"/>
      <c r="AC15915" s="9"/>
      <c r="AD15915" s="9"/>
      <c r="AF15915" s="10"/>
      <c r="AG15915" s="10"/>
      <c r="AH15915" s="10"/>
      <c r="AI15915" s="10"/>
    </row>
    <row r="15916" spans="28:35" ht="15" hidden="1" customHeight="1">
      <c r="AB15916" s="9"/>
      <c r="AC15916" s="9"/>
      <c r="AD15916" s="9"/>
      <c r="AF15916" s="10"/>
      <c r="AG15916" s="10"/>
      <c r="AH15916" s="10"/>
      <c r="AI15916" s="10"/>
    </row>
    <row r="15917" spans="28:35" ht="15" hidden="1" customHeight="1">
      <c r="AB15917" s="9"/>
      <c r="AC15917" s="9"/>
      <c r="AD15917" s="9"/>
      <c r="AF15917" s="10"/>
      <c r="AG15917" s="10"/>
      <c r="AH15917" s="10"/>
      <c r="AI15917" s="10"/>
    </row>
    <row r="15918" spans="28:35" ht="15" hidden="1" customHeight="1">
      <c r="AB15918" s="9"/>
      <c r="AC15918" s="9"/>
      <c r="AD15918" s="9"/>
      <c r="AF15918" s="10"/>
      <c r="AG15918" s="10"/>
      <c r="AH15918" s="10"/>
      <c r="AI15918" s="10"/>
    </row>
    <row r="15919" spans="28:35" ht="15" hidden="1" customHeight="1">
      <c r="AB15919" s="9"/>
      <c r="AC15919" s="9"/>
      <c r="AD15919" s="9"/>
      <c r="AF15919" s="10"/>
      <c r="AG15919" s="10"/>
      <c r="AH15919" s="10"/>
      <c r="AI15919" s="10"/>
    </row>
    <row r="15920" spans="28:35" ht="15" hidden="1" customHeight="1">
      <c r="AB15920" s="9"/>
      <c r="AC15920" s="9"/>
      <c r="AD15920" s="9"/>
      <c r="AF15920" s="10"/>
      <c r="AG15920" s="10"/>
      <c r="AH15920" s="10"/>
      <c r="AI15920" s="10"/>
    </row>
    <row r="15921" spans="28:35" ht="15" hidden="1" customHeight="1">
      <c r="AB15921" s="9"/>
      <c r="AC15921" s="9"/>
      <c r="AD15921" s="9"/>
      <c r="AF15921" s="10"/>
      <c r="AG15921" s="10"/>
      <c r="AH15921" s="10"/>
      <c r="AI15921" s="10"/>
    </row>
    <row r="15922" spans="28:35" ht="15" hidden="1" customHeight="1">
      <c r="AB15922" s="9"/>
      <c r="AC15922" s="9"/>
      <c r="AD15922" s="9"/>
      <c r="AF15922" s="10"/>
      <c r="AG15922" s="10"/>
      <c r="AH15922" s="10"/>
      <c r="AI15922" s="10"/>
    </row>
    <row r="15923" spans="28:35" ht="15" hidden="1" customHeight="1">
      <c r="AB15923" s="9"/>
      <c r="AC15923" s="9"/>
      <c r="AD15923" s="9"/>
      <c r="AF15923" s="10"/>
      <c r="AG15923" s="10"/>
      <c r="AH15923" s="10"/>
      <c r="AI15923" s="10"/>
    </row>
    <row r="15924" spans="28:35" ht="15" hidden="1" customHeight="1">
      <c r="AB15924" s="9"/>
      <c r="AC15924" s="9"/>
      <c r="AD15924" s="9"/>
      <c r="AF15924" s="10"/>
      <c r="AG15924" s="10"/>
      <c r="AH15924" s="10"/>
      <c r="AI15924" s="10"/>
    </row>
    <row r="15925" spans="28:35" ht="15" hidden="1" customHeight="1">
      <c r="AB15925" s="9"/>
      <c r="AC15925" s="9"/>
      <c r="AD15925" s="9"/>
      <c r="AF15925" s="10"/>
      <c r="AG15925" s="10"/>
      <c r="AH15925" s="10"/>
      <c r="AI15925" s="10"/>
    </row>
    <row r="15926" spans="28:35" ht="15" hidden="1" customHeight="1">
      <c r="AB15926" s="9"/>
      <c r="AC15926" s="9"/>
      <c r="AD15926" s="9"/>
      <c r="AF15926" s="10"/>
      <c r="AG15926" s="10"/>
      <c r="AH15926" s="10"/>
      <c r="AI15926" s="10"/>
    </row>
    <row r="15927" spans="28:35" ht="15" hidden="1" customHeight="1">
      <c r="AB15927" s="9"/>
      <c r="AC15927" s="9"/>
      <c r="AD15927" s="9"/>
      <c r="AF15927" s="10"/>
      <c r="AG15927" s="10"/>
      <c r="AH15927" s="10"/>
      <c r="AI15927" s="10"/>
    </row>
    <row r="15928" spans="28:35" ht="15" hidden="1" customHeight="1">
      <c r="AB15928" s="9"/>
      <c r="AC15928" s="9"/>
      <c r="AD15928" s="9"/>
      <c r="AF15928" s="10"/>
      <c r="AG15928" s="10"/>
      <c r="AH15928" s="10"/>
      <c r="AI15928" s="10"/>
    </row>
    <row r="15929" spans="28:35" ht="15" hidden="1" customHeight="1">
      <c r="AB15929" s="9"/>
      <c r="AC15929" s="9"/>
      <c r="AD15929" s="9"/>
      <c r="AF15929" s="10"/>
      <c r="AG15929" s="10"/>
      <c r="AH15929" s="10"/>
      <c r="AI15929" s="10"/>
    </row>
    <row r="15930" spans="28:35" ht="15" hidden="1" customHeight="1">
      <c r="AB15930" s="9"/>
      <c r="AC15930" s="9"/>
      <c r="AD15930" s="9"/>
      <c r="AF15930" s="10"/>
      <c r="AG15930" s="10"/>
      <c r="AH15930" s="10"/>
      <c r="AI15930" s="10"/>
    </row>
    <row r="15931" spans="28:35" ht="15" hidden="1" customHeight="1">
      <c r="AB15931" s="9"/>
      <c r="AC15931" s="9"/>
      <c r="AD15931" s="9"/>
      <c r="AF15931" s="10"/>
      <c r="AG15931" s="10"/>
      <c r="AH15931" s="10"/>
      <c r="AI15931" s="10"/>
    </row>
    <row r="15932" spans="28:35" ht="15" hidden="1" customHeight="1">
      <c r="AB15932" s="9"/>
      <c r="AC15932" s="9"/>
      <c r="AD15932" s="9"/>
      <c r="AF15932" s="10"/>
      <c r="AG15932" s="10"/>
      <c r="AH15932" s="10"/>
      <c r="AI15932" s="10"/>
    </row>
    <row r="15933" spans="28:35" ht="15" hidden="1" customHeight="1">
      <c r="AB15933" s="9"/>
      <c r="AC15933" s="9"/>
      <c r="AD15933" s="9"/>
      <c r="AF15933" s="10"/>
      <c r="AG15933" s="10"/>
      <c r="AH15933" s="10"/>
      <c r="AI15933" s="10"/>
    </row>
    <row r="15934" spans="28:35" ht="15" hidden="1" customHeight="1">
      <c r="AB15934" s="9"/>
      <c r="AC15934" s="9"/>
      <c r="AD15934" s="9"/>
      <c r="AF15934" s="10"/>
      <c r="AG15934" s="10"/>
      <c r="AH15934" s="10"/>
      <c r="AI15934" s="10"/>
    </row>
    <row r="15935" spans="28:35" ht="15" hidden="1" customHeight="1">
      <c r="AB15935" s="9"/>
      <c r="AC15935" s="9"/>
      <c r="AD15935" s="9"/>
      <c r="AF15935" s="10"/>
      <c r="AG15935" s="10"/>
      <c r="AH15935" s="10"/>
      <c r="AI15935" s="10"/>
    </row>
    <row r="15936" spans="28:35" ht="15" hidden="1" customHeight="1">
      <c r="AB15936" s="9"/>
      <c r="AC15936" s="9"/>
      <c r="AD15936" s="9"/>
      <c r="AF15936" s="10"/>
      <c r="AG15936" s="10"/>
      <c r="AH15936" s="10"/>
      <c r="AI15936" s="10"/>
    </row>
    <row r="15937" spans="28:35" ht="15" hidden="1" customHeight="1">
      <c r="AB15937" s="9"/>
      <c r="AC15937" s="9"/>
      <c r="AD15937" s="9"/>
      <c r="AF15937" s="10"/>
      <c r="AG15937" s="10"/>
      <c r="AH15937" s="10"/>
      <c r="AI15937" s="10"/>
    </row>
    <row r="15938" spans="28:35" ht="15" hidden="1" customHeight="1">
      <c r="AB15938" s="9"/>
      <c r="AC15938" s="9"/>
      <c r="AD15938" s="9"/>
      <c r="AF15938" s="10"/>
      <c r="AG15938" s="10"/>
      <c r="AH15938" s="10"/>
      <c r="AI15938" s="10"/>
    </row>
    <row r="15939" spans="28:35" ht="15" hidden="1" customHeight="1">
      <c r="AB15939" s="9"/>
      <c r="AC15939" s="9"/>
      <c r="AD15939" s="9"/>
      <c r="AF15939" s="10"/>
      <c r="AG15939" s="10"/>
      <c r="AH15939" s="10"/>
      <c r="AI15939" s="10"/>
    </row>
    <row r="15940" spans="28:35" ht="15" hidden="1" customHeight="1">
      <c r="AB15940" s="9"/>
      <c r="AC15940" s="9"/>
      <c r="AD15940" s="9"/>
      <c r="AF15940" s="10"/>
      <c r="AG15940" s="10"/>
      <c r="AH15940" s="10"/>
      <c r="AI15940" s="10"/>
    </row>
    <row r="15941" spans="28:35" ht="15" hidden="1" customHeight="1">
      <c r="AB15941" s="9"/>
      <c r="AC15941" s="9"/>
      <c r="AD15941" s="9"/>
      <c r="AF15941" s="10"/>
      <c r="AG15941" s="10"/>
      <c r="AH15941" s="10"/>
      <c r="AI15941" s="10"/>
    </row>
    <row r="15942" spans="28:35" ht="15" hidden="1" customHeight="1">
      <c r="AB15942" s="9"/>
      <c r="AC15942" s="9"/>
      <c r="AD15942" s="9"/>
      <c r="AF15942" s="10"/>
      <c r="AG15942" s="10"/>
      <c r="AH15942" s="10"/>
      <c r="AI15942" s="10"/>
    </row>
    <row r="15943" spans="28:35" ht="15" hidden="1" customHeight="1">
      <c r="AB15943" s="9"/>
      <c r="AC15943" s="9"/>
      <c r="AD15943" s="9"/>
      <c r="AF15943" s="10"/>
      <c r="AG15943" s="10"/>
      <c r="AH15943" s="10"/>
      <c r="AI15943" s="10"/>
    </row>
    <row r="15944" spans="28:35" ht="15" hidden="1" customHeight="1">
      <c r="AB15944" s="9"/>
      <c r="AC15944" s="9"/>
      <c r="AD15944" s="9"/>
      <c r="AF15944" s="10"/>
      <c r="AG15944" s="10"/>
      <c r="AH15944" s="10"/>
      <c r="AI15944" s="10"/>
    </row>
    <row r="15945" spans="28:35" ht="15" hidden="1" customHeight="1">
      <c r="AB15945" s="9"/>
      <c r="AC15945" s="9"/>
      <c r="AD15945" s="9"/>
      <c r="AF15945" s="10"/>
      <c r="AG15945" s="10"/>
      <c r="AH15945" s="10"/>
      <c r="AI15945" s="10"/>
    </row>
    <row r="15946" spans="28:35" ht="15" hidden="1" customHeight="1">
      <c r="AB15946" s="9"/>
      <c r="AC15946" s="9"/>
      <c r="AD15946" s="9"/>
      <c r="AF15946" s="10"/>
      <c r="AG15946" s="10"/>
      <c r="AH15946" s="10"/>
      <c r="AI15946" s="10"/>
    </row>
    <row r="15947" spans="28:35" ht="15" hidden="1" customHeight="1">
      <c r="AB15947" s="9"/>
      <c r="AC15947" s="9"/>
      <c r="AD15947" s="9"/>
      <c r="AF15947" s="10"/>
      <c r="AG15947" s="10"/>
      <c r="AH15947" s="10"/>
      <c r="AI15947" s="10"/>
    </row>
    <row r="15948" spans="28:35" ht="15" hidden="1" customHeight="1">
      <c r="AB15948" s="9"/>
      <c r="AC15948" s="9"/>
      <c r="AD15948" s="9"/>
      <c r="AF15948" s="10"/>
      <c r="AG15948" s="10"/>
      <c r="AH15948" s="10"/>
      <c r="AI15948" s="10"/>
    </row>
    <row r="15949" spans="28:35" ht="15" hidden="1" customHeight="1">
      <c r="AB15949" s="9"/>
      <c r="AC15949" s="9"/>
      <c r="AD15949" s="9"/>
      <c r="AF15949" s="10"/>
      <c r="AG15949" s="10"/>
      <c r="AH15949" s="10"/>
      <c r="AI15949" s="10"/>
    </row>
    <row r="15950" spans="28:35" ht="15" hidden="1" customHeight="1">
      <c r="AB15950" s="9"/>
      <c r="AC15950" s="9"/>
      <c r="AD15950" s="9"/>
      <c r="AF15950" s="10"/>
      <c r="AG15950" s="10"/>
      <c r="AH15950" s="10"/>
      <c r="AI15950" s="10"/>
    </row>
    <row r="15951" spans="28:35" ht="15" hidden="1" customHeight="1">
      <c r="AB15951" s="9"/>
      <c r="AC15951" s="9"/>
      <c r="AD15951" s="9"/>
      <c r="AF15951" s="10"/>
      <c r="AG15951" s="10"/>
      <c r="AH15951" s="10"/>
      <c r="AI15951" s="10"/>
    </row>
    <row r="15952" spans="28:35" ht="15" hidden="1" customHeight="1">
      <c r="AB15952" s="9"/>
      <c r="AC15952" s="9"/>
      <c r="AD15952" s="9"/>
      <c r="AF15952" s="10"/>
      <c r="AG15952" s="10"/>
      <c r="AH15952" s="10"/>
      <c r="AI15952" s="10"/>
    </row>
    <row r="15953" spans="28:35" ht="15" hidden="1" customHeight="1">
      <c r="AB15953" s="9"/>
      <c r="AC15953" s="9"/>
      <c r="AD15953" s="9"/>
      <c r="AF15953" s="10"/>
      <c r="AG15953" s="10"/>
      <c r="AH15953" s="10"/>
      <c r="AI15953" s="10"/>
    </row>
    <row r="15954" spans="28:35" ht="15" hidden="1" customHeight="1">
      <c r="AB15954" s="9"/>
      <c r="AC15954" s="9"/>
      <c r="AD15954" s="9"/>
      <c r="AF15954" s="10"/>
      <c r="AG15954" s="10"/>
      <c r="AH15954" s="10"/>
      <c r="AI15954" s="10"/>
    </row>
    <row r="15955" spans="28:35" ht="15" hidden="1" customHeight="1">
      <c r="AB15955" s="9"/>
      <c r="AC15955" s="9"/>
      <c r="AD15955" s="9"/>
      <c r="AF15955" s="10"/>
      <c r="AG15955" s="10"/>
      <c r="AH15955" s="10"/>
      <c r="AI15955" s="10"/>
    </row>
    <row r="15956" spans="28:35" ht="15" hidden="1" customHeight="1">
      <c r="AB15956" s="9"/>
      <c r="AC15956" s="9"/>
      <c r="AD15956" s="9"/>
      <c r="AF15956" s="10"/>
      <c r="AG15956" s="10"/>
      <c r="AH15956" s="10"/>
      <c r="AI15956" s="10"/>
    </row>
    <row r="15957" spans="28:35" ht="15" hidden="1" customHeight="1">
      <c r="AB15957" s="9"/>
      <c r="AC15957" s="9"/>
      <c r="AD15957" s="9"/>
      <c r="AF15957" s="10"/>
      <c r="AG15957" s="10"/>
      <c r="AH15957" s="10"/>
      <c r="AI15957" s="10"/>
    </row>
    <row r="15958" spans="28:35" ht="15" hidden="1" customHeight="1">
      <c r="AB15958" s="9"/>
      <c r="AC15958" s="9"/>
      <c r="AD15958" s="9"/>
      <c r="AF15958" s="10"/>
      <c r="AG15958" s="10"/>
      <c r="AH15958" s="10"/>
      <c r="AI15958" s="10"/>
    </row>
    <row r="15959" spans="28:35" ht="15" hidden="1" customHeight="1">
      <c r="AB15959" s="9"/>
      <c r="AC15959" s="9"/>
      <c r="AD15959" s="9"/>
      <c r="AF15959" s="10"/>
      <c r="AG15959" s="10"/>
      <c r="AH15959" s="10"/>
      <c r="AI15959" s="10"/>
    </row>
    <row r="15960" spans="28:35" ht="15" hidden="1" customHeight="1">
      <c r="AB15960" s="9"/>
      <c r="AC15960" s="9"/>
      <c r="AD15960" s="9"/>
      <c r="AF15960" s="10"/>
      <c r="AG15960" s="10"/>
      <c r="AH15960" s="10"/>
      <c r="AI15960" s="10"/>
    </row>
    <row r="15961" spans="28:35" ht="15" hidden="1" customHeight="1">
      <c r="AB15961" s="9"/>
      <c r="AC15961" s="9"/>
      <c r="AD15961" s="9"/>
      <c r="AF15961" s="10"/>
      <c r="AG15961" s="10"/>
      <c r="AH15961" s="10"/>
      <c r="AI15961" s="10"/>
    </row>
    <row r="15962" spans="28:35" ht="15" hidden="1" customHeight="1">
      <c r="AB15962" s="9"/>
      <c r="AC15962" s="9"/>
      <c r="AD15962" s="9"/>
      <c r="AF15962" s="10"/>
      <c r="AG15962" s="10"/>
      <c r="AH15962" s="10"/>
      <c r="AI15962" s="10"/>
    </row>
    <row r="15963" spans="28:35" ht="15" hidden="1" customHeight="1">
      <c r="AB15963" s="9"/>
      <c r="AC15963" s="9"/>
      <c r="AD15963" s="9"/>
      <c r="AF15963" s="10"/>
      <c r="AG15963" s="10"/>
      <c r="AH15963" s="10"/>
      <c r="AI15963" s="10"/>
    </row>
    <row r="15964" spans="28:35" ht="15" hidden="1" customHeight="1">
      <c r="AB15964" s="9"/>
      <c r="AC15964" s="9"/>
      <c r="AD15964" s="9"/>
      <c r="AF15964" s="10"/>
      <c r="AG15964" s="10"/>
      <c r="AH15964" s="10"/>
      <c r="AI15964" s="10"/>
    </row>
    <row r="15965" spans="28:35" ht="15" hidden="1" customHeight="1">
      <c r="AB15965" s="9"/>
      <c r="AC15965" s="9"/>
      <c r="AD15965" s="9"/>
      <c r="AF15965" s="10"/>
      <c r="AG15965" s="10"/>
      <c r="AH15965" s="10"/>
      <c r="AI15965" s="10"/>
    </row>
    <row r="15966" spans="28:35" ht="15" hidden="1" customHeight="1">
      <c r="AB15966" s="9"/>
      <c r="AC15966" s="9"/>
      <c r="AD15966" s="9"/>
      <c r="AF15966" s="10"/>
      <c r="AG15966" s="10"/>
      <c r="AH15966" s="10"/>
      <c r="AI15966" s="10"/>
    </row>
    <row r="15967" spans="28:35" ht="15" hidden="1" customHeight="1">
      <c r="AB15967" s="9"/>
      <c r="AC15967" s="9"/>
      <c r="AD15967" s="9"/>
      <c r="AF15967" s="10"/>
      <c r="AG15967" s="10"/>
      <c r="AH15967" s="10"/>
      <c r="AI15967" s="10"/>
    </row>
    <row r="15968" spans="28:35" ht="15" hidden="1" customHeight="1">
      <c r="AB15968" s="9"/>
      <c r="AC15968" s="9"/>
      <c r="AD15968" s="9"/>
      <c r="AF15968" s="10"/>
      <c r="AG15968" s="10"/>
      <c r="AH15968" s="10"/>
      <c r="AI15968" s="10"/>
    </row>
    <row r="15969" spans="28:35" ht="15" hidden="1" customHeight="1">
      <c r="AB15969" s="9"/>
      <c r="AC15969" s="9"/>
      <c r="AD15969" s="9"/>
      <c r="AF15969" s="10"/>
      <c r="AG15969" s="10"/>
      <c r="AH15969" s="10"/>
      <c r="AI15969" s="10"/>
    </row>
    <row r="15970" spans="28:35" ht="15" hidden="1" customHeight="1">
      <c r="AB15970" s="9"/>
      <c r="AC15970" s="9"/>
      <c r="AD15970" s="9"/>
      <c r="AF15970" s="10"/>
      <c r="AG15970" s="10"/>
      <c r="AH15970" s="10"/>
      <c r="AI15970" s="10"/>
    </row>
    <row r="15971" spans="28:35" ht="15" hidden="1" customHeight="1">
      <c r="AB15971" s="9"/>
      <c r="AC15971" s="9"/>
      <c r="AD15971" s="9"/>
      <c r="AF15971" s="10"/>
      <c r="AG15971" s="10"/>
      <c r="AH15971" s="10"/>
      <c r="AI15971" s="10"/>
    </row>
    <row r="15972" spans="28:35" ht="15" hidden="1" customHeight="1">
      <c r="AB15972" s="9"/>
      <c r="AC15972" s="9"/>
      <c r="AD15972" s="9"/>
      <c r="AF15972" s="10"/>
      <c r="AG15972" s="10"/>
      <c r="AH15972" s="10"/>
      <c r="AI15972" s="10"/>
    </row>
    <row r="15973" spans="28:35" ht="15" hidden="1" customHeight="1">
      <c r="AB15973" s="9"/>
      <c r="AC15973" s="9"/>
      <c r="AD15973" s="9"/>
      <c r="AF15973" s="10"/>
      <c r="AG15973" s="10"/>
      <c r="AH15973" s="10"/>
      <c r="AI15973" s="10"/>
    </row>
    <row r="15974" spans="28:35" ht="15" hidden="1" customHeight="1">
      <c r="AB15974" s="9"/>
      <c r="AC15974" s="9"/>
      <c r="AD15974" s="9"/>
      <c r="AF15974" s="10"/>
      <c r="AG15974" s="10"/>
      <c r="AH15974" s="10"/>
      <c r="AI15974" s="10"/>
    </row>
    <row r="15975" spans="28:35" ht="15" hidden="1" customHeight="1">
      <c r="AB15975" s="9"/>
      <c r="AC15975" s="9"/>
      <c r="AD15975" s="9"/>
      <c r="AF15975" s="10"/>
      <c r="AG15975" s="10"/>
      <c r="AH15975" s="10"/>
      <c r="AI15975" s="10"/>
    </row>
    <row r="15976" spans="28:35" ht="15" hidden="1" customHeight="1">
      <c r="AB15976" s="9"/>
      <c r="AC15976" s="9"/>
      <c r="AD15976" s="9"/>
      <c r="AF15976" s="10"/>
      <c r="AG15976" s="10"/>
      <c r="AH15976" s="10"/>
      <c r="AI15976" s="10"/>
    </row>
    <row r="15977" spans="28:35" ht="15" hidden="1" customHeight="1">
      <c r="AB15977" s="9"/>
      <c r="AC15977" s="9"/>
      <c r="AD15977" s="9"/>
      <c r="AF15977" s="10"/>
      <c r="AG15977" s="10"/>
      <c r="AH15977" s="10"/>
      <c r="AI15977" s="10"/>
    </row>
    <row r="15978" spans="28:35" ht="15" hidden="1" customHeight="1">
      <c r="AB15978" s="9"/>
      <c r="AC15978" s="9"/>
      <c r="AD15978" s="9"/>
      <c r="AF15978" s="10"/>
      <c r="AG15978" s="10"/>
      <c r="AH15978" s="10"/>
      <c r="AI15978" s="10"/>
    </row>
    <row r="15979" spans="28:35" ht="15" hidden="1" customHeight="1">
      <c r="AB15979" s="9"/>
      <c r="AC15979" s="9"/>
      <c r="AD15979" s="9"/>
      <c r="AF15979" s="10"/>
      <c r="AG15979" s="10"/>
      <c r="AH15979" s="10"/>
      <c r="AI15979" s="10"/>
    </row>
    <row r="15980" spans="28:35" ht="15" hidden="1" customHeight="1">
      <c r="AB15980" s="9"/>
      <c r="AC15980" s="9"/>
      <c r="AD15980" s="9"/>
      <c r="AF15980" s="10"/>
      <c r="AG15980" s="10"/>
      <c r="AH15980" s="10"/>
      <c r="AI15980" s="10"/>
    </row>
    <row r="15981" spans="28:35" ht="15" hidden="1" customHeight="1">
      <c r="AB15981" s="9"/>
      <c r="AC15981" s="9"/>
      <c r="AD15981" s="9"/>
      <c r="AF15981" s="10"/>
      <c r="AG15981" s="10"/>
      <c r="AH15981" s="10"/>
      <c r="AI15981" s="10"/>
    </row>
    <row r="15982" spans="28:35" ht="15" hidden="1" customHeight="1">
      <c r="AB15982" s="9"/>
      <c r="AC15982" s="9"/>
      <c r="AD15982" s="9"/>
      <c r="AF15982" s="10"/>
      <c r="AG15982" s="10"/>
      <c r="AH15982" s="10"/>
      <c r="AI15982" s="10"/>
    </row>
    <row r="15983" spans="28:35" ht="15" hidden="1" customHeight="1">
      <c r="AB15983" s="9"/>
      <c r="AC15983" s="9"/>
      <c r="AD15983" s="9"/>
      <c r="AF15983" s="10"/>
      <c r="AG15983" s="10"/>
      <c r="AH15983" s="10"/>
      <c r="AI15983" s="10"/>
    </row>
    <row r="15984" spans="28:35" ht="15" hidden="1" customHeight="1">
      <c r="AB15984" s="9"/>
      <c r="AC15984" s="9"/>
      <c r="AD15984" s="9"/>
      <c r="AF15984" s="10"/>
      <c r="AG15984" s="10"/>
      <c r="AH15984" s="10"/>
      <c r="AI15984" s="10"/>
    </row>
    <row r="15985" spans="28:35" ht="15" hidden="1" customHeight="1">
      <c r="AB15985" s="9"/>
      <c r="AC15985" s="9"/>
      <c r="AD15985" s="9"/>
      <c r="AF15985" s="10"/>
      <c r="AG15985" s="10"/>
      <c r="AH15985" s="10"/>
      <c r="AI15985" s="10"/>
    </row>
    <row r="15986" spans="28:35" ht="15" hidden="1" customHeight="1">
      <c r="AB15986" s="9"/>
      <c r="AC15986" s="9"/>
      <c r="AD15986" s="9"/>
      <c r="AF15986" s="10"/>
      <c r="AG15986" s="10"/>
      <c r="AH15986" s="10"/>
      <c r="AI15986" s="10"/>
    </row>
    <row r="15987" spans="28:35" ht="15" hidden="1" customHeight="1">
      <c r="AB15987" s="9"/>
      <c r="AC15987" s="9"/>
      <c r="AD15987" s="9"/>
      <c r="AF15987" s="10"/>
      <c r="AG15987" s="10"/>
      <c r="AH15987" s="10"/>
      <c r="AI15987" s="10"/>
    </row>
    <row r="15988" spans="28:35" ht="15" hidden="1" customHeight="1">
      <c r="AB15988" s="9"/>
      <c r="AC15988" s="9"/>
      <c r="AD15988" s="9"/>
      <c r="AF15988" s="10"/>
      <c r="AG15988" s="10"/>
      <c r="AH15988" s="10"/>
      <c r="AI15988" s="10"/>
    </row>
    <row r="15989" spans="28:35" ht="15" hidden="1" customHeight="1">
      <c r="AB15989" s="9"/>
      <c r="AC15989" s="9"/>
      <c r="AD15989" s="9"/>
      <c r="AF15989" s="10"/>
      <c r="AG15989" s="10"/>
      <c r="AH15989" s="10"/>
      <c r="AI15989" s="10"/>
    </row>
    <row r="15990" spans="28:35" ht="15" hidden="1" customHeight="1">
      <c r="AB15990" s="9"/>
      <c r="AC15990" s="9"/>
      <c r="AD15990" s="9"/>
      <c r="AF15990" s="10"/>
      <c r="AG15990" s="10"/>
      <c r="AH15990" s="10"/>
      <c r="AI15990" s="10"/>
    </row>
    <row r="15991" spans="28:35" ht="15" hidden="1" customHeight="1">
      <c r="AB15991" s="9"/>
      <c r="AC15991" s="9"/>
      <c r="AD15991" s="9"/>
      <c r="AF15991" s="10"/>
      <c r="AG15991" s="10"/>
      <c r="AH15991" s="10"/>
      <c r="AI15991" s="10"/>
    </row>
    <row r="15992" spans="28:35" ht="15" hidden="1" customHeight="1">
      <c r="AB15992" s="9"/>
      <c r="AC15992" s="9"/>
      <c r="AD15992" s="9"/>
      <c r="AF15992" s="10"/>
      <c r="AG15992" s="10"/>
      <c r="AH15992" s="10"/>
      <c r="AI15992" s="10"/>
    </row>
    <row r="15993" spans="28:35" ht="15" hidden="1" customHeight="1">
      <c r="AB15993" s="9"/>
      <c r="AC15993" s="9"/>
      <c r="AD15993" s="9"/>
      <c r="AF15993" s="10"/>
      <c r="AG15993" s="10"/>
      <c r="AH15993" s="10"/>
      <c r="AI15993" s="10"/>
    </row>
    <row r="15994" spans="28:35" ht="15" hidden="1" customHeight="1">
      <c r="AB15994" s="9"/>
      <c r="AC15994" s="9"/>
      <c r="AD15994" s="9"/>
      <c r="AF15994" s="10"/>
      <c r="AG15994" s="10"/>
      <c r="AH15994" s="10"/>
      <c r="AI15994" s="10"/>
    </row>
    <row r="15995" spans="28:35" ht="15" hidden="1" customHeight="1">
      <c r="AB15995" s="9"/>
      <c r="AC15995" s="9"/>
      <c r="AD15995" s="9"/>
      <c r="AF15995" s="10"/>
      <c r="AG15995" s="10"/>
      <c r="AH15995" s="10"/>
      <c r="AI15995" s="10"/>
    </row>
    <row r="15996" spans="28:35" ht="15" hidden="1" customHeight="1">
      <c r="AB15996" s="9"/>
      <c r="AC15996" s="9"/>
      <c r="AD15996" s="9"/>
      <c r="AF15996" s="10"/>
      <c r="AG15996" s="10"/>
      <c r="AH15996" s="10"/>
      <c r="AI15996" s="10"/>
    </row>
    <row r="15997" spans="28:35" ht="15" hidden="1" customHeight="1">
      <c r="AB15997" s="9"/>
      <c r="AC15997" s="9"/>
      <c r="AD15997" s="9"/>
      <c r="AF15997" s="10"/>
      <c r="AG15997" s="10"/>
      <c r="AH15997" s="10"/>
      <c r="AI15997" s="10"/>
    </row>
    <row r="15998" spans="28:35" ht="15" hidden="1" customHeight="1">
      <c r="AB15998" s="9"/>
      <c r="AC15998" s="9"/>
      <c r="AD15998" s="9"/>
      <c r="AF15998" s="10"/>
      <c r="AG15998" s="10"/>
      <c r="AH15998" s="10"/>
      <c r="AI15998" s="10"/>
    </row>
    <row r="15999" spans="28:35" ht="15" hidden="1" customHeight="1">
      <c r="AB15999" s="9"/>
      <c r="AC15999" s="9"/>
      <c r="AD15999" s="9"/>
      <c r="AF15999" s="10"/>
      <c r="AG15999" s="10"/>
      <c r="AH15999" s="10"/>
      <c r="AI15999" s="10"/>
    </row>
    <row r="16000" spans="28:35" ht="15" hidden="1" customHeight="1">
      <c r="AB16000" s="9"/>
      <c r="AC16000" s="9"/>
      <c r="AD16000" s="9"/>
      <c r="AF16000" s="10"/>
      <c r="AG16000" s="10"/>
      <c r="AH16000" s="10"/>
      <c r="AI16000" s="10"/>
    </row>
    <row r="16001" spans="28:35" ht="15" hidden="1" customHeight="1">
      <c r="AB16001" s="9"/>
      <c r="AC16001" s="9"/>
      <c r="AD16001" s="9"/>
      <c r="AF16001" s="10"/>
      <c r="AG16001" s="10"/>
      <c r="AH16001" s="10"/>
      <c r="AI16001" s="10"/>
    </row>
    <row r="16002" spans="28:35" ht="15" hidden="1" customHeight="1">
      <c r="AB16002" s="9"/>
      <c r="AC16002" s="9"/>
      <c r="AD16002" s="9"/>
      <c r="AF16002" s="10"/>
      <c r="AG16002" s="10"/>
      <c r="AH16002" s="10"/>
      <c r="AI16002" s="10"/>
    </row>
    <row r="16003" spans="28:35" ht="15" hidden="1" customHeight="1">
      <c r="AB16003" s="9"/>
      <c r="AC16003" s="9"/>
      <c r="AD16003" s="9"/>
      <c r="AF16003" s="10"/>
      <c r="AG16003" s="10"/>
      <c r="AH16003" s="10"/>
      <c r="AI16003" s="10"/>
    </row>
    <row r="16004" spans="28:35" ht="15" hidden="1" customHeight="1">
      <c r="AB16004" s="9"/>
      <c r="AC16004" s="9"/>
      <c r="AD16004" s="9"/>
      <c r="AF16004" s="10"/>
      <c r="AG16004" s="10"/>
      <c r="AH16004" s="10"/>
      <c r="AI16004" s="10"/>
    </row>
    <row r="16005" spans="28:35" ht="15" hidden="1" customHeight="1">
      <c r="AB16005" s="9"/>
      <c r="AC16005" s="9"/>
      <c r="AD16005" s="9"/>
      <c r="AF16005" s="10"/>
      <c r="AG16005" s="10"/>
      <c r="AH16005" s="10"/>
      <c r="AI16005" s="10"/>
    </row>
    <row r="16006" spans="28:35" ht="15" hidden="1" customHeight="1">
      <c r="AB16006" s="9"/>
      <c r="AC16006" s="9"/>
      <c r="AD16006" s="9"/>
      <c r="AF16006" s="10"/>
      <c r="AG16006" s="10"/>
      <c r="AH16006" s="10"/>
      <c r="AI16006" s="10"/>
    </row>
    <row r="16007" spans="28:35" ht="15" hidden="1" customHeight="1">
      <c r="AB16007" s="9"/>
      <c r="AC16007" s="9"/>
      <c r="AD16007" s="9"/>
      <c r="AF16007" s="10"/>
      <c r="AG16007" s="10"/>
      <c r="AH16007" s="10"/>
      <c r="AI16007" s="10"/>
    </row>
    <row r="16008" spans="28:35" ht="15" hidden="1" customHeight="1">
      <c r="AB16008" s="9"/>
      <c r="AC16008" s="9"/>
      <c r="AD16008" s="9"/>
      <c r="AF16008" s="10"/>
      <c r="AG16008" s="10"/>
      <c r="AH16008" s="10"/>
      <c r="AI16008" s="10"/>
    </row>
    <row r="16009" spans="28:35" ht="15" hidden="1" customHeight="1">
      <c r="AB16009" s="9"/>
      <c r="AC16009" s="9"/>
      <c r="AD16009" s="9"/>
      <c r="AF16009" s="10"/>
      <c r="AG16009" s="10"/>
      <c r="AH16009" s="10"/>
      <c r="AI16009" s="10"/>
    </row>
    <row r="16010" spans="28:35" ht="15" hidden="1" customHeight="1">
      <c r="AB16010" s="9"/>
      <c r="AC16010" s="9"/>
      <c r="AD16010" s="9"/>
      <c r="AF16010" s="10"/>
      <c r="AG16010" s="10"/>
      <c r="AH16010" s="10"/>
      <c r="AI16010" s="10"/>
    </row>
    <row r="16011" spans="28:35" ht="15" hidden="1" customHeight="1">
      <c r="AB16011" s="9"/>
      <c r="AC16011" s="9"/>
      <c r="AD16011" s="9"/>
      <c r="AF16011" s="10"/>
      <c r="AG16011" s="10"/>
      <c r="AH16011" s="10"/>
      <c r="AI16011" s="10"/>
    </row>
    <row r="16012" spans="28:35" ht="15" hidden="1" customHeight="1">
      <c r="AB16012" s="9"/>
      <c r="AC16012" s="9"/>
      <c r="AD16012" s="9"/>
      <c r="AF16012" s="10"/>
      <c r="AG16012" s="10"/>
      <c r="AH16012" s="10"/>
      <c r="AI16012" s="10"/>
    </row>
    <row r="16013" spans="28:35" ht="15" hidden="1" customHeight="1">
      <c r="AB16013" s="9"/>
      <c r="AC16013" s="9"/>
      <c r="AD16013" s="9"/>
      <c r="AF16013" s="10"/>
      <c r="AG16013" s="10"/>
      <c r="AH16013" s="10"/>
      <c r="AI16013" s="10"/>
    </row>
    <row r="16014" spans="28:35" ht="15" hidden="1" customHeight="1">
      <c r="AB16014" s="9"/>
      <c r="AC16014" s="9"/>
      <c r="AD16014" s="9"/>
      <c r="AF16014" s="10"/>
      <c r="AG16014" s="10"/>
      <c r="AH16014" s="10"/>
      <c r="AI16014" s="10"/>
    </row>
    <row r="16015" spans="28:35" ht="15" hidden="1" customHeight="1">
      <c r="AB16015" s="9"/>
      <c r="AC16015" s="9"/>
      <c r="AD16015" s="9"/>
      <c r="AF16015" s="10"/>
      <c r="AG16015" s="10"/>
      <c r="AH16015" s="10"/>
      <c r="AI16015" s="10"/>
    </row>
    <row r="16016" spans="28:35" ht="15" hidden="1" customHeight="1">
      <c r="AB16016" s="9"/>
      <c r="AC16016" s="9"/>
      <c r="AD16016" s="9"/>
      <c r="AF16016" s="10"/>
      <c r="AG16016" s="10"/>
      <c r="AH16016" s="10"/>
      <c r="AI16016" s="10"/>
    </row>
    <row r="16017" spans="28:35" ht="15" hidden="1" customHeight="1">
      <c r="AB16017" s="9"/>
      <c r="AC16017" s="9"/>
      <c r="AD16017" s="9"/>
      <c r="AF16017" s="10"/>
      <c r="AG16017" s="10"/>
      <c r="AH16017" s="10"/>
      <c r="AI16017" s="10"/>
    </row>
    <row r="16018" spans="28:35" ht="15" hidden="1" customHeight="1">
      <c r="AB16018" s="9"/>
      <c r="AC16018" s="9"/>
      <c r="AD16018" s="9"/>
      <c r="AF16018" s="10"/>
      <c r="AG16018" s="10"/>
      <c r="AH16018" s="10"/>
      <c r="AI16018" s="10"/>
    </row>
    <row r="16019" spans="28:35" ht="15" hidden="1" customHeight="1">
      <c r="AB16019" s="9"/>
      <c r="AC16019" s="9"/>
      <c r="AD16019" s="9"/>
      <c r="AF16019" s="10"/>
      <c r="AG16019" s="10"/>
      <c r="AH16019" s="10"/>
      <c r="AI16019" s="10"/>
    </row>
    <row r="16020" spans="28:35" ht="15" hidden="1" customHeight="1">
      <c r="AB16020" s="9"/>
      <c r="AC16020" s="9"/>
      <c r="AD16020" s="9"/>
      <c r="AF16020" s="10"/>
      <c r="AG16020" s="10"/>
      <c r="AH16020" s="10"/>
      <c r="AI16020" s="10"/>
    </row>
    <row r="16021" spans="28:35" ht="15" hidden="1" customHeight="1">
      <c r="AB16021" s="9"/>
      <c r="AC16021" s="9"/>
      <c r="AD16021" s="9"/>
      <c r="AF16021" s="10"/>
      <c r="AG16021" s="10"/>
      <c r="AH16021" s="10"/>
      <c r="AI16021" s="10"/>
    </row>
    <row r="16022" spans="28:35" ht="15" hidden="1" customHeight="1">
      <c r="AB16022" s="9"/>
      <c r="AC16022" s="9"/>
      <c r="AD16022" s="9"/>
      <c r="AF16022" s="10"/>
      <c r="AG16022" s="10"/>
      <c r="AH16022" s="10"/>
      <c r="AI16022" s="10"/>
    </row>
    <row r="16023" spans="28:35" ht="15" hidden="1" customHeight="1">
      <c r="AB16023" s="9"/>
      <c r="AC16023" s="9"/>
      <c r="AD16023" s="9"/>
      <c r="AF16023" s="10"/>
      <c r="AG16023" s="10"/>
      <c r="AH16023" s="10"/>
      <c r="AI16023" s="10"/>
    </row>
    <row r="16024" spans="28:35" ht="15" hidden="1" customHeight="1">
      <c r="AB16024" s="9"/>
      <c r="AC16024" s="9"/>
      <c r="AD16024" s="9"/>
      <c r="AF16024" s="10"/>
      <c r="AG16024" s="10"/>
      <c r="AH16024" s="10"/>
      <c r="AI16024" s="10"/>
    </row>
    <row r="16025" spans="28:35" ht="15" hidden="1" customHeight="1">
      <c r="AB16025" s="9"/>
      <c r="AC16025" s="9"/>
      <c r="AD16025" s="9"/>
      <c r="AF16025" s="10"/>
      <c r="AG16025" s="10"/>
      <c r="AH16025" s="10"/>
      <c r="AI16025" s="10"/>
    </row>
    <row r="16026" spans="28:35" ht="15" hidden="1" customHeight="1">
      <c r="AB16026" s="9"/>
      <c r="AC16026" s="9"/>
      <c r="AD16026" s="9"/>
      <c r="AF16026" s="10"/>
      <c r="AG16026" s="10"/>
      <c r="AH16026" s="10"/>
      <c r="AI16026" s="10"/>
    </row>
    <row r="16027" spans="28:35" ht="15" hidden="1" customHeight="1">
      <c r="AB16027" s="9"/>
      <c r="AC16027" s="9"/>
      <c r="AD16027" s="9"/>
      <c r="AF16027" s="10"/>
      <c r="AG16027" s="10"/>
      <c r="AH16027" s="10"/>
      <c r="AI16027" s="10"/>
    </row>
    <row r="16028" spans="28:35" ht="15" hidden="1" customHeight="1">
      <c r="AB16028" s="9"/>
      <c r="AC16028" s="9"/>
      <c r="AD16028" s="9"/>
      <c r="AF16028" s="10"/>
      <c r="AG16028" s="10"/>
      <c r="AH16028" s="10"/>
      <c r="AI16028" s="10"/>
    </row>
    <row r="16029" spans="28:35" ht="15" hidden="1" customHeight="1">
      <c r="AB16029" s="9"/>
      <c r="AC16029" s="9"/>
      <c r="AD16029" s="9"/>
      <c r="AF16029" s="10"/>
      <c r="AG16029" s="10"/>
      <c r="AH16029" s="10"/>
      <c r="AI16029" s="10"/>
    </row>
    <row r="16030" spans="28:35" ht="15" hidden="1" customHeight="1">
      <c r="AB16030" s="9"/>
      <c r="AC16030" s="9"/>
      <c r="AD16030" s="9"/>
      <c r="AF16030" s="10"/>
      <c r="AG16030" s="10"/>
      <c r="AH16030" s="10"/>
      <c r="AI16030" s="10"/>
    </row>
    <row r="16031" spans="28:35" ht="15" hidden="1" customHeight="1">
      <c r="AB16031" s="9"/>
      <c r="AC16031" s="9"/>
      <c r="AD16031" s="9"/>
      <c r="AF16031" s="10"/>
      <c r="AG16031" s="10"/>
      <c r="AH16031" s="10"/>
      <c r="AI16031" s="10"/>
    </row>
    <row r="16032" spans="28:35" ht="15" hidden="1" customHeight="1">
      <c r="AB16032" s="9"/>
      <c r="AC16032" s="9"/>
      <c r="AD16032" s="9"/>
      <c r="AF16032" s="10"/>
      <c r="AG16032" s="10"/>
      <c r="AH16032" s="10"/>
      <c r="AI16032" s="10"/>
    </row>
    <row r="16033" spans="28:35" ht="15" hidden="1" customHeight="1">
      <c r="AB16033" s="9"/>
      <c r="AC16033" s="9"/>
      <c r="AD16033" s="9"/>
      <c r="AF16033" s="10"/>
      <c r="AG16033" s="10"/>
      <c r="AH16033" s="10"/>
      <c r="AI16033" s="10"/>
    </row>
    <row r="16034" spans="28:35" ht="15" hidden="1" customHeight="1">
      <c r="AB16034" s="9"/>
      <c r="AC16034" s="9"/>
      <c r="AD16034" s="9"/>
      <c r="AF16034" s="10"/>
      <c r="AG16034" s="10"/>
      <c r="AH16034" s="10"/>
      <c r="AI16034" s="10"/>
    </row>
    <row r="16035" spans="28:35" ht="15" hidden="1" customHeight="1">
      <c r="AB16035" s="9"/>
      <c r="AC16035" s="9"/>
      <c r="AD16035" s="9"/>
      <c r="AF16035" s="10"/>
      <c r="AG16035" s="10"/>
      <c r="AH16035" s="10"/>
      <c r="AI16035" s="10"/>
    </row>
    <row r="16036" spans="28:35" ht="15" hidden="1" customHeight="1">
      <c r="AB16036" s="9"/>
      <c r="AC16036" s="9"/>
      <c r="AD16036" s="9"/>
      <c r="AF16036" s="10"/>
      <c r="AG16036" s="10"/>
      <c r="AH16036" s="10"/>
      <c r="AI16036" s="10"/>
    </row>
    <row r="16037" spans="28:35" ht="15" hidden="1" customHeight="1">
      <c r="AB16037" s="9"/>
      <c r="AC16037" s="9"/>
      <c r="AD16037" s="9"/>
      <c r="AF16037" s="10"/>
      <c r="AG16037" s="10"/>
      <c r="AH16037" s="10"/>
      <c r="AI16037" s="10"/>
    </row>
    <row r="16038" spans="28:35" ht="15" hidden="1" customHeight="1">
      <c r="AB16038" s="9"/>
      <c r="AC16038" s="9"/>
      <c r="AD16038" s="9"/>
      <c r="AF16038" s="10"/>
      <c r="AG16038" s="10"/>
      <c r="AH16038" s="10"/>
      <c r="AI16038" s="10"/>
    </row>
    <row r="16039" spans="28:35" ht="15" hidden="1" customHeight="1">
      <c r="AB16039" s="9"/>
      <c r="AC16039" s="9"/>
      <c r="AD16039" s="9"/>
      <c r="AF16039" s="10"/>
      <c r="AG16039" s="10"/>
      <c r="AH16039" s="10"/>
      <c r="AI16039" s="10"/>
    </row>
    <row r="16040" spans="28:35" ht="15" hidden="1" customHeight="1">
      <c r="AB16040" s="9"/>
      <c r="AC16040" s="9"/>
      <c r="AD16040" s="9"/>
      <c r="AF16040" s="10"/>
      <c r="AG16040" s="10"/>
      <c r="AH16040" s="10"/>
      <c r="AI16040" s="10"/>
    </row>
    <row r="16041" spans="28:35" ht="15" hidden="1" customHeight="1">
      <c r="AB16041" s="9"/>
      <c r="AC16041" s="9"/>
      <c r="AD16041" s="9"/>
      <c r="AF16041" s="10"/>
      <c r="AG16041" s="10"/>
      <c r="AH16041" s="10"/>
      <c r="AI16041" s="10"/>
    </row>
    <row r="16042" spans="28:35" ht="15" hidden="1" customHeight="1">
      <c r="AB16042" s="9"/>
      <c r="AC16042" s="9"/>
      <c r="AD16042" s="9"/>
      <c r="AF16042" s="10"/>
      <c r="AG16042" s="10"/>
      <c r="AH16042" s="10"/>
      <c r="AI16042" s="10"/>
    </row>
    <row r="16043" spans="28:35" ht="15" hidden="1" customHeight="1">
      <c r="AB16043" s="9"/>
      <c r="AC16043" s="9"/>
      <c r="AD16043" s="9"/>
      <c r="AF16043" s="10"/>
      <c r="AG16043" s="10"/>
      <c r="AH16043" s="10"/>
      <c r="AI16043" s="10"/>
    </row>
    <row r="16044" spans="28:35" ht="15" hidden="1" customHeight="1">
      <c r="AB16044" s="9"/>
      <c r="AC16044" s="9"/>
      <c r="AD16044" s="9"/>
      <c r="AF16044" s="10"/>
      <c r="AG16044" s="10"/>
      <c r="AH16044" s="10"/>
      <c r="AI16044" s="10"/>
    </row>
    <row r="16045" spans="28:35" ht="15" hidden="1" customHeight="1">
      <c r="AB16045" s="9"/>
      <c r="AC16045" s="9"/>
      <c r="AD16045" s="9"/>
      <c r="AF16045" s="10"/>
      <c r="AG16045" s="10"/>
      <c r="AH16045" s="10"/>
      <c r="AI16045" s="10"/>
    </row>
    <row r="16046" spans="28:35" ht="15" hidden="1" customHeight="1">
      <c r="AB16046" s="9"/>
      <c r="AC16046" s="9"/>
      <c r="AD16046" s="9"/>
      <c r="AF16046" s="10"/>
      <c r="AG16046" s="10"/>
      <c r="AH16046" s="10"/>
      <c r="AI16046" s="10"/>
    </row>
    <row r="16047" spans="28:35" ht="15" hidden="1" customHeight="1">
      <c r="AB16047" s="9"/>
      <c r="AC16047" s="9"/>
      <c r="AD16047" s="9"/>
      <c r="AF16047" s="10"/>
      <c r="AG16047" s="10"/>
      <c r="AH16047" s="10"/>
      <c r="AI16047" s="10"/>
    </row>
    <row r="16048" spans="28:35" ht="15" hidden="1" customHeight="1">
      <c r="AB16048" s="9"/>
      <c r="AC16048" s="9"/>
      <c r="AD16048" s="9"/>
      <c r="AF16048" s="10"/>
      <c r="AG16048" s="10"/>
      <c r="AH16048" s="10"/>
      <c r="AI16048" s="10"/>
    </row>
    <row r="16049" spans="28:35" ht="15" hidden="1" customHeight="1">
      <c r="AB16049" s="9"/>
      <c r="AC16049" s="9"/>
      <c r="AD16049" s="9"/>
      <c r="AF16049" s="10"/>
      <c r="AG16049" s="10"/>
      <c r="AH16049" s="10"/>
      <c r="AI16049" s="10"/>
    </row>
    <row r="16050" spans="28:35" ht="15" hidden="1" customHeight="1">
      <c r="AB16050" s="9"/>
      <c r="AC16050" s="9"/>
      <c r="AD16050" s="9"/>
      <c r="AF16050" s="10"/>
      <c r="AG16050" s="10"/>
      <c r="AH16050" s="10"/>
      <c r="AI16050" s="10"/>
    </row>
    <row r="16051" spans="28:35" ht="15" hidden="1" customHeight="1">
      <c r="AB16051" s="9"/>
      <c r="AC16051" s="9"/>
      <c r="AD16051" s="9"/>
      <c r="AF16051" s="10"/>
      <c r="AG16051" s="10"/>
      <c r="AH16051" s="10"/>
      <c r="AI16051" s="10"/>
    </row>
    <row r="16052" spans="28:35" ht="15" hidden="1" customHeight="1">
      <c r="AB16052" s="9"/>
      <c r="AC16052" s="9"/>
      <c r="AD16052" s="9"/>
      <c r="AF16052" s="10"/>
      <c r="AG16052" s="10"/>
      <c r="AH16052" s="10"/>
      <c r="AI16052" s="10"/>
    </row>
    <row r="16053" spans="28:35" ht="15" hidden="1" customHeight="1">
      <c r="AB16053" s="9"/>
      <c r="AC16053" s="9"/>
      <c r="AD16053" s="9"/>
      <c r="AF16053" s="10"/>
      <c r="AG16053" s="10"/>
      <c r="AH16053" s="10"/>
      <c r="AI16053" s="10"/>
    </row>
    <row r="16054" spans="28:35" ht="15" hidden="1" customHeight="1">
      <c r="AB16054" s="9"/>
      <c r="AC16054" s="9"/>
      <c r="AD16054" s="9"/>
      <c r="AF16054" s="10"/>
      <c r="AG16054" s="10"/>
      <c r="AH16054" s="10"/>
      <c r="AI16054" s="10"/>
    </row>
    <row r="16055" spans="28:35" ht="15" hidden="1" customHeight="1">
      <c r="AB16055" s="9"/>
      <c r="AC16055" s="9"/>
      <c r="AD16055" s="9"/>
      <c r="AF16055" s="10"/>
      <c r="AG16055" s="10"/>
      <c r="AH16055" s="10"/>
      <c r="AI16055" s="10"/>
    </row>
    <row r="16056" spans="28:35" ht="15" hidden="1" customHeight="1">
      <c r="AB16056" s="9"/>
      <c r="AC16056" s="9"/>
      <c r="AD16056" s="9"/>
      <c r="AF16056" s="10"/>
      <c r="AG16056" s="10"/>
      <c r="AH16056" s="10"/>
      <c r="AI16056" s="10"/>
    </row>
    <row r="16057" spans="28:35" ht="15" hidden="1" customHeight="1">
      <c r="AB16057" s="9"/>
      <c r="AC16057" s="9"/>
      <c r="AD16057" s="9"/>
      <c r="AF16057" s="10"/>
      <c r="AG16057" s="10"/>
      <c r="AH16057" s="10"/>
      <c r="AI16057" s="10"/>
    </row>
    <row r="16058" spans="28:35" ht="15" hidden="1" customHeight="1">
      <c r="AB16058" s="9"/>
      <c r="AC16058" s="9"/>
      <c r="AD16058" s="9"/>
      <c r="AF16058" s="10"/>
      <c r="AG16058" s="10"/>
      <c r="AH16058" s="10"/>
      <c r="AI16058" s="10"/>
    </row>
    <row r="16059" spans="28:35" ht="15" hidden="1" customHeight="1">
      <c r="AB16059" s="9"/>
      <c r="AC16059" s="9"/>
      <c r="AD16059" s="9"/>
      <c r="AF16059" s="10"/>
      <c r="AG16059" s="10"/>
      <c r="AH16059" s="10"/>
      <c r="AI16059" s="10"/>
    </row>
    <row r="16060" spans="28:35" ht="15" hidden="1" customHeight="1">
      <c r="AB16060" s="9"/>
      <c r="AC16060" s="9"/>
      <c r="AD16060" s="9"/>
      <c r="AF16060" s="10"/>
      <c r="AG16060" s="10"/>
      <c r="AH16060" s="10"/>
      <c r="AI16060" s="10"/>
    </row>
    <row r="16061" spans="28:35" ht="15" hidden="1" customHeight="1">
      <c r="AB16061" s="9"/>
      <c r="AC16061" s="9"/>
      <c r="AD16061" s="9"/>
      <c r="AF16061" s="10"/>
      <c r="AG16061" s="10"/>
      <c r="AH16061" s="10"/>
      <c r="AI16061" s="10"/>
    </row>
    <row r="16062" spans="28:35" ht="15" hidden="1" customHeight="1">
      <c r="AB16062" s="9"/>
      <c r="AC16062" s="9"/>
      <c r="AD16062" s="9"/>
      <c r="AF16062" s="10"/>
      <c r="AG16062" s="10"/>
      <c r="AH16062" s="10"/>
      <c r="AI16062" s="10"/>
    </row>
    <row r="16063" spans="28:35" ht="15" hidden="1" customHeight="1">
      <c r="AB16063" s="9"/>
      <c r="AC16063" s="9"/>
      <c r="AD16063" s="9"/>
      <c r="AF16063" s="10"/>
      <c r="AG16063" s="10"/>
      <c r="AH16063" s="10"/>
      <c r="AI16063" s="10"/>
    </row>
    <row r="16064" spans="28:35" ht="15" hidden="1" customHeight="1">
      <c r="AB16064" s="9"/>
      <c r="AC16064" s="9"/>
      <c r="AD16064" s="9"/>
      <c r="AF16064" s="10"/>
      <c r="AG16064" s="10"/>
      <c r="AH16064" s="10"/>
      <c r="AI16064" s="10"/>
    </row>
    <row r="16065" spans="28:35" ht="15" hidden="1" customHeight="1">
      <c r="AB16065" s="9"/>
      <c r="AC16065" s="9"/>
      <c r="AD16065" s="9"/>
      <c r="AF16065" s="10"/>
      <c r="AG16065" s="10"/>
      <c r="AH16065" s="10"/>
      <c r="AI16065" s="10"/>
    </row>
    <row r="16066" spans="28:35" ht="15" hidden="1" customHeight="1">
      <c r="AB16066" s="9"/>
      <c r="AC16066" s="9"/>
      <c r="AD16066" s="9"/>
      <c r="AF16066" s="10"/>
      <c r="AG16066" s="10"/>
      <c r="AH16066" s="10"/>
      <c r="AI16066" s="10"/>
    </row>
    <row r="16067" spans="28:35" ht="15" hidden="1" customHeight="1">
      <c r="AB16067" s="9"/>
      <c r="AC16067" s="9"/>
      <c r="AD16067" s="9"/>
      <c r="AF16067" s="10"/>
      <c r="AG16067" s="10"/>
      <c r="AH16067" s="10"/>
      <c r="AI16067" s="10"/>
    </row>
    <row r="16068" spans="28:35" ht="15" hidden="1" customHeight="1">
      <c r="AB16068" s="9"/>
      <c r="AC16068" s="9"/>
      <c r="AD16068" s="9"/>
      <c r="AF16068" s="10"/>
      <c r="AG16068" s="10"/>
      <c r="AH16068" s="10"/>
      <c r="AI16068" s="10"/>
    </row>
    <row r="16069" spans="28:35" ht="15" hidden="1" customHeight="1">
      <c r="AB16069" s="9"/>
      <c r="AC16069" s="9"/>
      <c r="AD16069" s="9"/>
      <c r="AF16069" s="10"/>
      <c r="AG16069" s="10"/>
      <c r="AH16069" s="10"/>
      <c r="AI16069" s="10"/>
    </row>
    <row r="16070" spans="28:35" ht="15" hidden="1" customHeight="1">
      <c r="AB16070" s="9"/>
      <c r="AC16070" s="9"/>
      <c r="AD16070" s="9"/>
      <c r="AF16070" s="10"/>
      <c r="AG16070" s="10"/>
      <c r="AH16070" s="10"/>
      <c r="AI16070" s="10"/>
    </row>
    <row r="16071" spans="28:35" ht="15" hidden="1" customHeight="1">
      <c r="AB16071" s="9"/>
      <c r="AC16071" s="9"/>
      <c r="AD16071" s="9"/>
      <c r="AF16071" s="10"/>
      <c r="AG16071" s="10"/>
      <c r="AH16071" s="10"/>
      <c r="AI16071" s="10"/>
    </row>
    <row r="16072" spans="28:35" ht="15" hidden="1" customHeight="1">
      <c r="AB16072" s="9"/>
      <c r="AC16072" s="9"/>
      <c r="AD16072" s="9"/>
      <c r="AF16072" s="10"/>
      <c r="AG16072" s="10"/>
      <c r="AH16072" s="10"/>
      <c r="AI16072" s="10"/>
    </row>
    <row r="16073" spans="28:35" ht="15" hidden="1" customHeight="1">
      <c r="AB16073" s="9"/>
      <c r="AC16073" s="9"/>
      <c r="AD16073" s="9"/>
      <c r="AF16073" s="10"/>
      <c r="AG16073" s="10"/>
      <c r="AH16073" s="10"/>
      <c r="AI16073" s="10"/>
    </row>
    <row r="16074" spans="28:35" ht="15" hidden="1" customHeight="1">
      <c r="AB16074" s="9"/>
      <c r="AC16074" s="9"/>
      <c r="AD16074" s="9"/>
      <c r="AF16074" s="10"/>
      <c r="AG16074" s="10"/>
      <c r="AH16074" s="10"/>
      <c r="AI16074" s="10"/>
    </row>
    <row r="16075" spans="28:35" ht="15" hidden="1" customHeight="1">
      <c r="AB16075" s="9"/>
      <c r="AC16075" s="9"/>
      <c r="AD16075" s="9"/>
      <c r="AF16075" s="10"/>
      <c r="AG16075" s="10"/>
      <c r="AH16075" s="10"/>
      <c r="AI16075" s="10"/>
    </row>
    <row r="16076" spans="28:35" ht="15" hidden="1" customHeight="1">
      <c r="AB16076" s="9"/>
      <c r="AC16076" s="9"/>
      <c r="AD16076" s="9"/>
      <c r="AF16076" s="10"/>
      <c r="AG16076" s="10"/>
      <c r="AH16076" s="10"/>
      <c r="AI16076" s="10"/>
    </row>
    <row r="16077" spans="28:35" ht="15" hidden="1" customHeight="1">
      <c r="AB16077" s="9"/>
      <c r="AC16077" s="9"/>
      <c r="AD16077" s="9"/>
      <c r="AF16077" s="10"/>
      <c r="AG16077" s="10"/>
      <c r="AH16077" s="10"/>
      <c r="AI16077" s="10"/>
    </row>
    <row r="16078" spans="28:35" ht="15" hidden="1" customHeight="1">
      <c r="AB16078" s="9"/>
      <c r="AC16078" s="9"/>
      <c r="AD16078" s="9"/>
      <c r="AF16078" s="10"/>
      <c r="AG16078" s="10"/>
      <c r="AH16078" s="10"/>
      <c r="AI16078" s="10"/>
    </row>
    <row r="16079" spans="28:35" ht="15" hidden="1" customHeight="1">
      <c r="AB16079" s="9"/>
      <c r="AC16079" s="9"/>
      <c r="AD16079" s="9"/>
      <c r="AF16079" s="10"/>
      <c r="AG16079" s="10"/>
      <c r="AH16079" s="10"/>
      <c r="AI16079" s="10"/>
    </row>
    <row r="16080" spans="28:35" ht="15" hidden="1" customHeight="1">
      <c r="AB16080" s="9"/>
      <c r="AC16080" s="9"/>
      <c r="AD16080" s="9"/>
      <c r="AF16080" s="10"/>
      <c r="AG16080" s="10"/>
      <c r="AH16080" s="10"/>
      <c r="AI16080" s="10"/>
    </row>
    <row r="16081" spans="28:35" ht="15" hidden="1" customHeight="1">
      <c r="AB16081" s="9"/>
      <c r="AC16081" s="9"/>
      <c r="AD16081" s="9"/>
      <c r="AF16081" s="10"/>
      <c r="AG16081" s="10"/>
      <c r="AH16081" s="10"/>
      <c r="AI16081" s="10"/>
    </row>
    <row r="16082" spans="28:35" ht="15" hidden="1" customHeight="1">
      <c r="AB16082" s="9"/>
      <c r="AC16082" s="9"/>
      <c r="AD16082" s="9"/>
      <c r="AF16082" s="10"/>
      <c r="AG16082" s="10"/>
      <c r="AH16082" s="10"/>
      <c r="AI16082" s="10"/>
    </row>
    <row r="16083" spans="28:35" ht="15" hidden="1" customHeight="1">
      <c r="AB16083" s="9"/>
      <c r="AC16083" s="9"/>
      <c r="AD16083" s="9"/>
      <c r="AF16083" s="10"/>
      <c r="AG16083" s="10"/>
      <c r="AH16083" s="10"/>
      <c r="AI16083" s="10"/>
    </row>
    <row r="16084" spans="28:35" ht="15" hidden="1" customHeight="1">
      <c r="AB16084" s="9"/>
      <c r="AC16084" s="9"/>
      <c r="AD16084" s="9"/>
      <c r="AF16084" s="10"/>
      <c r="AG16084" s="10"/>
      <c r="AH16084" s="10"/>
      <c r="AI16084" s="10"/>
    </row>
    <row r="16085" spans="28:35" ht="15" hidden="1" customHeight="1">
      <c r="AB16085" s="9"/>
      <c r="AC16085" s="9"/>
      <c r="AD16085" s="9"/>
      <c r="AF16085" s="10"/>
      <c r="AG16085" s="10"/>
      <c r="AH16085" s="10"/>
      <c r="AI16085" s="10"/>
    </row>
    <row r="16086" spans="28:35" ht="15" hidden="1" customHeight="1">
      <c r="AB16086" s="9"/>
      <c r="AC16086" s="9"/>
      <c r="AD16086" s="9"/>
      <c r="AF16086" s="10"/>
      <c r="AG16086" s="10"/>
      <c r="AH16086" s="10"/>
      <c r="AI16086" s="10"/>
    </row>
    <row r="16087" spans="28:35" ht="15" hidden="1" customHeight="1">
      <c r="AB16087" s="9"/>
      <c r="AC16087" s="9"/>
      <c r="AD16087" s="9"/>
      <c r="AF16087" s="10"/>
      <c r="AG16087" s="10"/>
      <c r="AH16087" s="10"/>
      <c r="AI16087" s="10"/>
    </row>
    <row r="16088" spans="28:35" ht="15" hidden="1" customHeight="1">
      <c r="AB16088" s="9"/>
      <c r="AC16088" s="9"/>
      <c r="AD16088" s="9"/>
      <c r="AF16088" s="10"/>
      <c r="AG16088" s="10"/>
      <c r="AH16088" s="10"/>
      <c r="AI16088" s="10"/>
    </row>
    <row r="16089" spans="28:35" ht="15" hidden="1" customHeight="1">
      <c r="AB16089" s="9"/>
      <c r="AC16089" s="9"/>
      <c r="AD16089" s="9"/>
      <c r="AF16089" s="10"/>
      <c r="AG16089" s="10"/>
      <c r="AH16089" s="10"/>
      <c r="AI16089" s="10"/>
    </row>
    <row r="16090" spans="28:35" ht="15" hidden="1" customHeight="1">
      <c r="AB16090" s="9"/>
      <c r="AC16090" s="9"/>
      <c r="AD16090" s="9"/>
      <c r="AF16090" s="10"/>
      <c r="AG16090" s="10"/>
      <c r="AH16090" s="10"/>
      <c r="AI16090" s="10"/>
    </row>
    <row r="16091" spans="28:35" ht="15" hidden="1" customHeight="1">
      <c r="AB16091" s="9"/>
      <c r="AC16091" s="9"/>
      <c r="AD16091" s="9"/>
      <c r="AF16091" s="10"/>
      <c r="AG16091" s="10"/>
      <c r="AH16091" s="10"/>
      <c r="AI16091" s="10"/>
    </row>
    <row r="16092" spans="28:35" ht="15" hidden="1" customHeight="1">
      <c r="AB16092" s="9"/>
      <c r="AC16092" s="9"/>
      <c r="AD16092" s="9"/>
      <c r="AF16092" s="10"/>
      <c r="AG16092" s="10"/>
      <c r="AH16092" s="10"/>
      <c r="AI16092" s="10"/>
    </row>
    <row r="16093" spans="28:35" ht="15" hidden="1" customHeight="1">
      <c r="AB16093" s="9"/>
      <c r="AC16093" s="9"/>
      <c r="AD16093" s="9"/>
      <c r="AF16093" s="10"/>
      <c r="AG16093" s="10"/>
      <c r="AH16093" s="10"/>
      <c r="AI16093" s="10"/>
    </row>
    <row r="16094" spans="28:35" ht="15" hidden="1" customHeight="1">
      <c r="AB16094" s="9"/>
      <c r="AC16094" s="9"/>
      <c r="AD16094" s="9"/>
      <c r="AF16094" s="10"/>
      <c r="AG16094" s="10"/>
      <c r="AH16094" s="10"/>
      <c r="AI16094" s="10"/>
    </row>
    <row r="16095" spans="28:35" ht="15" hidden="1" customHeight="1">
      <c r="AB16095" s="9"/>
      <c r="AC16095" s="9"/>
      <c r="AD16095" s="9"/>
      <c r="AF16095" s="10"/>
      <c r="AG16095" s="10"/>
      <c r="AH16095" s="10"/>
      <c r="AI16095" s="10"/>
    </row>
    <row r="16096" spans="28:35" ht="15" hidden="1" customHeight="1">
      <c r="AB16096" s="9"/>
      <c r="AC16096" s="9"/>
      <c r="AD16096" s="9"/>
      <c r="AF16096" s="10"/>
      <c r="AG16096" s="10"/>
      <c r="AH16096" s="10"/>
      <c r="AI16096" s="10"/>
    </row>
    <row r="16097" spans="28:35" ht="15" hidden="1" customHeight="1">
      <c r="AB16097" s="9"/>
      <c r="AC16097" s="9"/>
      <c r="AD16097" s="9"/>
      <c r="AF16097" s="10"/>
      <c r="AG16097" s="10"/>
      <c r="AH16097" s="10"/>
      <c r="AI16097" s="10"/>
    </row>
    <row r="16098" spans="28:35" ht="15" hidden="1" customHeight="1">
      <c r="AB16098" s="9"/>
      <c r="AC16098" s="9"/>
      <c r="AD16098" s="9"/>
      <c r="AF16098" s="10"/>
      <c r="AG16098" s="10"/>
      <c r="AH16098" s="10"/>
      <c r="AI16098" s="10"/>
    </row>
    <row r="16099" spans="28:35" ht="15" hidden="1" customHeight="1">
      <c r="AB16099" s="9"/>
      <c r="AC16099" s="9"/>
      <c r="AD16099" s="9"/>
      <c r="AF16099" s="10"/>
      <c r="AG16099" s="10"/>
      <c r="AH16099" s="10"/>
      <c r="AI16099" s="10"/>
    </row>
    <row r="16100" spans="28:35" ht="15" hidden="1" customHeight="1">
      <c r="AB16100" s="9"/>
      <c r="AC16100" s="9"/>
      <c r="AD16100" s="9"/>
      <c r="AF16100" s="10"/>
      <c r="AG16100" s="10"/>
      <c r="AH16100" s="10"/>
      <c r="AI16100" s="10"/>
    </row>
    <row r="16101" spans="28:35" ht="15" hidden="1" customHeight="1">
      <c r="AB16101" s="9"/>
      <c r="AC16101" s="9"/>
      <c r="AD16101" s="9"/>
      <c r="AF16101" s="10"/>
      <c r="AG16101" s="10"/>
      <c r="AH16101" s="10"/>
      <c r="AI16101" s="10"/>
    </row>
    <row r="16102" spans="28:35" ht="15" hidden="1" customHeight="1">
      <c r="AB16102" s="9"/>
      <c r="AC16102" s="9"/>
      <c r="AD16102" s="9"/>
      <c r="AF16102" s="10"/>
      <c r="AG16102" s="10"/>
      <c r="AH16102" s="10"/>
      <c r="AI16102" s="10"/>
    </row>
    <row r="16103" spans="28:35" ht="15" hidden="1" customHeight="1">
      <c r="AB16103" s="9"/>
      <c r="AC16103" s="9"/>
      <c r="AD16103" s="9"/>
      <c r="AF16103" s="10"/>
      <c r="AG16103" s="10"/>
      <c r="AH16103" s="10"/>
      <c r="AI16103" s="10"/>
    </row>
    <row r="16104" spans="28:35" ht="15" hidden="1" customHeight="1">
      <c r="AB16104" s="9"/>
      <c r="AC16104" s="9"/>
      <c r="AD16104" s="9"/>
      <c r="AF16104" s="10"/>
      <c r="AG16104" s="10"/>
      <c r="AH16104" s="10"/>
      <c r="AI16104" s="10"/>
    </row>
    <row r="16105" spans="28:35" ht="15" hidden="1" customHeight="1">
      <c r="AB16105" s="9"/>
      <c r="AC16105" s="9"/>
      <c r="AD16105" s="9"/>
      <c r="AF16105" s="10"/>
      <c r="AG16105" s="10"/>
      <c r="AH16105" s="10"/>
      <c r="AI16105" s="10"/>
    </row>
    <row r="16106" spans="28:35" ht="15" hidden="1" customHeight="1">
      <c r="AB16106" s="9"/>
      <c r="AC16106" s="9"/>
      <c r="AD16106" s="9"/>
      <c r="AF16106" s="10"/>
      <c r="AG16106" s="10"/>
      <c r="AH16106" s="10"/>
      <c r="AI16106" s="10"/>
    </row>
    <row r="16107" spans="28:35" ht="15" hidden="1" customHeight="1">
      <c r="AB16107" s="9"/>
      <c r="AC16107" s="9"/>
      <c r="AD16107" s="9"/>
      <c r="AF16107" s="10"/>
      <c r="AG16107" s="10"/>
      <c r="AH16107" s="10"/>
      <c r="AI16107" s="10"/>
    </row>
    <row r="16108" spans="28:35" ht="15" hidden="1" customHeight="1">
      <c r="AB16108" s="9"/>
      <c r="AC16108" s="9"/>
      <c r="AD16108" s="9"/>
      <c r="AF16108" s="10"/>
      <c r="AG16108" s="10"/>
      <c r="AH16108" s="10"/>
      <c r="AI16108" s="10"/>
    </row>
    <row r="16109" spans="28:35" ht="15" hidden="1" customHeight="1">
      <c r="AB16109" s="9"/>
      <c r="AC16109" s="9"/>
      <c r="AD16109" s="9"/>
      <c r="AF16109" s="10"/>
      <c r="AG16109" s="10"/>
      <c r="AH16109" s="10"/>
      <c r="AI16109" s="10"/>
    </row>
    <row r="16110" spans="28:35" ht="15" hidden="1" customHeight="1">
      <c r="AB16110" s="9"/>
      <c r="AC16110" s="9"/>
      <c r="AD16110" s="9"/>
      <c r="AF16110" s="10"/>
      <c r="AG16110" s="10"/>
      <c r="AH16110" s="10"/>
      <c r="AI16110" s="10"/>
    </row>
    <row r="16111" spans="28:35" ht="15" hidden="1" customHeight="1">
      <c r="AB16111" s="9"/>
      <c r="AC16111" s="9"/>
      <c r="AD16111" s="9"/>
      <c r="AF16111" s="10"/>
      <c r="AG16111" s="10"/>
      <c r="AH16111" s="10"/>
      <c r="AI16111" s="10"/>
    </row>
    <row r="16112" spans="28:35" ht="15" hidden="1" customHeight="1">
      <c r="AB16112" s="9"/>
      <c r="AC16112" s="9"/>
      <c r="AD16112" s="9"/>
      <c r="AF16112" s="10"/>
      <c r="AG16112" s="10"/>
      <c r="AH16112" s="10"/>
      <c r="AI16112" s="10"/>
    </row>
    <row r="16113" spans="28:35" ht="15" hidden="1" customHeight="1">
      <c r="AB16113" s="9"/>
      <c r="AC16113" s="9"/>
      <c r="AD16113" s="9"/>
      <c r="AF16113" s="10"/>
      <c r="AG16113" s="10"/>
      <c r="AH16113" s="10"/>
      <c r="AI16113" s="10"/>
    </row>
    <row r="16114" spans="28:35" ht="15" hidden="1" customHeight="1">
      <c r="AB16114" s="9"/>
      <c r="AC16114" s="9"/>
      <c r="AD16114" s="9"/>
      <c r="AF16114" s="10"/>
      <c r="AG16114" s="10"/>
      <c r="AH16114" s="10"/>
      <c r="AI16114" s="10"/>
    </row>
    <row r="16115" spans="28:35" ht="15" hidden="1" customHeight="1">
      <c r="AB16115" s="9"/>
      <c r="AC16115" s="9"/>
      <c r="AD16115" s="9"/>
      <c r="AF16115" s="10"/>
      <c r="AG16115" s="10"/>
      <c r="AH16115" s="10"/>
      <c r="AI16115" s="10"/>
    </row>
    <row r="16116" spans="28:35" ht="15" hidden="1" customHeight="1">
      <c r="AB16116" s="9"/>
      <c r="AC16116" s="9"/>
      <c r="AD16116" s="9"/>
      <c r="AF16116" s="10"/>
      <c r="AG16116" s="10"/>
      <c r="AH16116" s="10"/>
      <c r="AI16116" s="10"/>
    </row>
    <row r="16117" spans="28:35" ht="15" hidden="1" customHeight="1">
      <c r="AB16117" s="9"/>
      <c r="AC16117" s="9"/>
      <c r="AD16117" s="9"/>
      <c r="AF16117" s="10"/>
      <c r="AG16117" s="10"/>
      <c r="AH16117" s="10"/>
      <c r="AI16117" s="10"/>
    </row>
    <row r="16118" spans="28:35" ht="15" hidden="1" customHeight="1">
      <c r="AB16118" s="9"/>
      <c r="AC16118" s="9"/>
      <c r="AD16118" s="9"/>
      <c r="AF16118" s="10"/>
      <c r="AG16118" s="10"/>
      <c r="AH16118" s="10"/>
      <c r="AI16118" s="10"/>
    </row>
    <row r="16119" spans="28:35" ht="15" hidden="1" customHeight="1">
      <c r="AB16119" s="9"/>
      <c r="AC16119" s="9"/>
      <c r="AD16119" s="9"/>
      <c r="AF16119" s="10"/>
      <c r="AG16119" s="10"/>
      <c r="AH16119" s="10"/>
      <c r="AI16119" s="10"/>
    </row>
    <row r="16120" spans="28:35" ht="15" hidden="1" customHeight="1">
      <c r="AB16120" s="9"/>
      <c r="AC16120" s="9"/>
      <c r="AD16120" s="9"/>
      <c r="AF16120" s="10"/>
      <c r="AG16120" s="10"/>
      <c r="AH16120" s="10"/>
      <c r="AI16120" s="10"/>
    </row>
    <row r="16121" spans="28:35" ht="15" hidden="1" customHeight="1">
      <c r="AB16121" s="9"/>
      <c r="AC16121" s="9"/>
      <c r="AD16121" s="9"/>
      <c r="AF16121" s="10"/>
      <c r="AG16121" s="10"/>
      <c r="AH16121" s="10"/>
      <c r="AI16121" s="10"/>
    </row>
    <row r="16122" spans="28:35" ht="15" hidden="1" customHeight="1">
      <c r="AB16122" s="9"/>
      <c r="AC16122" s="9"/>
      <c r="AD16122" s="9"/>
      <c r="AF16122" s="10"/>
      <c r="AG16122" s="10"/>
      <c r="AH16122" s="10"/>
      <c r="AI16122" s="10"/>
    </row>
    <row r="16123" spans="28:35" ht="15" hidden="1" customHeight="1">
      <c r="AB16123" s="9"/>
      <c r="AC16123" s="9"/>
      <c r="AD16123" s="9"/>
      <c r="AF16123" s="10"/>
      <c r="AG16123" s="10"/>
      <c r="AH16123" s="10"/>
      <c r="AI16123" s="10"/>
    </row>
    <row r="16124" spans="28:35" ht="15" hidden="1" customHeight="1">
      <c r="AB16124" s="9"/>
      <c r="AC16124" s="9"/>
      <c r="AD16124" s="9"/>
      <c r="AF16124" s="10"/>
      <c r="AG16124" s="10"/>
      <c r="AH16124" s="10"/>
      <c r="AI16124" s="10"/>
    </row>
    <row r="16125" spans="28:35" ht="15" hidden="1" customHeight="1">
      <c r="AB16125" s="9"/>
      <c r="AC16125" s="9"/>
      <c r="AD16125" s="9"/>
      <c r="AF16125" s="10"/>
      <c r="AG16125" s="10"/>
      <c r="AH16125" s="10"/>
      <c r="AI16125" s="10"/>
    </row>
    <row r="16126" spans="28:35" ht="15" hidden="1" customHeight="1">
      <c r="AB16126" s="9"/>
      <c r="AC16126" s="9"/>
      <c r="AD16126" s="9"/>
      <c r="AF16126" s="10"/>
      <c r="AG16126" s="10"/>
      <c r="AH16126" s="10"/>
      <c r="AI16126" s="10"/>
    </row>
    <row r="16127" spans="28:35" ht="15" hidden="1" customHeight="1">
      <c r="AB16127" s="9"/>
      <c r="AC16127" s="9"/>
      <c r="AD16127" s="9"/>
      <c r="AF16127" s="10"/>
      <c r="AG16127" s="10"/>
      <c r="AH16127" s="10"/>
      <c r="AI16127" s="10"/>
    </row>
    <row r="16128" spans="28:35" ht="15" hidden="1" customHeight="1">
      <c r="AB16128" s="9"/>
      <c r="AC16128" s="9"/>
      <c r="AD16128" s="9"/>
      <c r="AF16128" s="10"/>
      <c r="AG16128" s="10"/>
      <c r="AH16128" s="10"/>
      <c r="AI16128" s="10"/>
    </row>
    <row r="16129" spans="28:35" ht="15" hidden="1" customHeight="1">
      <c r="AB16129" s="9"/>
      <c r="AC16129" s="9"/>
      <c r="AD16129" s="9"/>
      <c r="AF16129" s="10"/>
      <c r="AG16129" s="10"/>
      <c r="AH16129" s="10"/>
      <c r="AI16129" s="10"/>
    </row>
    <row r="16130" spans="28:35" ht="15" hidden="1" customHeight="1">
      <c r="AB16130" s="9"/>
      <c r="AC16130" s="9"/>
      <c r="AD16130" s="9"/>
      <c r="AF16130" s="10"/>
      <c r="AG16130" s="10"/>
      <c r="AH16130" s="10"/>
      <c r="AI16130" s="10"/>
    </row>
    <row r="16131" spans="28:35" ht="15" hidden="1" customHeight="1">
      <c r="AB16131" s="9"/>
      <c r="AC16131" s="9"/>
      <c r="AD16131" s="9"/>
      <c r="AF16131" s="10"/>
      <c r="AG16131" s="10"/>
      <c r="AH16131" s="10"/>
      <c r="AI16131" s="10"/>
    </row>
    <row r="16132" spans="28:35" ht="15" hidden="1" customHeight="1">
      <c r="AB16132" s="9"/>
      <c r="AC16132" s="9"/>
      <c r="AD16132" s="9"/>
      <c r="AF16132" s="10"/>
      <c r="AG16132" s="10"/>
      <c r="AH16132" s="10"/>
      <c r="AI16132" s="10"/>
    </row>
    <row r="16133" spans="28:35" ht="15" hidden="1" customHeight="1">
      <c r="AB16133" s="9"/>
      <c r="AC16133" s="9"/>
      <c r="AD16133" s="9"/>
      <c r="AF16133" s="10"/>
      <c r="AG16133" s="10"/>
      <c r="AH16133" s="10"/>
      <c r="AI16133" s="10"/>
    </row>
    <row r="16134" spans="28:35" ht="15" hidden="1" customHeight="1">
      <c r="AB16134" s="9"/>
      <c r="AC16134" s="9"/>
      <c r="AD16134" s="9"/>
      <c r="AF16134" s="10"/>
      <c r="AG16134" s="10"/>
      <c r="AH16134" s="10"/>
      <c r="AI16134" s="10"/>
    </row>
    <row r="16135" spans="28:35" ht="15" hidden="1" customHeight="1">
      <c r="AB16135" s="9"/>
      <c r="AC16135" s="9"/>
      <c r="AD16135" s="9"/>
      <c r="AF16135" s="10"/>
      <c r="AG16135" s="10"/>
      <c r="AH16135" s="10"/>
      <c r="AI16135" s="10"/>
    </row>
    <row r="16136" spans="28:35" ht="15" hidden="1" customHeight="1">
      <c r="AB16136" s="9"/>
      <c r="AC16136" s="9"/>
      <c r="AD16136" s="9"/>
      <c r="AF16136" s="10"/>
      <c r="AG16136" s="10"/>
      <c r="AH16136" s="10"/>
      <c r="AI16136" s="10"/>
    </row>
    <row r="16137" spans="28:35" ht="15" hidden="1" customHeight="1">
      <c r="AB16137" s="9"/>
      <c r="AC16137" s="9"/>
      <c r="AD16137" s="9"/>
      <c r="AF16137" s="10"/>
      <c r="AG16137" s="10"/>
      <c r="AH16137" s="10"/>
      <c r="AI16137" s="10"/>
    </row>
    <row r="16138" spans="28:35" ht="15" hidden="1" customHeight="1">
      <c r="AB16138" s="9"/>
      <c r="AC16138" s="9"/>
      <c r="AD16138" s="9"/>
      <c r="AF16138" s="10"/>
      <c r="AG16138" s="10"/>
      <c r="AH16138" s="10"/>
      <c r="AI16138" s="10"/>
    </row>
    <row r="16139" spans="28:35" ht="15" hidden="1" customHeight="1">
      <c r="AB16139" s="9"/>
      <c r="AC16139" s="9"/>
      <c r="AD16139" s="9"/>
      <c r="AF16139" s="10"/>
      <c r="AG16139" s="10"/>
      <c r="AH16139" s="10"/>
      <c r="AI16139" s="10"/>
    </row>
    <row r="16140" spans="28:35" ht="15" hidden="1" customHeight="1">
      <c r="AB16140" s="9"/>
      <c r="AC16140" s="9"/>
      <c r="AD16140" s="9"/>
      <c r="AF16140" s="10"/>
      <c r="AG16140" s="10"/>
      <c r="AH16140" s="10"/>
      <c r="AI16140" s="10"/>
    </row>
    <row r="16141" spans="28:35" ht="15" hidden="1" customHeight="1">
      <c r="AB16141" s="9"/>
      <c r="AC16141" s="9"/>
      <c r="AD16141" s="9"/>
      <c r="AF16141" s="10"/>
      <c r="AG16141" s="10"/>
      <c r="AH16141" s="10"/>
      <c r="AI16141" s="10"/>
    </row>
    <row r="16142" spans="28:35" ht="15" hidden="1" customHeight="1">
      <c r="AB16142" s="9"/>
      <c r="AC16142" s="9"/>
      <c r="AD16142" s="9"/>
      <c r="AF16142" s="10"/>
      <c r="AG16142" s="10"/>
      <c r="AH16142" s="10"/>
      <c r="AI16142" s="10"/>
    </row>
    <row r="16143" spans="28:35" ht="15" hidden="1" customHeight="1">
      <c r="AB16143" s="9"/>
      <c r="AC16143" s="9"/>
      <c r="AD16143" s="9"/>
      <c r="AF16143" s="10"/>
      <c r="AG16143" s="10"/>
      <c r="AH16143" s="10"/>
      <c r="AI16143" s="10"/>
    </row>
    <row r="16144" spans="28:35" ht="15" hidden="1" customHeight="1">
      <c r="AB16144" s="9"/>
      <c r="AC16144" s="9"/>
      <c r="AD16144" s="9"/>
      <c r="AF16144" s="10"/>
      <c r="AG16144" s="10"/>
      <c r="AH16144" s="10"/>
      <c r="AI16144" s="10"/>
    </row>
    <row r="16145" spans="28:35" ht="15" hidden="1" customHeight="1">
      <c r="AB16145" s="9"/>
      <c r="AC16145" s="9"/>
      <c r="AD16145" s="9"/>
      <c r="AF16145" s="10"/>
      <c r="AG16145" s="10"/>
      <c r="AH16145" s="10"/>
      <c r="AI16145" s="10"/>
    </row>
    <row r="16146" spans="28:35" ht="15" hidden="1" customHeight="1">
      <c r="AB16146" s="9"/>
      <c r="AC16146" s="9"/>
      <c r="AD16146" s="9"/>
      <c r="AF16146" s="10"/>
      <c r="AG16146" s="10"/>
      <c r="AH16146" s="10"/>
      <c r="AI16146" s="10"/>
    </row>
    <row r="16147" spans="28:35" ht="15" hidden="1" customHeight="1">
      <c r="AB16147" s="9"/>
      <c r="AC16147" s="9"/>
      <c r="AD16147" s="9"/>
      <c r="AF16147" s="10"/>
      <c r="AG16147" s="10"/>
      <c r="AH16147" s="10"/>
      <c r="AI16147" s="10"/>
    </row>
    <row r="16148" spans="28:35" ht="15" hidden="1" customHeight="1">
      <c r="AB16148" s="9"/>
      <c r="AC16148" s="9"/>
      <c r="AD16148" s="9"/>
      <c r="AF16148" s="10"/>
      <c r="AG16148" s="10"/>
      <c r="AH16148" s="10"/>
      <c r="AI16148" s="10"/>
    </row>
    <row r="16149" spans="28:35" ht="15" hidden="1" customHeight="1">
      <c r="AB16149" s="9"/>
      <c r="AC16149" s="9"/>
      <c r="AD16149" s="9"/>
      <c r="AF16149" s="10"/>
      <c r="AG16149" s="10"/>
      <c r="AH16149" s="10"/>
      <c r="AI16149" s="10"/>
    </row>
    <row r="16150" spans="28:35" ht="15" hidden="1" customHeight="1">
      <c r="AB16150" s="9"/>
      <c r="AC16150" s="9"/>
      <c r="AD16150" s="9"/>
      <c r="AF16150" s="10"/>
      <c r="AG16150" s="10"/>
      <c r="AH16150" s="10"/>
      <c r="AI16150" s="10"/>
    </row>
    <row r="16151" spans="28:35" ht="15" hidden="1" customHeight="1">
      <c r="AB16151" s="9"/>
      <c r="AC16151" s="9"/>
      <c r="AD16151" s="9"/>
      <c r="AF16151" s="10"/>
      <c r="AG16151" s="10"/>
      <c r="AH16151" s="10"/>
      <c r="AI16151" s="10"/>
    </row>
    <row r="16152" spans="28:35" ht="15" hidden="1" customHeight="1">
      <c r="AB16152" s="9"/>
      <c r="AC16152" s="9"/>
      <c r="AD16152" s="9"/>
      <c r="AF16152" s="10"/>
      <c r="AG16152" s="10"/>
      <c r="AH16152" s="10"/>
      <c r="AI16152" s="10"/>
    </row>
    <row r="16153" spans="28:35" ht="15" hidden="1" customHeight="1">
      <c r="AB16153" s="9"/>
      <c r="AC16153" s="9"/>
      <c r="AD16153" s="9"/>
      <c r="AF16153" s="10"/>
      <c r="AG16153" s="10"/>
      <c r="AH16153" s="10"/>
      <c r="AI16153" s="10"/>
    </row>
    <row r="16154" spans="28:35" ht="15" hidden="1" customHeight="1">
      <c r="AB16154" s="9"/>
      <c r="AC16154" s="9"/>
      <c r="AD16154" s="9"/>
      <c r="AF16154" s="10"/>
      <c r="AG16154" s="10"/>
      <c r="AH16154" s="10"/>
      <c r="AI16154" s="10"/>
    </row>
    <row r="16155" spans="28:35" ht="15" hidden="1" customHeight="1">
      <c r="AB16155" s="9"/>
      <c r="AC16155" s="9"/>
      <c r="AD16155" s="9"/>
      <c r="AF16155" s="10"/>
      <c r="AG16155" s="10"/>
      <c r="AH16155" s="10"/>
      <c r="AI16155" s="10"/>
    </row>
    <row r="16156" spans="28:35" ht="15" hidden="1" customHeight="1">
      <c r="AB16156" s="9"/>
      <c r="AC16156" s="9"/>
      <c r="AD16156" s="9"/>
      <c r="AF16156" s="10"/>
      <c r="AG16156" s="10"/>
      <c r="AH16156" s="10"/>
      <c r="AI16156" s="10"/>
    </row>
    <row r="16157" spans="28:35" ht="15" hidden="1" customHeight="1">
      <c r="AB16157" s="9"/>
      <c r="AC16157" s="9"/>
      <c r="AD16157" s="9"/>
      <c r="AF16157" s="10"/>
      <c r="AG16157" s="10"/>
      <c r="AH16157" s="10"/>
      <c r="AI16157" s="10"/>
    </row>
    <row r="16158" spans="28:35" ht="15" hidden="1" customHeight="1">
      <c r="AB16158" s="9"/>
      <c r="AC16158" s="9"/>
      <c r="AD16158" s="9"/>
      <c r="AF16158" s="10"/>
      <c r="AG16158" s="10"/>
      <c r="AH16158" s="10"/>
      <c r="AI16158" s="10"/>
    </row>
    <row r="16159" spans="28:35" ht="15" hidden="1" customHeight="1">
      <c r="AB16159" s="9"/>
      <c r="AC16159" s="9"/>
      <c r="AD16159" s="9"/>
      <c r="AF16159" s="10"/>
      <c r="AG16159" s="10"/>
      <c r="AH16159" s="10"/>
      <c r="AI16159" s="10"/>
    </row>
    <row r="16160" spans="28:35" ht="15" hidden="1" customHeight="1">
      <c r="AB16160" s="9"/>
      <c r="AC16160" s="9"/>
      <c r="AD16160" s="9"/>
      <c r="AF16160" s="10"/>
      <c r="AG16160" s="10"/>
      <c r="AH16160" s="10"/>
      <c r="AI16160" s="10"/>
    </row>
    <row r="16161" spans="28:35" ht="15" hidden="1" customHeight="1">
      <c r="AB16161" s="9"/>
      <c r="AC16161" s="9"/>
      <c r="AD16161" s="9"/>
      <c r="AF16161" s="10"/>
      <c r="AG16161" s="10"/>
      <c r="AH16161" s="10"/>
      <c r="AI16161" s="10"/>
    </row>
    <row r="16162" spans="28:35" ht="15" hidden="1" customHeight="1">
      <c r="AB16162" s="9"/>
      <c r="AC16162" s="9"/>
      <c r="AD16162" s="9"/>
      <c r="AF16162" s="10"/>
      <c r="AG16162" s="10"/>
      <c r="AH16162" s="10"/>
      <c r="AI16162" s="10"/>
    </row>
    <row r="16163" spans="28:35" ht="15" hidden="1" customHeight="1">
      <c r="AB16163" s="9"/>
      <c r="AC16163" s="9"/>
      <c r="AD16163" s="9"/>
      <c r="AF16163" s="10"/>
      <c r="AG16163" s="10"/>
      <c r="AH16163" s="10"/>
      <c r="AI16163" s="10"/>
    </row>
    <row r="16164" spans="28:35" ht="15" hidden="1" customHeight="1">
      <c r="AB16164" s="9"/>
      <c r="AC16164" s="9"/>
      <c r="AD16164" s="9"/>
      <c r="AF16164" s="10"/>
      <c r="AG16164" s="10"/>
      <c r="AH16164" s="10"/>
      <c r="AI16164" s="10"/>
    </row>
    <row r="16165" spans="28:35" ht="15" hidden="1" customHeight="1">
      <c r="AB16165" s="9"/>
      <c r="AC16165" s="9"/>
      <c r="AD16165" s="9"/>
      <c r="AF16165" s="10"/>
      <c r="AG16165" s="10"/>
      <c r="AH16165" s="10"/>
      <c r="AI16165" s="10"/>
    </row>
    <row r="16166" spans="28:35" ht="15" hidden="1" customHeight="1">
      <c r="AB16166" s="9"/>
      <c r="AC16166" s="9"/>
      <c r="AD16166" s="9"/>
      <c r="AF16166" s="10"/>
      <c r="AG16166" s="10"/>
      <c r="AH16166" s="10"/>
      <c r="AI16166" s="10"/>
    </row>
    <row r="16167" spans="28:35" ht="15" hidden="1" customHeight="1">
      <c r="AB16167" s="9"/>
      <c r="AC16167" s="9"/>
      <c r="AD16167" s="9"/>
      <c r="AF16167" s="10"/>
      <c r="AG16167" s="10"/>
      <c r="AH16167" s="10"/>
      <c r="AI16167" s="10"/>
    </row>
    <row r="16168" spans="28:35" ht="15" hidden="1" customHeight="1">
      <c r="AB16168" s="9"/>
      <c r="AC16168" s="9"/>
      <c r="AD16168" s="9"/>
      <c r="AF16168" s="10"/>
      <c r="AG16168" s="10"/>
      <c r="AH16168" s="10"/>
      <c r="AI16168" s="10"/>
    </row>
    <row r="16169" spans="28:35" ht="15" hidden="1" customHeight="1">
      <c r="AB16169" s="9"/>
      <c r="AC16169" s="9"/>
      <c r="AD16169" s="9"/>
      <c r="AF16169" s="10"/>
      <c r="AG16169" s="10"/>
      <c r="AH16169" s="10"/>
      <c r="AI16169" s="10"/>
    </row>
    <row r="16170" spans="28:35" ht="15" hidden="1" customHeight="1">
      <c r="AB16170" s="9"/>
      <c r="AC16170" s="9"/>
      <c r="AD16170" s="9"/>
      <c r="AF16170" s="10"/>
      <c r="AG16170" s="10"/>
      <c r="AH16170" s="10"/>
      <c r="AI16170" s="10"/>
    </row>
    <row r="16171" spans="28:35" ht="15" hidden="1" customHeight="1">
      <c r="AB16171" s="9"/>
      <c r="AC16171" s="9"/>
      <c r="AD16171" s="9"/>
      <c r="AF16171" s="10"/>
      <c r="AG16171" s="10"/>
      <c r="AH16171" s="10"/>
      <c r="AI16171" s="10"/>
    </row>
    <row r="16172" spans="28:35" ht="15" hidden="1" customHeight="1">
      <c r="AB16172" s="9"/>
      <c r="AC16172" s="9"/>
      <c r="AD16172" s="9"/>
      <c r="AF16172" s="10"/>
      <c r="AG16172" s="10"/>
      <c r="AH16172" s="10"/>
      <c r="AI16172" s="10"/>
    </row>
    <row r="16173" spans="28:35" ht="15" hidden="1" customHeight="1">
      <c r="AB16173" s="9"/>
      <c r="AC16173" s="9"/>
      <c r="AD16173" s="9"/>
      <c r="AF16173" s="10"/>
      <c r="AG16173" s="10"/>
      <c r="AH16173" s="10"/>
      <c r="AI16173" s="10"/>
    </row>
    <row r="16174" spans="28:35" ht="15" hidden="1" customHeight="1">
      <c r="AB16174" s="9"/>
      <c r="AC16174" s="9"/>
      <c r="AD16174" s="9"/>
      <c r="AF16174" s="10"/>
      <c r="AG16174" s="10"/>
      <c r="AH16174" s="10"/>
      <c r="AI16174" s="10"/>
    </row>
    <row r="16175" spans="28:35" ht="15" hidden="1" customHeight="1">
      <c r="AB16175" s="9"/>
      <c r="AC16175" s="9"/>
      <c r="AD16175" s="9"/>
      <c r="AF16175" s="10"/>
      <c r="AG16175" s="10"/>
      <c r="AH16175" s="10"/>
      <c r="AI16175" s="10"/>
    </row>
    <row r="16176" spans="28:35" ht="15" hidden="1" customHeight="1">
      <c r="AB16176" s="9"/>
      <c r="AC16176" s="9"/>
      <c r="AD16176" s="9"/>
      <c r="AF16176" s="10"/>
      <c r="AG16176" s="10"/>
      <c r="AH16176" s="10"/>
      <c r="AI16176" s="10"/>
    </row>
    <row r="16177" spans="28:35" ht="15" hidden="1" customHeight="1">
      <c r="AB16177" s="9"/>
      <c r="AC16177" s="9"/>
      <c r="AD16177" s="9"/>
      <c r="AF16177" s="10"/>
      <c r="AG16177" s="10"/>
      <c r="AH16177" s="10"/>
      <c r="AI16177" s="10"/>
    </row>
    <row r="16178" spans="28:35" ht="15" hidden="1" customHeight="1">
      <c r="AB16178" s="9"/>
      <c r="AC16178" s="9"/>
      <c r="AD16178" s="9"/>
      <c r="AF16178" s="10"/>
      <c r="AG16178" s="10"/>
      <c r="AH16178" s="10"/>
      <c r="AI16178" s="10"/>
    </row>
    <row r="16179" spans="28:35" ht="15" hidden="1" customHeight="1">
      <c r="AB16179" s="9"/>
      <c r="AC16179" s="9"/>
      <c r="AD16179" s="9"/>
      <c r="AF16179" s="10"/>
      <c r="AG16179" s="10"/>
      <c r="AH16179" s="10"/>
      <c r="AI16179" s="10"/>
    </row>
    <row r="16180" spans="28:35" ht="15" hidden="1" customHeight="1">
      <c r="AB16180" s="9"/>
      <c r="AC16180" s="9"/>
      <c r="AD16180" s="9"/>
      <c r="AF16180" s="10"/>
      <c r="AG16180" s="10"/>
      <c r="AH16180" s="10"/>
      <c r="AI16180" s="10"/>
    </row>
    <row r="16181" spans="28:35" ht="15" hidden="1" customHeight="1">
      <c r="AB16181" s="9"/>
      <c r="AC16181" s="9"/>
      <c r="AD16181" s="9"/>
      <c r="AF16181" s="10"/>
      <c r="AG16181" s="10"/>
      <c r="AH16181" s="10"/>
      <c r="AI16181" s="10"/>
    </row>
    <row r="16182" spans="28:35" ht="15" hidden="1" customHeight="1">
      <c r="AB16182" s="9"/>
      <c r="AC16182" s="9"/>
      <c r="AD16182" s="9"/>
      <c r="AF16182" s="10"/>
      <c r="AG16182" s="10"/>
      <c r="AH16182" s="10"/>
      <c r="AI16182" s="10"/>
    </row>
    <row r="16183" spans="28:35" ht="15" hidden="1" customHeight="1">
      <c r="AB16183" s="9"/>
      <c r="AC16183" s="9"/>
      <c r="AD16183" s="9"/>
      <c r="AF16183" s="10"/>
      <c r="AG16183" s="10"/>
      <c r="AH16183" s="10"/>
      <c r="AI16183" s="10"/>
    </row>
    <row r="16184" spans="28:35" ht="15" hidden="1" customHeight="1">
      <c r="AB16184" s="9"/>
      <c r="AC16184" s="9"/>
      <c r="AD16184" s="9"/>
      <c r="AF16184" s="10"/>
      <c r="AG16184" s="10"/>
      <c r="AH16184" s="10"/>
      <c r="AI16184" s="10"/>
    </row>
    <row r="16185" spans="28:35" ht="15" hidden="1" customHeight="1">
      <c r="AB16185" s="9"/>
      <c r="AC16185" s="9"/>
      <c r="AD16185" s="9"/>
      <c r="AF16185" s="10"/>
      <c r="AG16185" s="10"/>
      <c r="AH16185" s="10"/>
      <c r="AI16185" s="10"/>
    </row>
    <row r="16186" spans="28:35" ht="15" hidden="1" customHeight="1">
      <c r="AB16186" s="9"/>
      <c r="AC16186" s="9"/>
      <c r="AD16186" s="9"/>
      <c r="AF16186" s="10"/>
      <c r="AG16186" s="10"/>
      <c r="AH16186" s="10"/>
      <c r="AI16186" s="10"/>
    </row>
    <row r="16187" spans="28:35" ht="15" hidden="1" customHeight="1">
      <c r="AB16187" s="9"/>
      <c r="AC16187" s="9"/>
      <c r="AD16187" s="9"/>
      <c r="AF16187" s="10"/>
      <c r="AG16187" s="10"/>
      <c r="AH16187" s="10"/>
      <c r="AI16187" s="10"/>
    </row>
    <row r="16188" spans="28:35" ht="15" hidden="1" customHeight="1">
      <c r="AB16188" s="9"/>
      <c r="AC16188" s="9"/>
      <c r="AD16188" s="9"/>
      <c r="AF16188" s="10"/>
      <c r="AG16188" s="10"/>
      <c r="AH16188" s="10"/>
      <c r="AI16188" s="10"/>
    </row>
    <row r="16189" spans="28:35" ht="15" hidden="1" customHeight="1">
      <c r="AB16189" s="9"/>
      <c r="AC16189" s="9"/>
      <c r="AD16189" s="9"/>
      <c r="AF16189" s="10"/>
      <c r="AG16189" s="10"/>
      <c r="AH16189" s="10"/>
      <c r="AI16189" s="10"/>
    </row>
    <row r="16190" spans="28:35" ht="15" hidden="1" customHeight="1">
      <c r="AB16190" s="9"/>
      <c r="AC16190" s="9"/>
      <c r="AD16190" s="9"/>
      <c r="AF16190" s="10"/>
      <c r="AG16190" s="10"/>
      <c r="AH16190" s="10"/>
      <c r="AI16190" s="10"/>
    </row>
    <row r="16191" spans="28:35" ht="15" hidden="1" customHeight="1">
      <c r="AB16191" s="9"/>
      <c r="AC16191" s="9"/>
      <c r="AD16191" s="9"/>
      <c r="AF16191" s="10"/>
      <c r="AG16191" s="10"/>
      <c r="AH16191" s="10"/>
      <c r="AI16191" s="10"/>
    </row>
    <row r="16192" spans="28:35" ht="15" hidden="1" customHeight="1">
      <c r="AB16192" s="9"/>
      <c r="AC16192" s="9"/>
      <c r="AD16192" s="9"/>
      <c r="AF16192" s="10"/>
      <c r="AG16192" s="10"/>
      <c r="AH16192" s="10"/>
      <c r="AI16192" s="10"/>
    </row>
    <row r="16193" spans="28:35" ht="15" hidden="1" customHeight="1">
      <c r="AB16193" s="9"/>
      <c r="AC16193" s="9"/>
      <c r="AD16193" s="9"/>
      <c r="AF16193" s="10"/>
      <c r="AG16193" s="10"/>
      <c r="AH16193" s="10"/>
      <c r="AI16193" s="10"/>
    </row>
    <row r="16194" spans="28:35" ht="15" hidden="1" customHeight="1">
      <c r="AB16194" s="9"/>
      <c r="AC16194" s="9"/>
      <c r="AD16194" s="9"/>
      <c r="AF16194" s="10"/>
      <c r="AG16194" s="10"/>
      <c r="AH16194" s="10"/>
      <c r="AI16194" s="10"/>
    </row>
    <row r="16195" spans="28:35" ht="15" hidden="1" customHeight="1">
      <c r="AB16195" s="9"/>
      <c r="AC16195" s="9"/>
      <c r="AD16195" s="9"/>
      <c r="AF16195" s="10"/>
      <c r="AG16195" s="10"/>
      <c r="AH16195" s="10"/>
      <c r="AI16195" s="10"/>
    </row>
    <row r="16196" spans="28:35" ht="15" hidden="1" customHeight="1">
      <c r="AB16196" s="9"/>
      <c r="AC16196" s="9"/>
      <c r="AD16196" s="9"/>
      <c r="AF16196" s="10"/>
      <c r="AG16196" s="10"/>
      <c r="AH16196" s="10"/>
      <c r="AI16196" s="10"/>
    </row>
    <row r="16197" spans="28:35" ht="15" hidden="1" customHeight="1">
      <c r="AB16197" s="9"/>
      <c r="AC16197" s="9"/>
      <c r="AD16197" s="9"/>
      <c r="AF16197" s="10"/>
      <c r="AG16197" s="10"/>
      <c r="AH16197" s="10"/>
      <c r="AI16197" s="10"/>
    </row>
    <row r="16198" spans="28:35" ht="15" hidden="1" customHeight="1">
      <c r="AB16198" s="9"/>
      <c r="AC16198" s="9"/>
      <c r="AD16198" s="9"/>
      <c r="AF16198" s="10"/>
      <c r="AG16198" s="10"/>
      <c r="AH16198" s="10"/>
      <c r="AI16198" s="10"/>
    </row>
    <row r="16199" spans="28:35" ht="15" hidden="1" customHeight="1">
      <c r="AB16199" s="9"/>
      <c r="AC16199" s="9"/>
      <c r="AD16199" s="9"/>
      <c r="AF16199" s="10"/>
      <c r="AG16199" s="10"/>
      <c r="AH16199" s="10"/>
      <c r="AI16199" s="10"/>
    </row>
    <row r="16200" spans="28:35" ht="15" hidden="1" customHeight="1">
      <c r="AB16200" s="9"/>
      <c r="AC16200" s="9"/>
      <c r="AD16200" s="9"/>
      <c r="AF16200" s="10"/>
      <c r="AG16200" s="10"/>
      <c r="AH16200" s="10"/>
      <c r="AI16200" s="10"/>
    </row>
    <row r="16201" spans="28:35" ht="15" hidden="1" customHeight="1">
      <c r="AB16201" s="9"/>
      <c r="AC16201" s="9"/>
      <c r="AD16201" s="9"/>
      <c r="AF16201" s="10"/>
      <c r="AG16201" s="10"/>
      <c r="AH16201" s="10"/>
      <c r="AI16201" s="10"/>
    </row>
    <row r="16202" spans="28:35" ht="15" hidden="1" customHeight="1">
      <c r="AB16202" s="9"/>
      <c r="AC16202" s="9"/>
      <c r="AD16202" s="9"/>
      <c r="AF16202" s="10"/>
      <c r="AG16202" s="10"/>
      <c r="AH16202" s="10"/>
      <c r="AI16202" s="10"/>
    </row>
    <row r="16203" spans="28:35" ht="15" hidden="1" customHeight="1">
      <c r="AB16203" s="9"/>
      <c r="AC16203" s="9"/>
      <c r="AD16203" s="9"/>
      <c r="AF16203" s="10"/>
      <c r="AG16203" s="10"/>
      <c r="AH16203" s="10"/>
      <c r="AI16203" s="10"/>
    </row>
    <row r="16204" spans="28:35" ht="15" hidden="1" customHeight="1">
      <c r="AB16204" s="9"/>
      <c r="AC16204" s="9"/>
      <c r="AD16204" s="9"/>
      <c r="AF16204" s="10"/>
      <c r="AG16204" s="10"/>
      <c r="AH16204" s="10"/>
      <c r="AI16204" s="10"/>
    </row>
    <row r="16205" spans="28:35" ht="15" hidden="1" customHeight="1">
      <c r="AB16205" s="9"/>
      <c r="AC16205" s="9"/>
      <c r="AD16205" s="9"/>
      <c r="AF16205" s="10"/>
      <c r="AG16205" s="10"/>
      <c r="AH16205" s="10"/>
      <c r="AI16205" s="10"/>
    </row>
    <row r="16206" spans="28:35" ht="15" hidden="1" customHeight="1">
      <c r="AB16206" s="9"/>
      <c r="AC16206" s="9"/>
      <c r="AD16206" s="9"/>
      <c r="AF16206" s="10"/>
      <c r="AG16206" s="10"/>
      <c r="AH16206" s="10"/>
      <c r="AI16206" s="10"/>
    </row>
    <row r="16207" spans="28:35" ht="15" hidden="1" customHeight="1">
      <c r="AB16207" s="9"/>
      <c r="AC16207" s="9"/>
      <c r="AD16207" s="9"/>
      <c r="AF16207" s="10"/>
      <c r="AG16207" s="10"/>
      <c r="AH16207" s="10"/>
      <c r="AI16207" s="10"/>
    </row>
    <row r="16208" spans="28:35" ht="15" hidden="1" customHeight="1">
      <c r="AB16208" s="9"/>
      <c r="AC16208" s="9"/>
      <c r="AD16208" s="9"/>
      <c r="AF16208" s="10"/>
      <c r="AG16208" s="10"/>
      <c r="AH16208" s="10"/>
      <c r="AI16208" s="10"/>
    </row>
    <row r="16209" spans="28:35" ht="15" hidden="1" customHeight="1">
      <c r="AB16209" s="9"/>
      <c r="AC16209" s="9"/>
      <c r="AD16209" s="9"/>
      <c r="AF16209" s="10"/>
      <c r="AG16209" s="10"/>
      <c r="AH16209" s="10"/>
      <c r="AI16209" s="10"/>
    </row>
    <row r="16210" spans="28:35" ht="15" hidden="1" customHeight="1">
      <c r="AB16210" s="9"/>
      <c r="AC16210" s="9"/>
      <c r="AD16210" s="9"/>
      <c r="AF16210" s="10"/>
      <c r="AG16210" s="10"/>
      <c r="AH16210" s="10"/>
      <c r="AI16210" s="10"/>
    </row>
    <row r="16211" spans="28:35" ht="15" hidden="1" customHeight="1">
      <c r="AB16211" s="9"/>
      <c r="AC16211" s="9"/>
      <c r="AD16211" s="9"/>
      <c r="AF16211" s="10"/>
      <c r="AG16211" s="10"/>
      <c r="AH16211" s="10"/>
      <c r="AI16211" s="10"/>
    </row>
    <row r="16212" spans="28:35" ht="15" hidden="1" customHeight="1">
      <c r="AB16212" s="9"/>
      <c r="AC16212" s="9"/>
      <c r="AD16212" s="9"/>
      <c r="AF16212" s="10"/>
      <c r="AG16212" s="10"/>
      <c r="AH16212" s="10"/>
      <c r="AI16212" s="10"/>
    </row>
    <row r="16213" spans="28:35" ht="15" hidden="1" customHeight="1">
      <c r="AB16213" s="9"/>
      <c r="AC16213" s="9"/>
      <c r="AD16213" s="9"/>
      <c r="AF16213" s="10"/>
      <c r="AG16213" s="10"/>
      <c r="AH16213" s="10"/>
      <c r="AI16213" s="10"/>
    </row>
    <row r="16214" spans="28:35" ht="15" hidden="1" customHeight="1">
      <c r="AB16214" s="9"/>
      <c r="AC16214" s="9"/>
      <c r="AD16214" s="9"/>
      <c r="AF16214" s="10"/>
      <c r="AG16214" s="10"/>
      <c r="AH16214" s="10"/>
      <c r="AI16214" s="10"/>
    </row>
    <row r="16215" spans="28:35" ht="15" hidden="1" customHeight="1">
      <c r="AB16215" s="9"/>
      <c r="AC16215" s="9"/>
      <c r="AD16215" s="9"/>
      <c r="AF16215" s="10"/>
      <c r="AG16215" s="10"/>
      <c r="AH16215" s="10"/>
      <c r="AI16215" s="10"/>
    </row>
    <row r="16216" spans="28:35" ht="15" hidden="1" customHeight="1">
      <c r="AB16216" s="9"/>
      <c r="AC16216" s="9"/>
      <c r="AD16216" s="9"/>
      <c r="AF16216" s="10"/>
      <c r="AG16216" s="10"/>
      <c r="AH16216" s="10"/>
      <c r="AI16216" s="10"/>
    </row>
    <row r="16217" spans="28:35" ht="15" hidden="1" customHeight="1">
      <c r="AB16217" s="9"/>
      <c r="AC16217" s="9"/>
      <c r="AD16217" s="9"/>
      <c r="AF16217" s="10"/>
      <c r="AG16217" s="10"/>
      <c r="AH16217" s="10"/>
      <c r="AI16217" s="10"/>
    </row>
    <row r="16218" spans="28:35" ht="15" hidden="1" customHeight="1">
      <c r="AB16218" s="9"/>
      <c r="AC16218" s="9"/>
      <c r="AD16218" s="9"/>
      <c r="AF16218" s="10"/>
      <c r="AG16218" s="10"/>
      <c r="AH16218" s="10"/>
      <c r="AI16218" s="10"/>
    </row>
    <row r="16219" spans="28:35" ht="15" hidden="1" customHeight="1">
      <c r="AB16219" s="9"/>
      <c r="AC16219" s="9"/>
      <c r="AD16219" s="9"/>
      <c r="AF16219" s="10"/>
      <c r="AG16219" s="10"/>
      <c r="AH16219" s="10"/>
      <c r="AI16219" s="10"/>
    </row>
    <row r="16220" spans="28:35" ht="15" hidden="1" customHeight="1">
      <c r="AB16220" s="9"/>
      <c r="AC16220" s="9"/>
      <c r="AD16220" s="9"/>
      <c r="AF16220" s="10"/>
      <c r="AG16220" s="10"/>
      <c r="AH16220" s="10"/>
      <c r="AI16220" s="10"/>
    </row>
    <row r="16221" spans="28:35" ht="15" hidden="1" customHeight="1">
      <c r="AB16221" s="9"/>
      <c r="AC16221" s="9"/>
      <c r="AD16221" s="9"/>
      <c r="AF16221" s="10"/>
      <c r="AG16221" s="10"/>
      <c r="AH16221" s="10"/>
      <c r="AI16221" s="10"/>
    </row>
    <row r="16222" spans="28:35" ht="15" hidden="1" customHeight="1">
      <c r="AB16222" s="9"/>
      <c r="AC16222" s="9"/>
      <c r="AD16222" s="9"/>
      <c r="AF16222" s="10"/>
      <c r="AG16222" s="10"/>
      <c r="AH16222" s="10"/>
      <c r="AI16222" s="10"/>
    </row>
    <row r="16223" spans="28:35" ht="15" hidden="1" customHeight="1">
      <c r="AB16223" s="9"/>
      <c r="AC16223" s="9"/>
      <c r="AD16223" s="9"/>
      <c r="AF16223" s="10"/>
      <c r="AG16223" s="10"/>
      <c r="AH16223" s="10"/>
      <c r="AI16223" s="10"/>
    </row>
    <row r="16224" spans="28:35" ht="15" hidden="1" customHeight="1">
      <c r="AB16224" s="9"/>
      <c r="AC16224" s="9"/>
      <c r="AD16224" s="9"/>
      <c r="AF16224" s="10"/>
      <c r="AG16224" s="10"/>
      <c r="AH16224" s="10"/>
      <c r="AI16224" s="10"/>
    </row>
    <row r="16225" spans="28:35" ht="15" hidden="1" customHeight="1">
      <c r="AB16225" s="9"/>
      <c r="AC16225" s="9"/>
      <c r="AD16225" s="9"/>
      <c r="AF16225" s="10"/>
      <c r="AG16225" s="10"/>
      <c r="AH16225" s="10"/>
      <c r="AI16225" s="10"/>
    </row>
    <row r="16226" spans="28:35" ht="15" hidden="1" customHeight="1">
      <c r="AB16226" s="9"/>
      <c r="AC16226" s="9"/>
      <c r="AD16226" s="9"/>
      <c r="AF16226" s="10"/>
      <c r="AG16226" s="10"/>
      <c r="AH16226" s="10"/>
      <c r="AI16226" s="10"/>
    </row>
    <row r="16227" spans="28:35" ht="15" hidden="1" customHeight="1">
      <c r="AB16227" s="9"/>
      <c r="AC16227" s="9"/>
      <c r="AD16227" s="9"/>
      <c r="AF16227" s="10"/>
      <c r="AG16227" s="10"/>
      <c r="AH16227" s="10"/>
      <c r="AI16227" s="10"/>
    </row>
    <row r="16228" spans="28:35" ht="15" hidden="1" customHeight="1">
      <c r="AB16228" s="9"/>
      <c r="AC16228" s="9"/>
      <c r="AD16228" s="9"/>
      <c r="AF16228" s="10"/>
      <c r="AG16228" s="10"/>
      <c r="AH16228" s="10"/>
      <c r="AI16228" s="10"/>
    </row>
    <row r="16229" spans="28:35" ht="15" hidden="1" customHeight="1">
      <c r="AB16229" s="9"/>
      <c r="AC16229" s="9"/>
      <c r="AD16229" s="9"/>
      <c r="AF16229" s="10"/>
      <c r="AG16229" s="10"/>
      <c r="AH16229" s="10"/>
      <c r="AI16229" s="10"/>
    </row>
    <row r="16230" spans="28:35" ht="15" hidden="1" customHeight="1">
      <c r="AB16230" s="9"/>
      <c r="AC16230" s="9"/>
      <c r="AD16230" s="9"/>
      <c r="AF16230" s="10"/>
      <c r="AG16230" s="10"/>
      <c r="AH16230" s="10"/>
      <c r="AI16230" s="10"/>
    </row>
    <row r="16231" spans="28:35" ht="15" hidden="1" customHeight="1">
      <c r="AB16231" s="9"/>
      <c r="AC16231" s="9"/>
      <c r="AD16231" s="9"/>
      <c r="AF16231" s="10"/>
      <c r="AG16231" s="10"/>
      <c r="AH16231" s="10"/>
      <c r="AI16231" s="10"/>
    </row>
    <row r="16232" spans="28:35" ht="15" hidden="1" customHeight="1">
      <c r="AB16232" s="9"/>
      <c r="AC16232" s="9"/>
      <c r="AD16232" s="9"/>
      <c r="AF16232" s="10"/>
      <c r="AG16232" s="10"/>
      <c r="AH16232" s="10"/>
      <c r="AI16232" s="10"/>
    </row>
    <row r="16233" spans="28:35" ht="15" hidden="1" customHeight="1">
      <c r="AB16233" s="9"/>
      <c r="AC16233" s="9"/>
      <c r="AD16233" s="9"/>
      <c r="AF16233" s="10"/>
      <c r="AG16233" s="10"/>
      <c r="AH16233" s="10"/>
      <c r="AI16233" s="10"/>
    </row>
    <row r="16234" spans="28:35" ht="15" hidden="1" customHeight="1">
      <c r="AB16234" s="9"/>
      <c r="AC16234" s="9"/>
      <c r="AD16234" s="9"/>
      <c r="AF16234" s="10"/>
      <c r="AG16234" s="10"/>
      <c r="AH16234" s="10"/>
      <c r="AI16234" s="10"/>
    </row>
    <row r="16235" spans="28:35" ht="15" hidden="1" customHeight="1">
      <c r="AB16235" s="9"/>
      <c r="AC16235" s="9"/>
      <c r="AD16235" s="9"/>
      <c r="AF16235" s="10"/>
      <c r="AG16235" s="10"/>
      <c r="AH16235" s="10"/>
      <c r="AI16235" s="10"/>
    </row>
    <row r="16236" spans="28:35" ht="15" hidden="1" customHeight="1">
      <c r="AB16236" s="9"/>
      <c r="AC16236" s="9"/>
      <c r="AD16236" s="9"/>
      <c r="AF16236" s="10"/>
      <c r="AG16236" s="10"/>
      <c r="AH16236" s="10"/>
      <c r="AI16236" s="10"/>
    </row>
    <row r="16237" spans="28:35" ht="15" hidden="1" customHeight="1">
      <c r="AB16237" s="9"/>
      <c r="AC16237" s="9"/>
      <c r="AD16237" s="9"/>
      <c r="AF16237" s="10"/>
      <c r="AG16237" s="10"/>
      <c r="AH16237" s="10"/>
      <c r="AI16237" s="10"/>
    </row>
    <row r="16238" spans="28:35" ht="15" hidden="1" customHeight="1">
      <c r="AB16238" s="9"/>
      <c r="AC16238" s="9"/>
      <c r="AD16238" s="9"/>
      <c r="AF16238" s="10"/>
      <c r="AG16238" s="10"/>
      <c r="AH16238" s="10"/>
      <c r="AI16238" s="10"/>
    </row>
    <row r="16239" spans="28:35" ht="15" hidden="1" customHeight="1">
      <c r="AB16239" s="9"/>
      <c r="AC16239" s="9"/>
      <c r="AD16239" s="9"/>
      <c r="AF16239" s="10"/>
      <c r="AG16239" s="10"/>
      <c r="AH16239" s="10"/>
      <c r="AI16239" s="10"/>
    </row>
    <row r="16240" spans="28:35" ht="15" hidden="1" customHeight="1">
      <c r="AB16240" s="9"/>
      <c r="AC16240" s="9"/>
      <c r="AD16240" s="9"/>
      <c r="AF16240" s="10"/>
      <c r="AG16240" s="10"/>
      <c r="AH16240" s="10"/>
      <c r="AI16240" s="10"/>
    </row>
    <row r="16241" spans="28:35" ht="15" hidden="1" customHeight="1">
      <c r="AB16241" s="9"/>
      <c r="AC16241" s="9"/>
      <c r="AD16241" s="9"/>
      <c r="AF16241" s="10"/>
      <c r="AG16241" s="10"/>
      <c r="AH16241" s="10"/>
      <c r="AI16241" s="10"/>
    </row>
    <row r="16242" spans="28:35" ht="15" hidden="1" customHeight="1">
      <c r="AB16242" s="9"/>
      <c r="AC16242" s="9"/>
      <c r="AD16242" s="9"/>
      <c r="AF16242" s="10"/>
      <c r="AG16242" s="10"/>
      <c r="AH16242" s="10"/>
      <c r="AI16242" s="10"/>
    </row>
    <row r="16243" spans="28:35" ht="15" hidden="1" customHeight="1">
      <c r="AB16243" s="9"/>
      <c r="AC16243" s="9"/>
      <c r="AD16243" s="9"/>
      <c r="AF16243" s="10"/>
      <c r="AG16243" s="10"/>
      <c r="AH16243" s="10"/>
      <c r="AI16243" s="10"/>
    </row>
    <row r="16244" spans="28:35" ht="15" hidden="1" customHeight="1">
      <c r="AB16244" s="9"/>
      <c r="AC16244" s="9"/>
      <c r="AD16244" s="9"/>
      <c r="AF16244" s="10"/>
      <c r="AG16244" s="10"/>
      <c r="AH16244" s="10"/>
      <c r="AI16244" s="10"/>
    </row>
    <row r="16245" spans="28:35" ht="15" hidden="1" customHeight="1">
      <c r="AB16245" s="9"/>
      <c r="AC16245" s="9"/>
      <c r="AD16245" s="9"/>
      <c r="AF16245" s="10"/>
      <c r="AG16245" s="10"/>
      <c r="AH16245" s="10"/>
      <c r="AI16245" s="10"/>
    </row>
    <row r="16246" spans="28:35" ht="15" hidden="1" customHeight="1">
      <c r="AB16246" s="9"/>
      <c r="AC16246" s="9"/>
      <c r="AD16246" s="9"/>
      <c r="AF16246" s="10"/>
      <c r="AG16246" s="10"/>
      <c r="AH16246" s="10"/>
      <c r="AI16246" s="10"/>
    </row>
    <row r="16247" spans="28:35" ht="15" hidden="1" customHeight="1">
      <c r="AB16247" s="9"/>
      <c r="AC16247" s="9"/>
      <c r="AD16247" s="9"/>
      <c r="AF16247" s="10"/>
      <c r="AG16247" s="10"/>
      <c r="AH16247" s="10"/>
      <c r="AI16247" s="10"/>
    </row>
    <row r="16248" spans="28:35" ht="15" hidden="1" customHeight="1">
      <c r="AB16248" s="9"/>
      <c r="AC16248" s="9"/>
      <c r="AD16248" s="9"/>
      <c r="AF16248" s="10"/>
      <c r="AG16248" s="10"/>
      <c r="AH16248" s="10"/>
      <c r="AI16248" s="10"/>
    </row>
    <row r="16249" spans="28:35" ht="15" hidden="1" customHeight="1">
      <c r="AB16249" s="9"/>
      <c r="AC16249" s="9"/>
      <c r="AD16249" s="9"/>
      <c r="AF16249" s="10"/>
      <c r="AG16249" s="10"/>
      <c r="AH16249" s="10"/>
      <c r="AI16249" s="10"/>
    </row>
    <row r="16250" spans="28:35" ht="15" hidden="1" customHeight="1">
      <c r="AB16250" s="9"/>
      <c r="AC16250" s="9"/>
      <c r="AD16250" s="9"/>
      <c r="AF16250" s="10"/>
      <c r="AG16250" s="10"/>
      <c r="AH16250" s="10"/>
      <c r="AI16250" s="10"/>
    </row>
    <row r="16251" spans="28:35" ht="15" hidden="1" customHeight="1">
      <c r="AB16251" s="9"/>
      <c r="AC16251" s="9"/>
      <c r="AD16251" s="9"/>
      <c r="AF16251" s="10"/>
      <c r="AG16251" s="10"/>
      <c r="AH16251" s="10"/>
      <c r="AI16251" s="10"/>
    </row>
    <row r="16252" spans="28:35" ht="15" hidden="1" customHeight="1">
      <c r="AB16252" s="9"/>
      <c r="AC16252" s="9"/>
      <c r="AD16252" s="9"/>
      <c r="AF16252" s="10"/>
      <c r="AG16252" s="10"/>
      <c r="AH16252" s="10"/>
      <c r="AI16252" s="10"/>
    </row>
    <row r="16253" spans="28:35" ht="15" hidden="1" customHeight="1">
      <c r="AB16253" s="9"/>
      <c r="AC16253" s="9"/>
      <c r="AD16253" s="9"/>
      <c r="AF16253" s="10"/>
      <c r="AG16253" s="10"/>
      <c r="AH16253" s="10"/>
      <c r="AI16253" s="10"/>
    </row>
    <row r="16254" spans="28:35" ht="15" hidden="1" customHeight="1">
      <c r="AB16254" s="9"/>
      <c r="AC16254" s="9"/>
      <c r="AD16254" s="9"/>
      <c r="AF16254" s="10"/>
      <c r="AG16254" s="10"/>
      <c r="AH16254" s="10"/>
      <c r="AI16254" s="10"/>
    </row>
    <row r="16255" spans="28:35" ht="15" hidden="1" customHeight="1">
      <c r="AB16255" s="9"/>
      <c r="AC16255" s="9"/>
      <c r="AD16255" s="9"/>
      <c r="AF16255" s="10"/>
      <c r="AG16255" s="10"/>
      <c r="AH16255" s="10"/>
      <c r="AI16255" s="10"/>
    </row>
    <row r="16256" spans="28:35" ht="15" hidden="1" customHeight="1">
      <c r="AB16256" s="9"/>
      <c r="AC16256" s="9"/>
      <c r="AD16256" s="9"/>
      <c r="AF16256" s="10"/>
      <c r="AG16256" s="10"/>
      <c r="AH16256" s="10"/>
      <c r="AI16256" s="10"/>
    </row>
    <row r="16257" spans="28:35" ht="15" hidden="1" customHeight="1">
      <c r="AB16257" s="9"/>
      <c r="AC16257" s="9"/>
      <c r="AD16257" s="9"/>
      <c r="AF16257" s="10"/>
      <c r="AG16257" s="10"/>
      <c r="AH16257" s="10"/>
      <c r="AI16257" s="10"/>
    </row>
    <row r="16258" spans="28:35" ht="15" hidden="1" customHeight="1">
      <c r="AB16258" s="9"/>
      <c r="AC16258" s="9"/>
      <c r="AD16258" s="9"/>
      <c r="AF16258" s="10"/>
      <c r="AG16258" s="10"/>
      <c r="AH16258" s="10"/>
      <c r="AI16258" s="10"/>
    </row>
    <row r="16259" spans="28:35" ht="15" hidden="1" customHeight="1">
      <c r="AB16259" s="9"/>
      <c r="AC16259" s="9"/>
      <c r="AD16259" s="9"/>
      <c r="AF16259" s="10"/>
      <c r="AG16259" s="10"/>
      <c r="AH16259" s="10"/>
      <c r="AI16259" s="10"/>
    </row>
    <row r="16260" spans="28:35" ht="15" hidden="1" customHeight="1">
      <c r="AB16260" s="9"/>
      <c r="AC16260" s="9"/>
      <c r="AD16260" s="9"/>
      <c r="AF16260" s="10"/>
      <c r="AG16260" s="10"/>
      <c r="AH16260" s="10"/>
      <c r="AI16260" s="10"/>
    </row>
    <row r="16261" spans="28:35" ht="15" hidden="1" customHeight="1">
      <c r="AB16261" s="9"/>
      <c r="AC16261" s="9"/>
      <c r="AD16261" s="9"/>
      <c r="AF16261" s="10"/>
      <c r="AG16261" s="10"/>
      <c r="AH16261" s="10"/>
      <c r="AI16261" s="10"/>
    </row>
    <row r="16262" spans="28:35" ht="15" hidden="1" customHeight="1">
      <c r="AB16262" s="9"/>
      <c r="AC16262" s="9"/>
      <c r="AD16262" s="9"/>
      <c r="AF16262" s="10"/>
      <c r="AG16262" s="10"/>
      <c r="AH16262" s="10"/>
      <c r="AI16262" s="10"/>
    </row>
    <row r="16263" spans="28:35" ht="15" hidden="1" customHeight="1">
      <c r="AB16263" s="9"/>
      <c r="AC16263" s="9"/>
      <c r="AD16263" s="9"/>
      <c r="AF16263" s="10"/>
      <c r="AG16263" s="10"/>
      <c r="AH16263" s="10"/>
      <c r="AI16263" s="10"/>
    </row>
    <row r="16264" spans="28:35" ht="15" hidden="1" customHeight="1">
      <c r="AB16264" s="9"/>
      <c r="AC16264" s="9"/>
      <c r="AD16264" s="9"/>
      <c r="AF16264" s="10"/>
      <c r="AG16264" s="10"/>
      <c r="AH16264" s="10"/>
      <c r="AI16264" s="10"/>
    </row>
    <row r="16265" spans="28:35" ht="15" hidden="1" customHeight="1">
      <c r="AB16265" s="9"/>
      <c r="AC16265" s="9"/>
      <c r="AD16265" s="9"/>
      <c r="AF16265" s="10"/>
      <c r="AG16265" s="10"/>
      <c r="AH16265" s="10"/>
      <c r="AI16265" s="10"/>
    </row>
    <row r="16266" spans="28:35" ht="15" hidden="1" customHeight="1">
      <c r="AB16266" s="9"/>
      <c r="AC16266" s="9"/>
      <c r="AD16266" s="9"/>
      <c r="AF16266" s="10"/>
      <c r="AG16266" s="10"/>
      <c r="AH16266" s="10"/>
      <c r="AI16266" s="10"/>
    </row>
    <row r="16267" spans="28:35" ht="15" hidden="1" customHeight="1">
      <c r="AB16267" s="9"/>
      <c r="AC16267" s="9"/>
      <c r="AD16267" s="9"/>
      <c r="AF16267" s="10"/>
      <c r="AG16267" s="10"/>
      <c r="AH16267" s="10"/>
      <c r="AI16267" s="10"/>
    </row>
    <row r="16268" spans="28:35" ht="15" hidden="1" customHeight="1">
      <c r="AB16268" s="9"/>
      <c r="AC16268" s="9"/>
      <c r="AD16268" s="9"/>
      <c r="AF16268" s="10"/>
      <c r="AG16268" s="10"/>
      <c r="AH16268" s="10"/>
      <c r="AI16268" s="10"/>
    </row>
    <row r="16269" spans="28:35" ht="15" hidden="1" customHeight="1">
      <c r="AB16269" s="9"/>
      <c r="AC16269" s="9"/>
      <c r="AD16269" s="9"/>
      <c r="AF16269" s="10"/>
      <c r="AG16269" s="10"/>
      <c r="AH16269" s="10"/>
      <c r="AI16269" s="10"/>
    </row>
    <row r="16270" spans="28:35" ht="15" hidden="1" customHeight="1">
      <c r="AB16270" s="9"/>
      <c r="AC16270" s="9"/>
      <c r="AD16270" s="9"/>
      <c r="AF16270" s="10"/>
      <c r="AG16270" s="10"/>
      <c r="AH16270" s="10"/>
      <c r="AI16270" s="10"/>
    </row>
    <row r="16271" spans="28:35" ht="15" hidden="1" customHeight="1">
      <c r="AB16271" s="9"/>
      <c r="AC16271" s="9"/>
      <c r="AD16271" s="9"/>
      <c r="AF16271" s="10"/>
      <c r="AG16271" s="10"/>
      <c r="AH16271" s="10"/>
      <c r="AI16271" s="10"/>
    </row>
    <row r="16272" spans="28:35" ht="15" hidden="1" customHeight="1">
      <c r="AB16272" s="9"/>
      <c r="AC16272" s="9"/>
      <c r="AD16272" s="9"/>
      <c r="AF16272" s="10"/>
      <c r="AG16272" s="10"/>
      <c r="AH16272" s="10"/>
      <c r="AI16272" s="10"/>
    </row>
    <row r="16273" spans="28:35" ht="15" hidden="1" customHeight="1">
      <c r="AB16273" s="9"/>
      <c r="AC16273" s="9"/>
      <c r="AD16273" s="9"/>
      <c r="AF16273" s="10"/>
      <c r="AG16273" s="10"/>
      <c r="AH16273" s="10"/>
      <c r="AI16273" s="10"/>
    </row>
    <row r="16274" spans="28:35" ht="15" hidden="1" customHeight="1">
      <c r="AB16274" s="9"/>
      <c r="AC16274" s="9"/>
      <c r="AD16274" s="9"/>
      <c r="AF16274" s="10"/>
      <c r="AG16274" s="10"/>
      <c r="AH16274" s="10"/>
      <c r="AI16274" s="10"/>
    </row>
    <row r="16275" spans="28:35" ht="15" hidden="1" customHeight="1">
      <c r="AB16275" s="9"/>
      <c r="AC16275" s="9"/>
      <c r="AD16275" s="9"/>
      <c r="AF16275" s="10"/>
      <c r="AG16275" s="10"/>
      <c r="AH16275" s="10"/>
      <c r="AI16275" s="10"/>
    </row>
    <row r="16276" spans="28:35" ht="15" hidden="1" customHeight="1">
      <c r="AB16276" s="9"/>
      <c r="AC16276" s="9"/>
      <c r="AD16276" s="9"/>
      <c r="AF16276" s="10"/>
      <c r="AG16276" s="10"/>
      <c r="AH16276" s="10"/>
      <c r="AI16276" s="10"/>
    </row>
    <row r="16277" spans="28:35" ht="15" hidden="1" customHeight="1">
      <c r="AB16277" s="9"/>
      <c r="AC16277" s="9"/>
      <c r="AD16277" s="9"/>
      <c r="AF16277" s="10"/>
      <c r="AG16277" s="10"/>
      <c r="AH16277" s="10"/>
      <c r="AI16277" s="10"/>
    </row>
    <row r="16278" spans="28:35" ht="15" hidden="1" customHeight="1">
      <c r="AB16278" s="9"/>
      <c r="AC16278" s="9"/>
      <c r="AD16278" s="9"/>
      <c r="AF16278" s="10"/>
      <c r="AG16278" s="10"/>
      <c r="AH16278" s="10"/>
      <c r="AI16278" s="10"/>
    </row>
    <row r="16279" spans="28:35" ht="15" hidden="1" customHeight="1">
      <c r="AB16279" s="9"/>
      <c r="AC16279" s="9"/>
      <c r="AD16279" s="9"/>
      <c r="AF16279" s="10"/>
      <c r="AG16279" s="10"/>
      <c r="AH16279" s="10"/>
      <c r="AI16279" s="10"/>
    </row>
    <row r="16280" spans="28:35" ht="15" hidden="1" customHeight="1">
      <c r="AB16280" s="9"/>
      <c r="AC16280" s="9"/>
      <c r="AD16280" s="9"/>
      <c r="AF16280" s="10"/>
      <c r="AG16280" s="10"/>
      <c r="AH16280" s="10"/>
      <c r="AI16280" s="10"/>
    </row>
    <row r="16281" spans="28:35" ht="15" hidden="1" customHeight="1">
      <c r="AB16281" s="9"/>
      <c r="AC16281" s="9"/>
      <c r="AD16281" s="9"/>
      <c r="AF16281" s="10"/>
      <c r="AG16281" s="10"/>
      <c r="AH16281" s="10"/>
      <c r="AI16281" s="10"/>
    </row>
    <row r="16282" spans="28:35" ht="15" hidden="1" customHeight="1">
      <c r="AB16282" s="9"/>
      <c r="AC16282" s="9"/>
      <c r="AD16282" s="9"/>
      <c r="AF16282" s="10"/>
      <c r="AG16282" s="10"/>
      <c r="AH16282" s="10"/>
      <c r="AI16282" s="10"/>
    </row>
    <row r="16283" spans="28:35" ht="15" hidden="1" customHeight="1">
      <c r="AB16283" s="9"/>
      <c r="AC16283" s="9"/>
      <c r="AD16283" s="9"/>
      <c r="AF16283" s="10"/>
      <c r="AG16283" s="10"/>
      <c r="AH16283" s="10"/>
      <c r="AI16283" s="10"/>
    </row>
    <row r="16284" spans="28:35" ht="15" hidden="1" customHeight="1">
      <c r="AB16284" s="9"/>
      <c r="AC16284" s="9"/>
      <c r="AD16284" s="9"/>
      <c r="AF16284" s="10"/>
      <c r="AG16284" s="10"/>
      <c r="AH16284" s="10"/>
      <c r="AI16284" s="10"/>
    </row>
    <row r="16285" spans="28:35" ht="15" hidden="1" customHeight="1">
      <c r="AB16285" s="9"/>
      <c r="AC16285" s="9"/>
      <c r="AD16285" s="9"/>
      <c r="AF16285" s="10"/>
      <c r="AG16285" s="10"/>
      <c r="AH16285" s="10"/>
      <c r="AI16285" s="10"/>
    </row>
    <row r="16286" spans="28:35" ht="15" hidden="1" customHeight="1">
      <c r="AB16286" s="9"/>
      <c r="AC16286" s="9"/>
      <c r="AD16286" s="9"/>
      <c r="AF16286" s="10"/>
      <c r="AG16286" s="10"/>
      <c r="AH16286" s="10"/>
      <c r="AI16286" s="10"/>
    </row>
    <row r="16287" spans="28:35" ht="15" hidden="1" customHeight="1">
      <c r="AB16287" s="9"/>
      <c r="AC16287" s="9"/>
      <c r="AD16287" s="9"/>
      <c r="AF16287" s="10"/>
      <c r="AG16287" s="10"/>
      <c r="AH16287" s="10"/>
      <c r="AI16287" s="10"/>
    </row>
    <row r="16288" spans="28:35" ht="15" hidden="1" customHeight="1">
      <c r="AB16288" s="9"/>
      <c r="AC16288" s="9"/>
      <c r="AD16288" s="9"/>
      <c r="AF16288" s="10"/>
      <c r="AG16288" s="10"/>
      <c r="AH16288" s="10"/>
      <c r="AI16288" s="10"/>
    </row>
    <row r="16289" spans="28:35" ht="15" hidden="1" customHeight="1">
      <c r="AB16289" s="9"/>
      <c r="AC16289" s="9"/>
      <c r="AD16289" s="9"/>
      <c r="AF16289" s="10"/>
      <c r="AG16289" s="10"/>
      <c r="AH16289" s="10"/>
      <c r="AI16289" s="10"/>
    </row>
    <row r="16290" spans="28:35" ht="15" hidden="1" customHeight="1">
      <c r="AB16290" s="9"/>
      <c r="AC16290" s="9"/>
      <c r="AD16290" s="9"/>
      <c r="AF16290" s="10"/>
      <c r="AG16290" s="10"/>
      <c r="AH16290" s="10"/>
      <c r="AI16290" s="10"/>
    </row>
    <row r="16291" spans="28:35" ht="15" hidden="1" customHeight="1">
      <c r="AB16291" s="9"/>
      <c r="AC16291" s="9"/>
      <c r="AD16291" s="9"/>
      <c r="AF16291" s="10"/>
      <c r="AG16291" s="10"/>
      <c r="AH16291" s="10"/>
      <c r="AI16291" s="10"/>
    </row>
    <row r="16292" spans="28:35" ht="15" hidden="1" customHeight="1">
      <c r="AB16292" s="9"/>
      <c r="AC16292" s="9"/>
      <c r="AD16292" s="9"/>
      <c r="AF16292" s="10"/>
      <c r="AG16292" s="10"/>
      <c r="AH16292" s="10"/>
      <c r="AI16292" s="10"/>
    </row>
    <row r="16293" spans="28:35" ht="15" hidden="1" customHeight="1">
      <c r="AB16293" s="9"/>
      <c r="AC16293" s="9"/>
      <c r="AD16293" s="9"/>
      <c r="AF16293" s="10"/>
      <c r="AG16293" s="10"/>
      <c r="AH16293" s="10"/>
      <c r="AI16293" s="10"/>
    </row>
    <row r="16294" spans="28:35" ht="15" hidden="1" customHeight="1">
      <c r="AB16294" s="9"/>
      <c r="AC16294" s="9"/>
      <c r="AD16294" s="9"/>
      <c r="AF16294" s="10"/>
      <c r="AG16294" s="10"/>
      <c r="AH16294" s="10"/>
      <c r="AI16294" s="10"/>
    </row>
    <row r="16295" spans="28:35" ht="15" hidden="1" customHeight="1">
      <c r="AB16295" s="9"/>
      <c r="AC16295" s="9"/>
      <c r="AD16295" s="9"/>
      <c r="AF16295" s="10"/>
      <c r="AG16295" s="10"/>
      <c r="AH16295" s="10"/>
      <c r="AI16295" s="10"/>
    </row>
    <row r="16296" spans="28:35" ht="15" hidden="1" customHeight="1">
      <c r="AB16296" s="9"/>
      <c r="AC16296" s="9"/>
      <c r="AD16296" s="9"/>
      <c r="AF16296" s="10"/>
      <c r="AG16296" s="10"/>
      <c r="AH16296" s="10"/>
      <c r="AI16296" s="10"/>
    </row>
    <row r="16297" spans="28:35" ht="15" hidden="1" customHeight="1">
      <c r="AB16297" s="9"/>
      <c r="AC16297" s="9"/>
      <c r="AD16297" s="9"/>
      <c r="AF16297" s="10"/>
      <c r="AG16297" s="10"/>
      <c r="AH16297" s="10"/>
      <c r="AI16297" s="10"/>
    </row>
    <row r="16298" spans="28:35" ht="15" hidden="1" customHeight="1">
      <c r="AB16298" s="9"/>
      <c r="AC16298" s="9"/>
      <c r="AD16298" s="9"/>
      <c r="AF16298" s="10"/>
      <c r="AG16298" s="10"/>
      <c r="AH16298" s="10"/>
      <c r="AI16298" s="10"/>
    </row>
    <row r="16299" spans="28:35" ht="15" hidden="1" customHeight="1">
      <c r="AB16299" s="9"/>
      <c r="AC16299" s="9"/>
      <c r="AD16299" s="9"/>
      <c r="AF16299" s="10"/>
      <c r="AG16299" s="10"/>
      <c r="AH16299" s="10"/>
      <c r="AI16299" s="10"/>
    </row>
    <row r="16300" spans="28:35" ht="15" hidden="1" customHeight="1">
      <c r="AB16300" s="9"/>
      <c r="AC16300" s="9"/>
      <c r="AD16300" s="9"/>
      <c r="AF16300" s="10"/>
      <c r="AG16300" s="10"/>
      <c r="AH16300" s="10"/>
      <c r="AI16300" s="10"/>
    </row>
    <row r="16301" spans="28:35" ht="15" hidden="1" customHeight="1">
      <c r="AB16301" s="9"/>
      <c r="AC16301" s="9"/>
      <c r="AD16301" s="9"/>
      <c r="AF16301" s="10"/>
      <c r="AG16301" s="10"/>
      <c r="AH16301" s="10"/>
      <c r="AI16301" s="10"/>
    </row>
    <row r="16302" spans="28:35" ht="15" hidden="1" customHeight="1">
      <c r="AB16302" s="9"/>
      <c r="AC16302" s="9"/>
      <c r="AD16302" s="9"/>
      <c r="AF16302" s="10"/>
      <c r="AG16302" s="10"/>
      <c r="AH16302" s="10"/>
      <c r="AI16302" s="10"/>
    </row>
    <row r="16303" spans="28:35" ht="15" hidden="1" customHeight="1">
      <c r="AB16303" s="9"/>
      <c r="AC16303" s="9"/>
      <c r="AD16303" s="9"/>
      <c r="AF16303" s="10"/>
      <c r="AG16303" s="10"/>
      <c r="AH16303" s="10"/>
      <c r="AI16303" s="10"/>
    </row>
    <row r="16304" spans="28:35" ht="15" hidden="1" customHeight="1">
      <c r="AB16304" s="9"/>
      <c r="AC16304" s="9"/>
      <c r="AD16304" s="9"/>
      <c r="AF16304" s="10"/>
      <c r="AG16304" s="10"/>
      <c r="AH16304" s="10"/>
      <c r="AI16304" s="10"/>
    </row>
    <row r="16305" spans="28:35" ht="15" hidden="1" customHeight="1">
      <c r="AB16305" s="9"/>
      <c r="AC16305" s="9"/>
      <c r="AD16305" s="9"/>
      <c r="AF16305" s="10"/>
      <c r="AG16305" s="10"/>
      <c r="AH16305" s="10"/>
      <c r="AI16305" s="10"/>
    </row>
    <row r="16306" spans="28:35" ht="15" hidden="1" customHeight="1">
      <c r="AB16306" s="9"/>
      <c r="AC16306" s="9"/>
      <c r="AD16306" s="9"/>
      <c r="AF16306" s="10"/>
      <c r="AG16306" s="10"/>
      <c r="AH16306" s="10"/>
      <c r="AI16306" s="10"/>
    </row>
    <row r="16307" spans="28:35" ht="15" hidden="1" customHeight="1">
      <c r="AB16307" s="9"/>
      <c r="AC16307" s="9"/>
      <c r="AD16307" s="9"/>
      <c r="AF16307" s="10"/>
      <c r="AG16307" s="10"/>
      <c r="AH16307" s="10"/>
      <c r="AI16307" s="10"/>
    </row>
    <row r="16308" spans="28:35" ht="15" hidden="1" customHeight="1">
      <c r="AB16308" s="9"/>
      <c r="AC16308" s="9"/>
      <c r="AD16308" s="9"/>
      <c r="AF16308" s="10"/>
      <c r="AG16308" s="10"/>
      <c r="AH16308" s="10"/>
      <c r="AI16308" s="10"/>
    </row>
    <row r="16309" spans="28:35" ht="15" hidden="1" customHeight="1">
      <c r="AB16309" s="9"/>
      <c r="AC16309" s="9"/>
      <c r="AD16309" s="9"/>
      <c r="AF16309" s="10"/>
      <c r="AG16309" s="10"/>
      <c r="AH16309" s="10"/>
      <c r="AI16309" s="10"/>
    </row>
    <row r="16310" spans="28:35" ht="15" hidden="1" customHeight="1">
      <c r="AB16310" s="9"/>
      <c r="AC16310" s="9"/>
      <c r="AD16310" s="9"/>
      <c r="AF16310" s="10"/>
      <c r="AG16310" s="10"/>
      <c r="AH16310" s="10"/>
      <c r="AI16310" s="10"/>
    </row>
    <row r="16311" spans="28:35" ht="15" hidden="1" customHeight="1">
      <c r="AB16311" s="9"/>
      <c r="AC16311" s="9"/>
      <c r="AD16311" s="9"/>
      <c r="AF16311" s="10"/>
      <c r="AG16311" s="10"/>
      <c r="AH16311" s="10"/>
      <c r="AI16311" s="10"/>
    </row>
    <row r="16312" spans="28:35" ht="15" hidden="1" customHeight="1">
      <c r="AB16312" s="9"/>
      <c r="AC16312" s="9"/>
      <c r="AD16312" s="9"/>
      <c r="AF16312" s="10"/>
      <c r="AG16312" s="10"/>
      <c r="AH16312" s="10"/>
      <c r="AI16312" s="10"/>
    </row>
    <row r="16313" spans="28:35" ht="15" hidden="1" customHeight="1">
      <c r="AB16313" s="9"/>
      <c r="AC16313" s="9"/>
      <c r="AD16313" s="9"/>
      <c r="AF16313" s="10"/>
      <c r="AG16313" s="10"/>
      <c r="AH16313" s="10"/>
      <c r="AI16313" s="10"/>
    </row>
    <row r="16314" spans="28:35" ht="15" hidden="1" customHeight="1">
      <c r="AB16314" s="9"/>
      <c r="AC16314" s="9"/>
      <c r="AD16314" s="9"/>
      <c r="AF16314" s="10"/>
      <c r="AG16314" s="10"/>
      <c r="AH16314" s="10"/>
      <c r="AI16314" s="10"/>
    </row>
    <row r="16315" spans="28:35" ht="15" hidden="1" customHeight="1">
      <c r="AB16315" s="9"/>
      <c r="AC16315" s="9"/>
      <c r="AD16315" s="9"/>
      <c r="AF16315" s="10"/>
      <c r="AG16315" s="10"/>
      <c r="AH16315" s="10"/>
      <c r="AI16315" s="10"/>
    </row>
    <row r="16316" spans="28:35" ht="15" hidden="1" customHeight="1">
      <c r="AB16316" s="9"/>
      <c r="AC16316" s="9"/>
      <c r="AD16316" s="9"/>
      <c r="AF16316" s="10"/>
      <c r="AG16316" s="10"/>
      <c r="AH16316" s="10"/>
      <c r="AI16316" s="10"/>
    </row>
    <row r="16317" spans="28:35" ht="15" hidden="1" customHeight="1">
      <c r="AB16317" s="9"/>
      <c r="AC16317" s="9"/>
      <c r="AD16317" s="9"/>
      <c r="AF16317" s="10"/>
      <c r="AG16317" s="10"/>
      <c r="AH16317" s="10"/>
      <c r="AI16317" s="10"/>
    </row>
    <row r="16318" spans="28:35" ht="15" hidden="1" customHeight="1">
      <c r="AB16318" s="9"/>
      <c r="AC16318" s="9"/>
      <c r="AD16318" s="9"/>
      <c r="AF16318" s="10"/>
      <c r="AG16318" s="10"/>
      <c r="AH16318" s="10"/>
      <c r="AI16318" s="10"/>
    </row>
    <row r="16319" spans="28:35" ht="15" hidden="1" customHeight="1">
      <c r="AB16319" s="9"/>
      <c r="AC16319" s="9"/>
      <c r="AD16319" s="9"/>
      <c r="AF16319" s="10"/>
      <c r="AG16319" s="10"/>
      <c r="AH16319" s="10"/>
      <c r="AI16319" s="10"/>
    </row>
    <row r="16320" spans="28:35" ht="15" hidden="1" customHeight="1">
      <c r="AB16320" s="9"/>
      <c r="AC16320" s="9"/>
      <c r="AD16320" s="9"/>
      <c r="AF16320" s="10"/>
      <c r="AG16320" s="10"/>
      <c r="AH16320" s="10"/>
      <c r="AI16320" s="10"/>
    </row>
    <row r="16321" spans="28:35" ht="15" hidden="1" customHeight="1">
      <c r="AB16321" s="9"/>
      <c r="AC16321" s="9"/>
      <c r="AD16321" s="9"/>
      <c r="AF16321" s="10"/>
      <c r="AG16321" s="10"/>
      <c r="AH16321" s="10"/>
      <c r="AI16321" s="10"/>
    </row>
    <row r="16322" spans="28:35" ht="15" hidden="1" customHeight="1">
      <c r="AB16322" s="9"/>
      <c r="AC16322" s="9"/>
      <c r="AD16322" s="9"/>
      <c r="AF16322" s="10"/>
      <c r="AG16322" s="10"/>
      <c r="AH16322" s="10"/>
      <c r="AI16322" s="10"/>
    </row>
    <row r="16323" spans="28:35" ht="15" hidden="1" customHeight="1">
      <c r="AB16323" s="9"/>
      <c r="AC16323" s="9"/>
      <c r="AD16323" s="9"/>
      <c r="AF16323" s="10"/>
      <c r="AG16323" s="10"/>
      <c r="AH16323" s="10"/>
      <c r="AI16323" s="10"/>
    </row>
    <row r="16324" spans="28:35" ht="15" hidden="1" customHeight="1">
      <c r="AB16324" s="9"/>
      <c r="AC16324" s="9"/>
      <c r="AD16324" s="9"/>
      <c r="AF16324" s="10"/>
      <c r="AG16324" s="10"/>
      <c r="AH16324" s="10"/>
      <c r="AI16324" s="10"/>
    </row>
    <row r="16325" spans="28:35" ht="15" hidden="1" customHeight="1">
      <c r="AB16325" s="9"/>
      <c r="AC16325" s="9"/>
      <c r="AD16325" s="9"/>
      <c r="AF16325" s="10"/>
      <c r="AG16325" s="10"/>
      <c r="AH16325" s="10"/>
      <c r="AI16325" s="10"/>
    </row>
    <row r="16326" spans="28:35" ht="15" hidden="1" customHeight="1">
      <c r="AB16326" s="9"/>
      <c r="AC16326" s="9"/>
      <c r="AD16326" s="9"/>
      <c r="AF16326" s="10"/>
      <c r="AG16326" s="10"/>
      <c r="AH16326" s="10"/>
      <c r="AI16326" s="10"/>
    </row>
    <row r="16327" spans="28:35" ht="15" hidden="1" customHeight="1">
      <c r="AB16327" s="9"/>
      <c r="AC16327" s="9"/>
      <c r="AD16327" s="9"/>
      <c r="AF16327" s="10"/>
      <c r="AG16327" s="10"/>
      <c r="AH16327" s="10"/>
      <c r="AI16327" s="10"/>
    </row>
    <row r="16328" spans="28:35" ht="15" hidden="1" customHeight="1">
      <c r="AB16328" s="9"/>
      <c r="AC16328" s="9"/>
      <c r="AD16328" s="9"/>
      <c r="AF16328" s="10"/>
      <c r="AG16328" s="10"/>
      <c r="AH16328" s="10"/>
      <c r="AI16328" s="10"/>
    </row>
    <row r="16329" spans="28:35" ht="15" hidden="1" customHeight="1">
      <c r="AB16329" s="9"/>
      <c r="AC16329" s="9"/>
      <c r="AD16329" s="9"/>
      <c r="AF16329" s="10"/>
      <c r="AG16329" s="10"/>
      <c r="AH16329" s="10"/>
      <c r="AI16329" s="10"/>
    </row>
    <row r="16330" spans="28:35" ht="15" hidden="1" customHeight="1">
      <c r="AB16330" s="9"/>
      <c r="AC16330" s="9"/>
      <c r="AD16330" s="9"/>
      <c r="AF16330" s="10"/>
      <c r="AG16330" s="10"/>
      <c r="AH16330" s="10"/>
      <c r="AI16330" s="10"/>
    </row>
    <row r="16331" spans="28:35" ht="15" hidden="1" customHeight="1">
      <c r="AB16331" s="9"/>
      <c r="AC16331" s="9"/>
      <c r="AD16331" s="9"/>
      <c r="AF16331" s="10"/>
      <c r="AG16331" s="10"/>
      <c r="AH16331" s="10"/>
      <c r="AI16331" s="10"/>
    </row>
    <row r="16332" spans="28:35" ht="15" hidden="1" customHeight="1">
      <c r="AB16332" s="9"/>
      <c r="AC16332" s="9"/>
      <c r="AD16332" s="9"/>
      <c r="AF16332" s="10"/>
      <c r="AG16332" s="10"/>
      <c r="AH16332" s="10"/>
      <c r="AI16332" s="10"/>
    </row>
    <row r="16333" spans="28:35" ht="15" hidden="1" customHeight="1">
      <c r="AB16333" s="9"/>
      <c r="AC16333" s="9"/>
      <c r="AD16333" s="9"/>
      <c r="AF16333" s="10"/>
      <c r="AG16333" s="10"/>
      <c r="AH16333" s="10"/>
      <c r="AI16333" s="10"/>
    </row>
    <row r="16334" spans="28:35" ht="15" hidden="1" customHeight="1">
      <c r="AB16334" s="9"/>
      <c r="AC16334" s="9"/>
      <c r="AD16334" s="9"/>
      <c r="AF16334" s="10"/>
      <c r="AG16334" s="10"/>
      <c r="AH16334" s="10"/>
      <c r="AI16334" s="10"/>
    </row>
    <row r="16335" spans="28:35" ht="15" hidden="1" customHeight="1">
      <c r="AB16335" s="9"/>
      <c r="AC16335" s="9"/>
      <c r="AD16335" s="9"/>
      <c r="AF16335" s="10"/>
      <c r="AG16335" s="10"/>
      <c r="AH16335" s="10"/>
      <c r="AI16335" s="10"/>
    </row>
    <row r="16336" spans="28:35" ht="15" hidden="1" customHeight="1">
      <c r="AB16336" s="9"/>
      <c r="AC16336" s="9"/>
      <c r="AD16336" s="9"/>
      <c r="AF16336" s="10"/>
      <c r="AG16336" s="10"/>
      <c r="AH16336" s="10"/>
      <c r="AI16336" s="10"/>
    </row>
    <row r="16337" spans="28:35" ht="15" hidden="1" customHeight="1">
      <c r="AB16337" s="9"/>
      <c r="AC16337" s="9"/>
      <c r="AD16337" s="9"/>
      <c r="AF16337" s="10"/>
      <c r="AG16337" s="10"/>
      <c r="AH16337" s="10"/>
      <c r="AI16337" s="10"/>
    </row>
    <row r="16338" spans="28:35" ht="15" hidden="1" customHeight="1">
      <c r="AB16338" s="9"/>
      <c r="AC16338" s="9"/>
      <c r="AD16338" s="9"/>
      <c r="AF16338" s="10"/>
      <c r="AG16338" s="10"/>
      <c r="AH16338" s="10"/>
      <c r="AI16338" s="10"/>
    </row>
    <row r="16339" spans="28:35" ht="15" hidden="1" customHeight="1">
      <c r="AB16339" s="9"/>
      <c r="AC16339" s="9"/>
      <c r="AD16339" s="9"/>
      <c r="AF16339" s="10"/>
      <c r="AG16339" s="10"/>
      <c r="AH16339" s="10"/>
      <c r="AI16339" s="10"/>
    </row>
    <row r="16340" spans="28:35" ht="15" hidden="1" customHeight="1">
      <c r="AB16340" s="9"/>
      <c r="AC16340" s="9"/>
      <c r="AD16340" s="9"/>
      <c r="AF16340" s="10"/>
      <c r="AG16340" s="10"/>
      <c r="AH16340" s="10"/>
      <c r="AI16340" s="10"/>
    </row>
    <row r="16341" spans="28:35" ht="15" hidden="1" customHeight="1">
      <c r="AB16341" s="9"/>
      <c r="AC16341" s="9"/>
      <c r="AD16341" s="9"/>
      <c r="AF16341" s="10"/>
      <c r="AG16341" s="10"/>
      <c r="AH16341" s="10"/>
      <c r="AI16341" s="10"/>
    </row>
    <row r="16342" spans="28:35" ht="15" hidden="1" customHeight="1">
      <c r="AB16342" s="9"/>
      <c r="AC16342" s="9"/>
      <c r="AD16342" s="9"/>
      <c r="AF16342" s="10"/>
      <c r="AG16342" s="10"/>
      <c r="AH16342" s="10"/>
      <c r="AI16342" s="10"/>
    </row>
    <row r="16343" spans="28:35" ht="15" hidden="1" customHeight="1">
      <c r="AB16343" s="9"/>
      <c r="AC16343" s="9"/>
      <c r="AD16343" s="9"/>
      <c r="AF16343" s="10"/>
      <c r="AG16343" s="10"/>
      <c r="AH16343" s="10"/>
      <c r="AI16343" s="10"/>
    </row>
    <row r="16344" spans="28:35" ht="15" hidden="1" customHeight="1">
      <c r="AB16344" s="9"/>
      <c r="AC16344" s="9"/>
      <c r="AD16344" s="9"/>
      <c r="AF16344" s="10"/>
      <c r="AG16344" s="10"/>
      <c r="AH16344" s="10"/>
      <c r="AI16344" s="10"/>
    </row>
    <row r="16345" spans="28:35" ht="15" hidden="1" customHeight="1">
      <c r="AB16345" s="9"/>
      <c r="AC16345" s="9"/>
      <c r="AD16345" s="9"/>
      <c r="AF16345" s="10"/>
      <c r="AG16345" s="10"/>
      <c r="AH16345" s="10"/>
      <c r="AI16345" s="10"/>
    </row>
    <row r="16346" spans="28:35" ht="15" hidden="1" customHeight="1">
      <c r="AB16346" s="9"/>
      <c r="AC16346" s="9"/>
      <c r="AD16346" s="9"/>
      <c r="AF16346" s="10"/>
      <c r="AG16346" s="10"/>
      <c r="AH16346" s="10"/>
      <c r="AI16346" s="10"/>
    </row>
    <row r="16347" spans="28:35" ht="15" hidden="1" customHeight="1">
      <c r="AB16347" s="9"/>
      <c r="AC16347" s="9"/>
      <c r="AD16347" s="9"/>
      <c r="AF16347" s="10"/>
      <c r="AG16347" s="10"/>
      <c r="AH16347" s="10"/>
      <c r="AI16347" s="10"/>
    </row>
    <row r="16348" spans="28:35" ht="15" hidden="1" customHeight="1">
      <c r="AB16348" s="9"/>
      <c r="AC16348" s="9"/>
      <c r="AD16348" s="9"/>
      <c r="AF16348" s="10"/>
      <c r="AG16348" s="10"/>
      <c r="AH16348" s="10"/>
      <c r="AI16348" s="10"/>
    </row>
    <row r="16349" spans="28:35" ht="15" hidden="1" customHeight="1">
      <c r="AB16349" s="9"/>
      <c r="AC16349" s="9"/>
      <c r="AD16349" s="9"/>
      <c r="AF16349" s="10"/>
      <c r="AG16349" s="10"/>
      <c r="AH16349" s="10"/>
      <c r="AI16349" s="10"/>
    </row>
    <row r="16350" spans="28:35" ht="15" hidden="1" customHeight="1">
      <c r="AB16350" s="9"/>
      <c r="AC16350" s="9"/>
      <c r="AD16350" s="9"/>
      <c r="AF16350" s="10"/>
      <c r="AG16350" s="10"/>
      <c r="AH16350" s="10"/>
      <c r="AI16350" s="10"/>
    </row>
    <row r="16351" spans="28:35" ht="15" hidden="1" customHeight="1">
      <c r="AB16351" s="9"/>
      <c r="AC16351" s="9"/>
      <c r="AD16351" s="9"/>
      <c r="AF16351" s="10"/>
      <c r="AG16351" s="10"/>
      <c r="AH16351" s="10"/>
      <c r="AI16351" s="10"/>
    </row>
    <row r="16352" spans="28:35" ht="15" hidden="1" customHeight="1">
      <c r="AB16352" s="9"/>
      <c r="AC16352" s="9"/>
      <c r="AD16352" s="9"/>
      <c r="AF16352" s="10"/>
      <c r="AG16352" s="10"/>
      <c r="AH16352" s="10"/>
      <c r="AI16352" s="10"/>
    </row>
    <row r="16353" spans="28:35" ht="15" hidden="1" customHeight="1">
      <c r="AB16353" s="9"/>
      <c r="AC16353" s="9"/>
      <c r="AD16353" s="9"/>
      <c r="AF16353" s="10"/>
      <c r="AG16353" s="10"/>
      <c r="AH16353" s="10"/>
      <c r="AI16353" s="10"/>
    </row>
    <row r="16354" spans="28:35" ht="15" hidden="1" customHeight="1">
      <c r="AB16354" s="9"/>
      <c r="AC16354" s="9"/>
      <c r="AD16354" s="9"/>
      <c r="AF16354" s="10"/>
      <c r="AG16354" s="10"/>
      <c r="AH16354" s="10"/>
      <c r="AI16354" s="10"/>
    </row>
    <row r="16355" spans="28:35" ht="15" hidden="1" customHeight="1">
      <c r="AB16355" s="9"/>
      <c r="AC16355" s="9"/>
      <c r="AD16355" s="9"/>
      <c r="AF16355" s="10"/>
      <c r="AG16355" s="10"/>
      <c r="AH16355" s="10"/>
      <c r="AI16355" s="10"/>
    </row>
    <row r="16356" spans="28:35" ht="15" hidden="1" customHeight="1">
      <c r="AB16356" s="9"/>
      <c r="AC16356" s="9"/>
      <c r="AD16356" s="9"/>
      <c r="AF16356" s="10"/>
      <c r="AG16356" s="10"/>
      <c r="AH16356" s="10"/>
      <c r="AI16356" s="10"/>
    </row>
    <row r="16357" spans="28:35" ht="15" hidden="1" customHeight="1">
      <c r="AB16357" s="9"/>
      <c r="AC16357" s="9"/>
      <c r="AD16357" s="9"/>
      <c r="AF16357" s="10"/>
      <c r="AG16357" s="10"/>
      <c r="AH16357" s="10"/>
      <c r="AI16357" s="10"/>
    </row>
    <row r="16358" spans="28:35" ht="15" hidden="1" customHeight="1">
      <c r="AB16358" s="9"/>
      <c r="AC16358" s="9"/>
      <c r="AD16358" s="9"/>
      <c r="AF16358" s="10"/>
      <c r="AG16358" s="10"/>
      <c r="AH16358" s="10"/>
      <c r="AI16358" s="10"/>
    </row>
    <row r="16359" spans="28:35" ht="15" hidden="1" customHeight="1">
      <c r="AB16359" s="9"/>
      <c r="AC16359" s="9"/>
      <c r="AD16359" s="9"/>
      <c r="AF16359" s="10"/>
      <c r="AG16359" s="10"/>
      <c r="AH16359" s="10"/>
      <c r="AI16359" s="10"/>
    </row>
    <row r="16360" spans="28:35" ht="15" hidden="1" customHeight="1">
      <c r="AB16360" s="9"/>
      <c r="AC16360" s="9"/>
      <c r="AD16360" s="9"/>
      <c r="AF16360" s="10"/>
      <c r="AG16360" s="10"/>
      <c r="AH16360" s="10"/>
      <c r="AI16360" s="10"/>
    </row>
    <row r="16361" spans="28:35" ht="15" hidden="1" customHeight="1">
      <c r="AB16361" s="9"/>
      <c r="AC16361" s="9"/>
      <c r="AD16361" s="9"/>
      <c r="AF16361" s="10"/>
      <c r="AG16361" s="10"/>
      <c r="AH16361" s="10"/>
      <c r="AI16361" s="10"/>
    </row>
    <row r="16362" spans="28:35" ht="15" hidden="1" customHeight="1">
      <c r="AB16362" s="9"/>
      <c r="AC16362" s="9"/>
      <c r="AD16362" s="9"/>
      <c r="AF16362" s="10"/>
      <c r="AG16362" s="10"/>
      <c r="AH16362" s="10"/>
      <c r="AI16362" s="10"/>
    </row>
    <row r="16363" spans="28:35" ht="15" hidden="1" customHeight="1">
      <c r="AB16363" s="9"/>
      <c r="AC16363" s="9"/>
      <c r="AD16363" s="9"/>
      <c r="AF16363" s="10"/>
      <c r="AG16363" s="10"/>
      <c r="AH16363" s="10"/>
      <c r="AI16363" s="10"/>
    </row>
    <row r="16364" spans="28:35" ht="15" hidden="1" customHeight="1">
      <c r="AB16364" s="9"/>
      <c r="AC16364" s="9"/>
      <c r="AD16364" s="9"/>
      <c r="AF16364" s="10"/>
      <c r="AG16364" s="10"/>
      <c r="AH16364" s="10"/>
      <c r="AI16364" s="10"/>
    </row>
    <row r="16365" spans="28:35" ht="15" hidden="1" customHeight="1">
      <c r="AB16365" s="9"/>
      <c r="AC16365" s="9"/>
      <c r="AD16365" s="9"/>
      <c r="AF16365" s="10"/>
      <c r="AG16365" s="10"/>
      <c r="AH16365" s="10"/>
      <c r="AI16365" s="10"/>
    </row>
    <row r="16366" spans="28:35" ht="15" hidden="1" customHeight="1">
      <c r="AB16366" s="9"/>
      <c r="AC16366" s="9"/>
      <c r="AD16366" s="9"/>
      <c r="AF16366" s="10"/>
      <c r="AG16366" s="10"/>
      <c r="AH16366" s="10"/>
      <c r="AI16366" s="10"/>
    </row>
    <row r="16367" spans="28:35" ht="15" hidden="1" customHeight="1">
      <c r="AB16367" s="9"/>
      <c r="AC16367" s="9"/>
      <c r="AD16367" s="9"/>
      <c r="AF16367" s="10"/>
      <c r="AG16367" s="10"/>
      <c r="AH16367" s="10"/>
      <c r="AI16367" s="10"/>
    </row>
    <row r="16368" spans="28:35" ht="15" hidden="1" customHeight="1">
      <c r="AB16368" s="9"/>
      <c r="AC16368" s="9"/>
      <c r="AD16368" s="9"/>
      <c r="AF16368" s="10"/>
      <c r="AG16368" s="10"/>
      <c r="AH16368" s="10"/>
      <c r="AI16368" s="10"/>
    </row>
    <row r="16369" spans="28:35" ht="15" hidden="1" customHeight="1">
      <c r="AB16369" s="9"/>
      <c r="AC16369" s="9"/>
      <c r="AD16369" s="9"/>
      <c r="AF16369" s="10"/>
      <c r="AG16369" s="10"/>
      <c r="AH16369" s="10"/>
      <c r="AI16369" s="10"/>
    </row>
    <row r="16370" spans="28:35" ht="15" hidden="1" customHeight="1">
      <c r="AB16370" s="9"/>
      <c r="AC16370" s="9"/>
      <c r="AD16370" s="9"/>
      <c r="AF16370" s="10"/>
      <c r="AG16370" s="10"/>
      <c r="AH16370" s="10"/>
      <c r="AI16370" s="10"/>
    </row>
    <row r="16371" spans="28:35" ht="15" hidden="1" customHeight="1">
      <c r="AB16371" s="9"/>
      <c r="AC16371" s="9"/>
      <c r="AD16371" s="9"/>
      <c r="AF16371" s="10"/>
      <c r="AG16371" s="10"/>
      <c r="AH16371" s="10"/>
      <c r="AI16371" s="10"/>
    </row>
    <row r="16372" spans="28:35" ht="15" hidden="1" customHeight="1">
      <c r="AB16372" s="9"/>
      <c r="AC16372" s="9"/>
      <c r="AD16372" s="9"/>
      <c r="AF16372" s="10"/>
      <c r="AG16372" s="10"/>
      <c r="AH16372" s="10"/>
      <c r="AI16372" s="10"/>
    </row>
    <row r="16373" spans="28:35" ht="15" hidden="1" customHeight="1">
      <c r="AB16373" s="9"/>
      <c r="AC16373" s="9"/>
      <c r="AD16373" s="9"/>
      <c r="AF16373" s="10"/>
      <c r="AG16373" s="10"/>
      <c r="AH16373" s="10"/>
      <c r="AI16373" s="10"/>
    </row>
    <row r="16374" spans="28:35" ht="15" hidden="1" customHeight="1">
      <c r="AB16374" s="9"/>
      <c r="AC16374" s="9"/>
      <c r="AD16374" s="9"/>
      <c r="AF16374" s="10"/>
      <c r="AG16374" s="10"/>
      <c r="AH16374" s="10"/>
      <c r="AI16374" s="10"/>
    </row>
    <row r="16375" spans="28:35" ht="15" hidden="1" customHeight="1">
      <c r="AB16375" s="9"/>
      <c r="AC16375" s="9"/>
      <c r="AD16375" s="9"/>
      <c r="AF16375" s="10"/>
      <c r="AG16375" s="10"/>
      <c r="AH16375" s="10"/>
      <c r="AI16375" s="10"/>
    </row>
    <row r="16376" spans="28:35" ht="15" hidden="1" customHeight="1">
      <c r="AB16376" s="9"/>
      <c r="AC16376" s="9"/>
      <c r="AD16376" s="9"/>
      <c r="AF16376" s="10"/>
      <c r="AG16376" s="10"/>
      <c r="AH16376" s="10"/>
      <c r="AI16376" s="10"/>
    </row>
    <row r="16377" spans="28:35" ht="15" hidden="1" customHeight="1">
      <c r="AB16377" s="9"/>
      <c r="AC16377" s="9"/>
      <c r="AD16377" s="9"/>
      <c r="AF16377" s="10"/>
      <c r="AG16377" s="10"/>
      <c r="AH16377" s="10"/>
      <c r="AI16377" s="10"/>
    </row>
    <row r="16378" spans="28:35" ht="15" hidden="1" customHeight="1">
      <c r="AB16378" s="9"/>
      <c r="AC16378" s="9"/>
      <c r="AD16378" s="9"/>
      <c r="AF16378" s="10"/>
      <c r="AG16378" s="10"/>
      <c r="AH16378" s="10"/>
      <c r="AI16378" s="10"/>
    </row>
    <row r="16379" spans="28:35" ht="15" hidden="1" customHeight="1">
      <c r="AB16379" s="9"/>
      <c r="AC16379" s="9"/>
      <c r="AD16379" s="9"/>
      <c r="AF16379" s="10"/>
      <c r="AG16379" s="10"/>
      <c r="AH16379" s="10"/>
      <c r="AI16379" s="10"/>
    </row>
    <row r="16380" spans="28:35" ht="15" hidden="1" customHeight="1">
      <c r="AB16380" s="9"/>
      <c r="AC16380" s="9"/>
      <c r="AD16380" s="9"/>
      <c r="AF16380" s="10"/>
      <c r="AG16380" s="10"/>
      <c r="AH16380" s="10"/>
      <c r="AI16380" s="10"/>
    </row>
    <row r="16381" spans="28:35" ht="15" hidden="1" customHeight="1">
      <c r="AB16381" s="9"/>
      <c r="AC16381" s="9"/>
      <c r="AD16381" s="9"/>
      <c r="AF16381" s="10"/>
      <c r="AG16381" s="10"/>
      <c r="AH16381" s="10"/>
      <c r="AI16381" s="10"/>
    </row>
    <row r="16382" spans="28:35" ht="15" hidden="1" customHeight="1">
      <c r="AB16382" s="9"/>
      <c r="AC16382" s="9"/>
      <c r="AD16382" s="9"/>
      <c r="AF16382" s="10"/>
      <c r="AG16382" s="10"/>
      <c r="AH16382" s="10"/>
      <c r="AI16382" s="10"/>
    </row>
    <row r="16383" spans="28:35" ht="15" hidden="1" customHeight="1">
      <c r="AB16383" s="9"/>
      <c r="AC16383" s="9"/>
      <c r="AD16383" s="9"/>
      <c r="AF16383" s="10"/>
      <c r="AG16383" s="10"/>
      <c r="AH16383" s="10"/>
      <c r="AI16383" s="10"/>
    </row>
    <row r="16384" spans="28:35" ht="15" hidden="1" customHeight="1">
      <c r="AB16384" s="9"/>
      <c r="AC16384" s="9"/>
      <c r="AD16384" s="9"/>
      <c r="AF16384" s="10"/>
      <c r="AG16384" s="10"/>
      <c r="AH16384" s="10"/>
      <c r="AI16384" s="10"/>
    </row>
    <row r="16385" spans="28:35" ht="15" hidden="1" customHeight="1">
      <c r="AB16385" s="9"/>
      <c r="AC16385" s="9"/>
      <c r="AD16385" s="9"/>
      <c r="AF16385" s="10"/>
      <c r="AG16385" s="10"/>
      <c r="AH16385" s="10"/>
      <c r="AI16385" s="10"/>
    </row>
    <row r="16386" spans="28:35" ht="15" hidden="1" customHeight="1">
      <c r="AB16386" s="9"/>
      <c r="AC16386" s="9"/>
      <c r="AD16386" s="9"/>
      <c r="AF16386" s="10"/>
      <c r="AG16386" s="10"/>
      <c r="AH16386" s="10"/>
      <c r="AI16386" s="10"/>
    </row>
    <row r="16387" spans="28:35" ht="15" hidden="1" customHeight="1">
      <c r="AB16387" s="9"/>
      <c r="AC16387" s="9"/>
      <c r="AD16387" s="9"/>
      <c r="AF16387" s="10"/>
      <c r="AG16387" s="10"/>
      <c r="AH16387" s="10"/>
      <c r="AI16387" s="10"/>
    </row>
    <row r="16388" spans="28:35" ht="15" hidden="1" customHeight="1">
      <c r="AB16388" s="9"/>
      <c r="AC16388" s="9"/>
      <c r="AD16388" s="9"/>
      <c r="AF16388" s="10"/>
      <c r="AG16388" s="10"/>
      <c r="AH16388" s="10"/>
      <c r="AI16388" s="10"/>
    </row>
    <row r="16389" spans="28:35" ht="15" hidden="1" customHeight="1">
      <c r="AB16389" s="9"/>
      <c r="AC16389" s="9"/>
      <c r="AD16389" s="9"/>
      <c r="AF16389" s="10"/>
      <c r="AG16389" s="10"/>
      <c r="AH16389" s="10"/>
      <c r="AI16389" s="10"/>
    </row>
    <row r="16390" spans="28:35" ht="15" hidden="1" customHeight="1">
      <c r="AB16390" s="9"/>
      <c r="AC16390" s="9"/>
      <c r="AD16390" s="9"/>
      <c r="AF16390" s="10"/>
      <c r="AG16390" s="10"/>
      <c r="AH16390" s="10"/>
      <c r="AI16390" s="10"/>
    </row>
    <row r="16391" spans="28:35" ht="15" hidden="1" customHeight="1">
      <c r="AB16391" s="9"/>
      <c r="AC16391" s="9"/>
      <c r="AD16391" s="9"/>
      <c r="AF16391" s="10"/>
      <c r="AG16391" s="10"/>
      <c r="AH16391" s="10"/>
      <c r="AI16391" s="10"/>
    </row>
    <row r="16392" spans="28:35" ht="15" hidden="1" customHeight="1">
      <c r="AB16392" s="9"/>
      <c r="AC16392" s="9"/>
      <c r="AD16392" s="9"/>
      <c r="AF16392" s="10"/>
      <c r="AG16392" s="10"/>
      <c r="AH16392" s="10"/>
      <c r="AI16392" s="10"/>
    </row>
    <row r="16393" spans="28:35" ht="15" hidden="1" customHeight="1">
      <c r="AB16393" s="9"/>
      <c r="AC16393" s="9"/>
      <c r="AD16393" s="9"/>
      <c r="AF16393" s="10"/>
      <c r="AG16393" s="10"/>
      <c r="AH16393" s="10"/>
      <c r="AI16393" s="10"/>
    </row>
    <row r="16394" spans="28:35" ht="15" hidden="1" customHeight="1">
      <c r="AB16394" s="9"/>
      <c r="AC16394" s="9"/>
      <c r="AD16394" s="9"/>
      <c r="AF16394" s="10"/>
      <c r="AG16394" s="10"/>
      <c r="AH16394" s="10"/>
      <c r="AI16394" s="10"/>
    </row>
    <row r="16395" spans="28:35" ht="15" hidden="1" customHeight="1">
      <c r="AB16395" s="9"/>
      <c r="AC16395" s="9"/>
      <c r="AD16395" s="9"/>
      <c r="AF16395" s="10"/>
      <c r="AG16395" s="10"/>
      <c r="AH16395" s="10"/>
      <c r="AI16395" s="10"/>
    </row>
    <row r="16396" spans="28:35" ht="15" hidden="1" customHeight="1">
      <c r="AB16396" s="9"/>
      <c r="AC16396" s="9"/>
      <c r="AD16396" s="9"/>
      <c r="AF16396" s="10"/>
      <c r="AG16396" s="10"/>
      <c r="AH16396" s="10"/>
      <c r="AI16396" s="10"/>
    </row>
    <row r="16397" spans="28:35" ht="15" hidden="1" customHeight="1">
      <c r="AB16397" s="9"/>
      <c r="AC16397" s="9"/>
      <c r="AD16397" s="9"/>
      <c r="AF16397" s="10"/>
      <c r="AG16397" s="10"/>
      <c r="AH16397" s="10"/>
      <c r="AI16397" s="10"/>
    </row>
    <row r="16398" spans="28:35" ht="15" hidden="1" customHeight="1">
      <c r="AB16398" s="9"/>
      <c r="AC16398" s="9"/>
      <c r="AD16398" s="9"/>
      <c r="AF16398" s="10"/>
      <c r="AG16398" s="10"/>
      <c r="AH16398" s="10"/>
      <c r="AI16398" s="10"/>
    </row>
    <row r="16399" spans="28:35" ht="15" hidden="1" customHeight="1">
      <c r="AC16399" s="9"/>
      <c r="AD16399" s="9"/>
    </row>
  </sheetData>
  <mergeCells count="59">
    <mergeCell ref="AL27:AL29"/>
    <mergeCell ref="AH27:AH29"/>
    <mergeCell ref="AJ27:AJ29"/>
    <mergeCell ref="B10:D10"/>
    <mergeCell ref="Z27:Z29"/>
    <mergeCell ref="AC27:AC29"/>
    <mergeCell ref="F27:F29"/>
    <mergeCell ref="R27:R29"/>
    <mergeCell ref="AD27:AD29"/>
    <mergeCell ref="Y27:Y29"/>
    <mergeCell ref="T27:T29"/>
    <mergeCell ref="L27:L29"/>
    <mergeCell ref="M27:M29"/>
    <mergeCell ref="P27:P29"/>
    <mergeCell ref="G27:G29"/>
    <mergeCell ref="O11:Q11"/>
    <mergeCell ref="AF27:AF29"/>
    <mergeCell ref="V27:V29"/>
    <mergeCell ref="S27:S29"/>
    <mergeCell ref="Q27:Q29"/>
    <mergeCell ref="Z53:Z54"/>
    <mergeCell ref="AA53:AA54"/>
    <mergeCell ref="AA27:AA29"/>
    <mergeCell ref="AB53:AB54"/>
    <mergeCell ref="AC53:AC54"/>
    <mergeCell ref="AD53:AD54"/>
    <mergeCell ref="AB27:AB29"/>
    <mergeCell ref="O4:Q4"/>
    <mergeCell ref="S4:U4"/>
    <mergeCell ref="S5:U5"/>
    <mergeCell ref="A27:A29"/>
    <mergeCell ref="B27:B29"/>
    <mergeCell ref="C27:C29"/>
    <mergeCell ref="D27:D29"/>
    <mergeCell ref="B19:D19"/>
    <mergeCell ref="B20:D20"/>
    <mergeCell ref="K27:K29"/>
    <mergeCell ref="B23:I25"/>
    <mergeCell ref="B4:D4"/>
    <mergeCell ref="I27:I29"/>
    <mergeCell ref="I5:K5"/>
    <mergeCell ref="I4:K4"/>
    <mergeCell ref="I12:K12"/>
    <mergeCell ref="I11:K11"/>
    <mergeCell ref="E27:E29"/>
    <mergeCell ref="H27:H29"/>
    <mergeCell ref="B58:F58"/>
    <mergeCell ref="B63:F63"/>
    <mergeCell ref="U60:X64"/>
    <mergeCell ref="I53:I54"/>
    <mergeCell ref="S53:S54"/>
    <mergeCell ref="T53:T54"/>
    <mergeCell ref="V53:V54"/>
    <mergeCell ref="C53:C54"/>
    <mergeCell ref="D53:D54"/>
    <mergeCell ref="E53:E54"/>
    <mergeCell ref="H53:H54"/>
    <mergeCell ref="F53:F54"/>
    <mergeCell ref="G53:G54"/>
  </mergeCells>
  <dataValidations count="2">
    <dataValidation type="list" allowBlank="1" showInputMessage="1" showErrorMessage="1" sqref="C21 U8 Q9" xr:uid="{4F48A738-5EB9-403E-87EA-CD9440FB4C19}">
      <formula1>"Si, No"</formula1>
    </dataValidation>
    <dataValidation type="list" allowBlank="1" showInputMessage="1" showErrorMessage="1" sqref="Q12" xr:uid="{B8CBB16E-B4E4-4DA1-A5B3-0912E47925A5}">
      <formula1>"0,1,2,3,4,5"</formula1>
    </dataValidation>
  </dataValidations>
  <printOptions horizontalCentered="1" verticalCentered="1"/>
  <pageMargins left="0.25" right="0.25" top="0.75" bottom="0.75" header="0" footer="0"/>
  <pageSetup scale="1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RenovaFund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Potts</dc:creator>
  <cp:keywords/>
  <dc:description/>
  <cp:lastModifiedBy>Luis Manuel</cp:lastModifiedBy>
  <cp:revision/>
  <dcterms:created xsi:type="dcterms:W3CDTF">2024-01-25T23:11:49Z</dcterms:created>
  <dcterms:modified xsi:type="dcterms:W3CDTF">2025-11-06T16:42:12Z</dcterms:modified>
  <cp:category/>
  <cp:contentStatus/>
</cp:coreProperties>
</file>